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ayushi\Desktop\part1_data_cleaning\outputs\"/>
    </mc:Choice>
  </mc:AlternateContent>
  <xr:revisionPtr revIDLastSave="0" documentId="13_ncr:1_{2BDACF67-3DE3-46A8-8342-AB0C4888C12C}" xr6:coauthVersionLast="47" xr6:coauthVersionMax="47" xr10:uidLastSave="{00000000-0000-0000-0000-000000000000}"/>
  <bookViews>
    <workbookView xWindow="-110" yWindow="-110" windowWidth="19420" windowHeight="10300" firstSheet="4" activeTab="7" xr2:uid="{00000000-000D-0000-FFFF-FFFF00000000}"/>
  </bookViews>
  <sheets>
    <sheet name="Sales_by_Region" sheetId="2" r:id="rId1"/>
    <sheet name="Category_Summary" sheetId="4" r:id="rId2"/>
    <sheet name="Ship_Mode_Summary" sheetId="5" r:id="rId3"/>
    <sheet name="Segment_Profit_Margin" sheetId="6" r:id="rId4"/>
    <sheet name="Status_Summary" sheetId="7" r:id="rId5"/>
    <sheet name="Monthly_Sales_Trend" sheetId="8" r:id="rId6"/>
    <sheet name="Data" sheetId="1" r:id="rId7"/>
    <sheet name="Summary" sheetId="9" r:id="rId8"/>
  </sheets>
  <calcPr calcId="191029"/>
  <pivotCaches>
    <pivotCache cacheId="2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913" i="1" l="1"/>
  <c r="T913" i="1"/>
  <c r="D913" i="1"/>
  <c r="C913" i="1"/>
  <c r="AA912" i="1"/>
  <c r="X912" i="1"/>
  <c r="T912" i="1"/>
  <c r="D912" i="1"/>
  <c r="C912" i="1"/>
  <c r="AA911" i="1"/>
  <c r="AB911" i="1" s="1"/>
  <c r="T911" i="1"/>
  <c r="X911" i="1" s="1"/>
  <c r="V911" i="1" s="1"/>
  <c r="D911" i="1"/>
  <c r="C911" i="1"/>
  <c r="AB910" i="1"/>
  <c r="AA910" i="1"/>
  <c r="T910" i="1"/>
  <c r="D910" i="1"/>
  <c r="C910" i="1"/>
  <c r="AA909" i="1"/>
  <c r="AB909" i="1" s="1"/>
  <c r="X909" i="1"/>
  <c r="V909" i="1"/>
  <c r="T909" i="1"/>
  <c r="D909" i="1"/>
  <c r="C909" i="1"/>
  <c r="AB908" i="1"/>
  <c r="AA908" i="1"/>
  <c r="X908" i="1"/>
  <c r="V908" i="1" s="1"/>
  <c r="T908" i="1"/>
  <c r="D908" i="1"/>
  <c r="C908" i="1"/>
  <c r="AB907" i="1"/>
  <c r="AA907" i="1"/>
  <c r="V907" i="1"/>
  <c r="T907" i="1"/>
  <c r="X907" i="1" s="1"/>
  <c r="D907" i="1"/>
  <c r="C907" i="1"/>
  <c r="AB906" i="1"/>
  <c r="AA906" i="1"/>
  <c r="T906" i="1"/>
  <c r="D906" i="1"/>
  <c r="C906" i="1"/>
  <c r="AA905" i="1"/>
  <c r="AB905" i="1" s="1"/>
  <c r="X905" i="1"/>
  <c r="V905" i="1" s="1"/>
  <c r="T905" i="1"/>
  <c r="D905" i="1"/>
  <c r="C905" i="1"/>
  <c r="AB904" i="1"/>
  <c r="AA904" i="1"/>
  <c r="X904" i="1"/>
  <c r="V904" i="1" s="1"/>
  <c r="T904" i="1"/>
  <c r="D904" i="1"/>
  <c r="C904" i="1"/>
  <c r="AB903" i="1"/>
  <c r="AA903" i="1"/>
  <c r="V903" i="1"/>
  <c r="T903" i="1"/>
  <c r="X903" i="1" s="1"/>
  <c r="D903" i="1"/>
  <c r="C903" i="1"/>
  <c r="AB902" i="1"/>
  <c r="AA902" i="1"/>
  <c r="T902" i="1"/>
  <c r="D902" i="1"/>
  <c r="C902" i="1"/>
  <c r="AA901" i="1"/>
  <c r="AB901" i="1" s="1"/>
  <c r="X901" i="1"/>
  <c r="V901" i="1" s="1"/>
  <c r="T901" i="1"/>
  <c r="D901" i="1"/>
  <c r="C901" i="1"/>
  <c r="AB900" i="1"/>
  <c r="AA900" i="1"/>
  <c r="X900" i="1"/>
  <c r="V900" i="1" s="1"/>
  <c r="T900" i="1"/>
  <c r="D900" i="1"/>
  <c r="C900" i="1"/>
  <c r="AB899" i="1"/>
  <c r="AA899" i="1"/>
  <c r="V899" i="1"/>
  <c r="T899" i="1"/>
  <c r="X899" i="1" s="1"/>
  <c r="D899" i="1"/>
  <c r="C899" i="1"/>
  <c r="AB898" i="1"/>
  <c r="AA898" i="1"/>
  <c r="T898" i="1"/>
  <c r="D898" i="1"/>
  <c r="C898" i="1"/>
  <c r="AA897" i="1"/>
  <c r="AB897" i="1" s="1"/>
  <c r="X897" i="1"/>
  <c r="V897" i="1" s="1"/>
  <c r="T897" i="1"/>
  <c r="D897" i="1"/>
  <c r="C897" i="1"/>
  <c r="AB896" i="1"/>
  <c r="AA896" i="1"/>
  <c r="X896" i="1"/>
  <c r="V896" i="1" s="1"/>
  <c r="T896" i="1"/>
  <c r="D896" i="1"/>
  <c r="C896" i="1"/>
  <c r="AB895" i="1"/>
  <c r="AA895" i="1"/>
  <c r="V895" i="1"/>
  <c r="T895" i="1"/>
  <c r="X895" i="1" s="1"/>
  <c r="D895" i="1"/>
  <c r="C895" i="1"/>
  <c r="AB894" i="1"/>
  <c r="AA894" i="1"/>
  <c r="T894" i="1"/>
  <c r="D894" i="1"/>
  <c r="C894" i="1"/>
  <c r="AA893" i="1"/>
  <c r="AB893" i="1" s="1"/>
  <c r="X893" i="1"/>
  <c r="V893" i="1" s="1"/>
  <c r="T893" i="1"/>
  <c r="D893" i="1"/>
  <c r="C893" i="1"/>
  <c r="AB892" i="1"/>
  <c r="AA892" i="1"/>
  <c r="X892" i="1"/>
  <c r="V892" i="1" s="1"/>
  <c r="T892" i="1"/>
  <c r="D892" i="1"/>
  <c r="C892" i="1"/>
  <c r="AB891" i="1"/>
  <c r="AA891" i="1"/>
  <c r="V891" i="1"/>
  <c r="T891" i="1"/>
  <c r="X891" i="1" s="1"/>
  <c r="D891" i="1"/>
  <c r="C891" i="1"/>
  <c r="AB890" i="1"/>
  <c r="AA890" i="1"/>
  <c r="T890" i="1"/>
  <c r="D890" i="1"/>
  <c r="C890" i="1"/>
  <c r="AA889" i="1"/>
  <c r="AB889" i="1" s="1"/>
  <c r="X889" i="1"/>
  <c r="V889" i="1" s="1"/>
  <c r="T889" i="1"/>
  <c r="D889" i="1"/>
  <c r="C889" i="1"/>
  <c r="AB888" i="1"/>
  <c r="AA888" i="1"/>
  <c r="X888" i="1"/>
  <c r="V888" i="1" s="1"/>
  <c r="T888" i="1"/>
  <c r="D888" i="1"/>
  <c r="C888" i="1"/>
  <c r="AB887" i="1"/>
  <c r="AA887" i="1"/>
  <c r="V887" i="1"/>
  <c r="T887" i="1"/>
  <c r="X887" i="1" s="1"/>
  <c r="D887" i="1"/>
  <c r="C887" i="1"/>
  <c r="AB886" i="1"/>
  <c r="AA886" i="1"/>
  <c r="T886" i="1"/>
  <c r="D886" i="1"/>
  <c r="C886" i="1"/>
  <c r="AA885" i="1"/>
  <c r="AB885" i="1" s="1"/>
  <c r="X885" i="1"/>
  <c r="V885" i="1" s="1"/>
  <c r="T885" i="1"/>
  <c r="D885" i="1"/>
  <c r="C885" i="1"/>
  <c r="AB884" i="1"/>
  <c r="AA884" i="1"/>
  <c r="X884" i="1"/>
  <c r="V884" i="1" s="1"/>
  <c r="T884" i="1"/>
  <c r="D884" i="1"/>
  <c r="C884" i="1"/>
  <c r="AB883" i="1"/>
  <c r="AA883" i="1"/>
  <c r="V883" i="1"/>
  <c r="T883" i="1"/>
  <c r="X883" i="1" s="1"/>
  <c r="D883" i="1"/>
  <c r="C883" i="1"/>
  <c r="AA882" i="1"/>
  <c r="X882" i="1"/>
  <c r="V882" i="1" s="1"/>
  <c r="T882" i="1"/>
  <c r="D882" i="1"/>
  <c r="C882" i="1"/>
  <c r="AB881" i="1"/>
  <c r="AA881" i="1"/>
  <c r="X881" i="1"/>
  <c r="V881" i="1" s="1"/>
  <c r="T881" i="1"/>
  <c r="D881" i="1"/>
  <c r="C881" i="1"/>
  <c r="AB880" i="1"/>
  <c r="AA880" i="1"/>
  <c r="T880" i="1"/>
  <c r="X880" i="1" s="1"/>
  <c r="V880" i="1" s="1"/>
  <c r="D880" i="1"/>
  <c r="C880" i="1"/>
  <c r="AB879" i="1"/>
  <c r="AA879" i="1"/>
  <c r="T879" i="1"/>
  <c r="D879" i="1"/>
  <c r="C879" i="1"/>
  <c r="AA878" i="1"/>
  <c r="AB878" i="1" s="1"/>
  <c r="X878" i="1"/>
  <c r="V878" i="1" s="1"/>
  <c r="T878" i="1"/>
  <c r="D878" i="1"/>
  <c r="C878" i="1"/>
  <c r="AB877" i="1"/>
  <c r="AA877" i="1"/>
  <c r="X877" i="1"/>
  <c r="V877" i="1" s="1"/>
  <c r="T877" i="1"/>
  <c r="D877" i="1"/>
  <c r="C877" i="1"/>
  <c r="AB876" i="1"/>
  <c r="AA876" i="1"/>
  <c r="V876" i="1"/>
  <c r="T876" i="1"/>
  <c r="X876" i="1" s="1"/>
  <c r="D876" i="1"/>
  <c r="C876" i="1"/>
  <c r="AB875" i="1"/>
  <c r="AA875" i="1"/>
  <c r="T875" i="1"/>
  <c r="D875" i="1"/>
  <c r="C875" i="1"/>
  <c r="AA874" i="1"/>
  <c r="AB874" i="1" s="1"/>
  <c r="X874" i="1"/>
  <c r="V874" i="1" s="1"/>
  <c r="T874" i="1"/>
  <c r="D874" i="1"/>
  <c r="C874" i="1"/>
  <c r="AB873" i="1"/>
  <c r="AA873" i="1"/>
  <c r="X873" i="1"/>
  <c r="V873" i="1" s="1"/>
  <c r="T873" i="1"/>
  <c r="D873" i="1"/>
  <c r="C873" i="1"/>
  <c r="AB872" i="1"/>
  <c r="AA872" i="1"/>
  <c r="T872" i="1"/>
  <c r="X872" i="1" s="1"/>
  <c r="V872" i="1" s="1"/>
  <c r="D872" i="1"/>
  <c r="C872" i="1"/>
  <c r="AB871" i="1"/>
  <c r="AA871" i="1"/>
  <c r="T871" i="1"/>
  <c r="D871" i="1"/>
  <c r="C871" i="1"/>
  <c r="AA870" i="1"/>
  <c r="AB870" i="1" s="1"/>
  <c r="X870" i="1"/>
  <c r="V870" i="1" s="1"/>
  <c r="T870" i="1"/>
  <c r="D870" i="1"/>
  <c r="C870" i="1"/>
  <c r="AB869" i="1"/>
  <c r="AA869" i="1"/>
  <c r="X869" i="1"/>
  <c r="V869" i="1" s="1"/>
  <c r="T869" i="1"/>
  <c r="D869" i="1"/>
  <c r="C869" i="1"/>
  <c r="AB868" i="1"/>
  <c r="AA868" i="1"/>
  <c r="V868" i="1"/>
  <c r="T868" i="1"/>
  <c r="X868" i="1" s="1"/>
  <c r="D868" i="1"/>
  <c r="C868" i="1"/>
  <c r="AB867" i="1"/>
  <c r="AA867" i="1"/>
  <c r="T867" i="1"/>
  <c r="D867" i="1"/>
  <c r="C867" i="1"/>
  <c r="AA866" i="1"/>
  <c r="AB866" i="1" s="1"/>
  <c r="X866" i="1"/>
  <c r="V866" i="1" s="1"/>
  <c r="T866" i="1"/>
  <c r="D866" i="1"/>
  <c r="C866" i="1"/>
  <c r="AB865" i="1"/>
  <c r="AA865" i="1"/>
  <c r="X865" i="1"/>
  <c r="V865" i="1" s="1"/>
  <c r="T865" i="1"/>
  <c r="D865" i="1"/>
  <c r="C865" i="1"/>
  <c r="AB864" i="1"/>
  <c r="AA864" i="1"/>
  <c r="T864" i="1"/>
  <c r="X864" i="1" s="1"/>
  <c r="V864" i="1" s="1"/>
  <c r="D864" i="1"/>
  <c r="C864" i="1"/>
  <c r="AB863" i="1"/>
  <c r="AA863" i="1"/>
  <c r="T863" i="1"/>
  <c r="D863" i="1"/>
  <c r="C863" i="1"/>
  <c r="AA862" i="1"/>
  <c r="AB862" i="1" s="1"/>
  <c r="X862" i="1"/>
  <c r="V862" i="1" s="1"/>
  <c r="T862" i="1"/>
  <c r="D862" i="1"/>
  <c r="C862" i="1"/>
  <c r="AB861" i="1"/>
  <c r="AA861" i="1"/>
  <c r="X861" i="1"/>
  <c r="V861" i="1" s="1"/>
  <c r="T861" i="1"/>
  <c r="D861" i="1"/>
  <c r="C861" i="1"/>
  <c r="AB860" i="1"/>
  <c r="AA860" i="1"/>
  <c r="T860" i="1"/>
  <c r="X860" i="1" s="1"/>
  <c r="V860" i="1" s="1"/>
  <c r="D860" i="1"/>
  <c r="C860" i="1"/>
  <c r="AB859" i="1"/>
  <c r="AA859" i="1"/>
  <c r="T859" i="1"/>
  <c r="D859" i="1"/>
  <c r="C859" i="1"/>
  <c r="AA858" i="1"/>
  <c r="AB858" i="1" s="1"/>
  <c r="T858" i="1"/>
  <c r="D858" i="1"/>
  <c r="C858" i="1"/>
  <c r="AB857" i="1"/>
  <c r="AA857" i="1"/>
  <c r="T857" i="1"/>
  <c r="D857" i="1"/>
  <c r="C857" i="1"/>
  <c r="AA856" i="1"/>
  <c r="AB856" i="1" s="1"/>
  <c r="X856" i="1"/>
  <c r="V856" i="1" s="1"/>
  <c r="T856" i="1"/>
  <c r="D856" i="1"/>
  <c r="C856" i="1"/>
  <c r="AB855" i="1"/>
  <c r="AA855" i="1"/>
  <c r="X855" i="1"/>
  <c r="V855" i="1" s="1"/>
  <c r="T855" i="1"/>
  <c r="D855" i="1"/>
  <c r="C855" i="1"/>
  <c r="AB854" i="1"/>
  <c r="AA854" i="1"/>
  <c r="V854" i="1"/>
  <c r="T854" i="1"/>
  <c r="X854" i="1" s="1"/>
  <c r="D854" i="1"/>
  <c r="C854" i="1"/>
  <c r="AB853" i="1"/>
  <c r="AA853" i="1"/>
  <c r="T853" i="1"/>
  <c r="D853" i="1"/>
  <c r="C853" i="1"/>
  <c r="AA852" i="1"/>
  <c r="AB852" i="1" s="1"/>
  <c r="X852" i="1"/>
  <c r="V852" i="1" s="1"/>
  <c r="T852" i="1"/>
  <c r="D852" i="1"/>
  <c r="C852" i="1"/>
  <c r="AB851" i="1"/>
  <c r="AA851" i="1"/>
  <c r="X851" i="1"/>
  <c r="V851" i="1" s="1"/>
  <c r="T851" i="1"/>
  <c r="D851" i="1"/>
  <c r="C851" i="1"/>
  <c r="AB850" i="1"/>
  <c r="AA850" i="1"/>
  <c r="V850" i="1"/>
  <c r="T850" i="1"/>
  <c r="X850" i="1" s="1"/>
  <c r="D850" i="1"/>
  <c r="C850" i="1"/>
  <c r="AB849" i="1"/>
  <c r="AA849" i="1"/>
  <c r="T849" i="1"/>
  <c r="D849" i="1"/>
  <c r="C849" i="1"/>
  <c r="AA848" i="1"/>
  <c r="AB848" i="1" s="1"/>
  <c r="X848" i="1"/>
  <c r="V848" i="1" s="1"/>
  <c r="T848" i="1"/>
  <c r="D848" i="1"/>
  <c r="C848" i="1"/>
  <c r="AB847" i="1"/>
  <c r="AA847" i="1"/>
  <c r="X847" i="1"/>
  <c r="V847" i="1" s="1"/>
  <c r="T847" i="1"/>
  <c r="D847" i="1"/>
  <c r="C847" i="1"/>
  <c r="AB846" i="1"/>
  <c r="AA846" i="1"/>
  <c r="V846" i="1"/>
  <c r="T846" i="1"/>
  <c r="X846" i="1" s="1"/>
  <c r="D846" i="1"/>
  <c r="C846" i="1"/>
  <c r="AB845" i="1"/>
  <c r="AA845" i="1"/>
  <c r="T845" i="1"/>
  <c r="D845" i="1"/>
  <c r="C845" i="1"/>
  <c r="AB844" i="1"/>
  <c r="AA844" i="1"/>
  <c r="T844" i="1"/>
  <c r="X844" i="1" s="1"/>
  <c r="V844" i="1" s="1"/>
  <c r="D844" i="1"/>
  <c r="C844" i="1"/>
  <c r="AB843" i="1"/>
  <c r="AA843" i="1"/>
  <c r="T843" i="1"/>
  <c r="D843" i="1"/>
  <c r="C843" i="1"/>
  <c r="AA842" i="1"/>
  <c r="AB842" i="1" s="1"/>
  <c r="X842" i="1"/>
  <c r="V842" i="1"/>
  <c r="T842" i="1"/>
  <c r="D842" i="1"/>
  <c r="C842" i="1"/>
  <c r="AB841" i="1"/>
  <c r="AA841" i="1"/>
  <c r="X841" i="1"/>
  <c r="V841" i="1" s="1"/>
  <c r="T841" i="1"/>
  <c r="D841" i="1"/>
  <c r="C841" i="1"/>
  <c r="AB840" i="1"/>
  <c r="AA840" i="1"/>
  <c r="V840" i="1"/>
  <c r="T840" i="1"/>
  <c r="X840" i="1" s="1"/>
  <c r="D840" i="1"/>
  <c r="C840" i="1"/>
  <c r="AB839" i="1"/>
  <c r="AA839" i="1"/>
  <c r="T839" i="1"/>
  <c r="D839" i="1"/>
  <c r="C839" i="1"/>
  <c r="AA838" i="1"/>
  <c r="AB838" i="1" s="1"/>
  <c r="X838" i="1"/>
  <c r="V838" i="1"/>
  <c r="T838" i="1"/>
  <c r="D838" i="1"/>
  <c r="C838" i="1"/>
  <c r="AB837" i="1"/>
  <c r="AA837" i="1"/>
  <c r="X837" i="1"/>
  <c r="T837" i="1"/>
  <c r="V837" i="1" s="1"/>
  <c r="D837" i="1"/>
  <c r="C837" i="1"/>
  <c r="AA836" i="1"/>
  <c r="AB836" i="1" s="1"/>
  <c r="V836" i="1"/>
  <c r="T836" i="1"/>
  <c r="X836" i="1" s="1"/>
  <c r="D836" i="1"/>
  <c r="C836" i="1"/>
  <c r="AB835" i="1"/>
  <c r="AA835" i="1"/>
  <c r="T835" i="1"/>
  <c r="D835" i="1"/>
  <c r="C835" i="1"/>
  <c r="AA834" i="1"/>
  <c r="AB834" i="1" s="1"/>
  <c r="X834" i="1"/>
  <c r="V834" i="1"/>
  <c r="T834" i="1"/>
  <c r="D834" i="1"/>
  <c r="C834" i="1"/>
  <c r="AA833" i="1"/>
  <c r="V833" i="1"/>
  <c r="T833" i="1"/>
  <c r="X833" i="1" s="1"/>
  <c r="D833" i="1"/>
  <c r="C833" i="1"/>
  <c r="AB832" i="1"/>
  <c r="AA832" i="1"/>
  <c r="T832" i="1"/>
  <c r="D832" i="1"/>
  <c r="C832" i="1"/>
  <c r="AA831" i="1"/>
  <c r="AB831" i="1" s="1"/>
  <c r="X831" i="1"/>
  <c r="V831" i="1"/>
  <c r="T831" i="1"/>
  <c r="D831" i="1"/>
  <c r="C831" i="1"/>
  <c r="AB830" i="1"/>
  <c r="AA830" i="1"/>
  <c r="X830" i="1"/>
  <c r="T830" i="1"/>
  <c r="D830" i="1"/>
  <c r="C830" i="1"/>
  <c r="AA829" i="1"/>
  <c r="AB829" i="1" s="1"/>
  <c r="V829" i="1"/>
  <c r="T829" i="1"/>
  <c r="X829" i="1" s="1"/>
  <c r="D829" i="1"/>
  <c r="C829" i="1"/>
  <c r="AB828" i="1"/>
  <c r="AA828" i="1"/>
  <c r="T828" i="1"/>
  <c r="D828" i="1"/>
  <c r="C828" i="1"/>
  <c r="AA827" i="1"/>
  <c r="AB827" i="1" s="1"/>
  <c r="X827" i="1"/>
  <c r="V827" i="1"/>
  <c r="T827" i="1"/>
  <c r="D827" i="1"/>
  <c r="C827" i="1"/>
  <c r="AB826" i="1"/>
  <c r="AA826" i="1"/>
  <c r="X826" i="1"/>
  <c r="T826" i="1"/>
  <c r="V826" i="1" s="1"/>
  <c r="D826" i="1"/>
  <c r="C826" i="1"/>
  <c r="AA825" i="1"/>
  <c r="AB825" i="1" s="1"/>
  <c r="V825" i="1"/>
  <c r="T825" i="1"/>
  <c r="X825" i="1" s="1"/>
  <c r="D825" i="1"/>
  <c r="C825" i="1"/>
  <c r="AB824" i="1"/>
  <c r="AA824" i="1"/>
  <c r="T824" i="1"/>
  <c r="D824" i="1"/>
  <c r="C824" i="1"/>
  <c r="AA823" i="1"/>
  <c r="AB823" i="1" s="1"/>
  <c r="X823" i="1"/>
  <c r="V823" i="1"/>
  <c r="T823" i="1"/>
  <c r="D823" i="1"/>
  <c r="C823" i="1"/>
  <c r="AB822" i="1"/>
  <c r="AA822" i="1"/>
  <c r="X822" i="1"/>
  <c r="T822" i="1"/>
  <c r="V822" i="1" s="1"/>
  <c r="D822" i="1"/>
  <c r="C822" i="1"/>
  <c r="AA821" i="1"/>
  <c r="AB821" i="1" s="1"/>
  <c r="V821" i="1"/>
  <c r="T821" i="1"/>
  <c r="X821" i="1" s="1"/>
  <c r="D821" i="1"/>
  <c r="C821" i="1"/>
  <c r="AB820" i="1"/>
  <c r="AA820" i="1"/>
  <c r="T820" i="1"/>
  <c r="D820" i="1"/>
  <c r="C820" i="1"/>
  <c r="AA819" i="1"/>
  <c r="AB819" i="1" s="1"/>
  <c r="V819" i="1"/>
  <c r="T819" i="1"/>
  <c r="X819" i="1" s="1"/>
  <c r="D819" i="1"/>
  <c r="C819" i="1"/>
  <c r="AB818" i="1"/>
  <c r="AA818" i="1"/>
  <c r="T818" i="1"/>
  <c r="D818" i="1"/>
  <c r="C818" i="1"/>
  <c r="AA817" i="1"/>
  <c r="AB817" i="1" s="1"/>
  <c r="X817" i="1"/>
  <c r="V817" i="1"/>
  <c r="T817" i="1"/>
  <c r="D817" i="1"/>
  <c r="C817" i="1"/>
  <c r="AB816" i="1"/>
  <c r="AA816" i="1"/>
  <c r="X816" i="1"/>
  <c r="T816" i="1"/>
  <c r="V816" i="1" s="1"/>
  <c r="D816" i="1"/>
  <c r="C816" i="1"/>
  <c r="AA815" i="1"/>
  <c r="AB815" i="1" s="1"/>
  <c r="V815" i="1"/>
  <c r="T815" i="1"/>
  <c r="X815" i="1" s="1"/>
  <c r="D815" i="1"/>
  <c r="C815" i="1"/>
  <c r="AB814" i="1"/>
  <c r="AA814" i="1"/>
  <c r="X814" i="1"/>
  <c r="T814" i="1"/>
  <c r="D814" i="1"/>
  <c r="C814" i="1"/>
  <c r="AA813" i="1"/>
  <c r="AB813" i="1" s="1"/>
  <c r="X813" i="1"/>
  <c r="V813" i="1"/>
  <c r="T813" i="1"/>
  <c r="D813" i="1"/>
  <c r="C813" i="1"/>
  <c r="AB812" i="1"/>
  <c r="AA812" i="1"/>
  <c r="X812" i="1"/>
  <c r="T812" i="1"/>
  <c r="D812" i="1"/>
  <c r="C812" i="1"/>
  <c r="AA811" i="1"/>
  <c r="AB811" i="1" s="1"/>
  <c r="T811" i="1"/>
  <c r="X811" i="1" s="1"/>
  <c r="V811" i="1" s="1"/>
  <c r="D811" i="1"/>
  <c r="C811" i="1"/>
  <c r="AB810" i="1"/>
  <c r="AA810" i="1"/>
  <c r="T810" i="1"/>
  <c r="D810" i="1"/>
  <c r="C810" i="1"/>
  <c r="AA809" i="1"/>
  <c r="AB809" i="1" s="1"/>
  <c r="X809" i="1"/>
  <c r="V809" i="1"/>
  <c r="T809" i="1"/>
  <c r="D809" i="1"/>
  <c r="C809" i="1"/>
  <c r="AB808" i="1"/>
  <c r="AA808" i="1"/>
  <c r="T808" i="1"/>
  <c r="D808" i="1"/>
  <c r="C808" i="1"/>
  <c r="AA807" i="1"/>
  <c r="AB807" i="1" s="1"/>
  <c r="V807" i="1"/>
  <c r="T807" i="1"/>
  <c r="X807" i="1" s="1"/>
  <c r="D807" i="1"/>
  <c r="C807" i="1"/>
  <c r="AB806" i="1"/>
  <c r="AA806" i="1"/>
  <c r="X806" i="1"/>
  <c r="T806" i="1"/>
  <c r="D806" i="1"/>
  <c r="C806" i="1"/>
  <c r="AA805" i="1"/>
  <c r="AB805" i="1" s="1"/>
  <c r="X805" i="1"/>
  <c r="V805" i="1"/>
  <c r="T805" i="1"/>
  <c r="D805" i="1"/>
  <c r="C805" i="1"/>
  <c r="AB804" i="1"/>
  <c r="AA804" i="1"/>
  <c r="T804" i="1"/>
  <c r="D804" i="1"/>
  <c r="C804" i="1"/>
  <c r="AA803" i="1"/>
  <c r="AB803" i="1" s="1"/>
  <c r="T803" i="1"/>
  <c r="X803" i="1" s="1"/>
  <c r="D803" i="1"/>
  <c r="C803" i="1"/>
  <c r="AA802" i="1"/>
  <c r="AB802" i="1" s="1"/>
  <c r="T802" i="1"/>
  <c r="D802" i="1"/>
  <c r="C802" i="1"/>
  <c r="AA801" i="1"/>
  <c r="AB801" i="1" s="1"/>
  <c r="X801" i="1"/>
  <c r="V801" i="1" s="1"/>
  <c r="T801" i="1"/>
  <c r="D801" i="1"/>
  <c r="C801" i="1"/>
  <c r="AB800" i="1"/>
  <c r="AA800" i="1"/>
  <c r="T800" i="1"/>
  <c r="X800" i="1" s="1"/>
  <c r="V800" i="1" s="1"/>
  <c r="D800" i="1"/>
  <c r="C800" i="1"/>
  <c r="AB799" i="1"/>
  <c r="AA799" i="1"/>
  <c r="V799" i="1"/>
  <c r="T799" i="1"/>
  <c r="X799" i="1" s="1"/>
  <c r="D799" i="1"/>
  <c r="C799" i="1"/>
  <c r="AB798" i="1"/>
  <c r="AA798" i="1"/>
  <c r="X798" i="1"/>
  <c r="T798" i="1"/>
  <c r="V798" i="1" s="1"/>
  <c r="D798" i="1"/>
  <c r="C798" i="1"/>
  <c r="AA797" i="1"/>
  <c r="AB797" i="1" s="1"/>
  <c r="V797" i="1"/>
  <c r="T797" i="1"/>
  <c r="X797" i="1" s="1"/>
  <c r="D797" i="1"/>
  <c r="C797" i="1"/>
  <c r="AB796" i="1"/>
  <c r="AA796" i="1"/>
  <c r="T796" i="1"/>
  <c r="D796" i="1"/>
  <c r="C796" i="1"/>
  <c r="AA795" i="1"/>
  <c r="AB795" i="1" s="1"/>
  <c r="X795" i="1"/>
  <c r="V795" i="1"/>
  <c r="T795" i="1"/>
  <c r="D795" i="1"/>
  <c r="C795" i="1"/>
  <c r="AB794" i="1"/>
  <c r="AA794" i="1"/>
  <c r="X794" i="1"/>
  <c r="T794" i="1"/>
  <c r="V794" i="1" s="1"/>
  <c r="D794" i="1"/>
  <c r="C794" i="1"/>
  <c r="AA793" i="1"/>
  <c r="AB793" i="1" s="1"/>
  <c r="T793" i="1"/>
  <c r="X793" i="1" s="1"/>
  <c r="V793" i="1" s="1"/>
  <c r="D793" i="1"/>
  <c r="C793" i="1"/>
  <c r="AB792" i="1"/>
  <c r="AA792" i="1"/>
  <c r="T792" i="1"/>
  <c r="D792" i="1"/>
  <c r="C792" i="1"/>
  <c r="AA791" i="1"/>
  <c r="AB791" i="1" s="1"/>
  <c r="X791" i="1"/>
  <c r="V791" i="1"/>
  <c r="T791" i="1"/>
  <c r="D791" i="1"/>
  <c r="C791" i="1"/>
  <c r="AB790" i="1"/>
  <c r="AA790" i="1"/>
  <c r="X790" i="1"/>
  <c r="T790" i="1"/>
  <c r="V790" i="1" s="1"/>
  <c r="D790" i="1"/>
  <c r="C790" i="1"/>
  <c r="AA789" i="1"/>
  <c r="AB789" i="1" s="1"/>
  <c r="V789" i="1"/>
  <c r="T789" i="1"/>
  <c r="X789" i="1" s="1"/>
  <c r="D789" i="1"/>
  <c r="C789" i="1"/>
  <c r="AB788" i="1"/>
  <c r="AA788" i="1"/>
  <c r="T788" i="1"/>
  <c r="D788" i="1"/>
  <c r="C788" i="1"/>
  <c r="AA787" i="1"/>
  <c r="AB787" i="1" s="1"/>
  <c r="X787" i="1"/>
  <c r="V787" i="1"/>
  <c r="T787" i="1"/>
  <c r="D787" i="1"/>
  <c r="C787" i="1"/>
  <c r="AB786" i="1"/>
  <c r="AA786" i="1"/>
  <c r="X786" i="1"/>
  <c r="T786" i="1"/>
  <c r="V786" i="1" s="1"/>
  <c r="D786" i="1"/>
  <c r="C786" i="1"/>
  <c r="AA785" i="1"/>
  <c r="AB785" i="1" s="1"/>
  <c r="T785" i="1"/>
  <c r="X785" i="1" s="1"/>
  <c r="V785" i="1" s="1"/>
  <c r="D785" i="1"/>
  <c r="C785" i="1"/>
  <c r="AB784" i="1"/>
  <c r="AA784" i="1"/>
  <c r="T784" i="1"/>
  <c r="D784" i="1"/>
  <c r="C784" i="1"/>
  <c r="AA783" i="1"/>
  <c r="AB783" i="1" s="1"/>
  <c r="X783" i="1"/>
  <c r="V783" i="1"/>
  <c r="T783" i="1"/>
  <c r="D783" i="1"/>
  <c r="C783" i="1"/>
  <c r="AB782" i="1"/>
  <c r="AA782" i="1"/>
  <c r="X782" i="1"/>
  <c r="T782" i="1"/>
  <c r="V782" i="1" s="1"/>
  <c r="D782" i="1"/>
  <c r="C782" i="1"/>
  <c r="AA781" i="1"/>
  <c r="AB781" i="1" s="1"/>
  <c r="V781" i="1"/>
  <c r="T781" i="1"/>
  <c r="X781" i="1" s="1"/>
  <c r="D781" i="1"/>
  <c r="C781" i="1"/>
  <c r="AB780" i="1"/>
  <c r="AA780" i="1"/>
  <c r="T780" i="1"/>
  <c r="D780" i="1"/>
  <c r="C780" i="1"/>
  <c r="AA779" i="1"/>
  <c r="AB779" i="1" s="1"/>
  <c r="X779" i="1"/>
  <c r="V779" i="1"/>
  <c r="T779" i="1"/>
  <c r="D779" i="1"/>
  <c r="C779" i="1"/>
  <c r="AB778" i="1"/>
  <c r="AA778" i="1"/>
  <c r="X778" i="1"/>
  <c r="T778" i="1"/>
  <c r="V778" i="1" s="1"/>
  <c r="D778" i="1"/>
  <c r="C778" i="1"/>
  <c r="AA777" i="1"/>
  <c r="AB777" i="1" s="1"/>
  <c r="T777" i="1"/>
  <c r="X777" i="1" s="1"/>
  <c r="V777" i="1" s="1"/>
  <c r="D777" i="1"/>
  <c r="C777" i="1"/>
  <c r="AB776" i="1"/>
  <c r="AA776" i="1"/>
  <c r="T776" i="1"/>
  <c r="D776" i="1"/>
  <c r="C776" i="1"/>
  <c r="AA775" i="1"/>
  <c r="AB775" i="1" s="1"/>
  <c r="X775" i="1"/>
  <c r="V775" i="1"/>
  <c r="T775" i="1"/>
  <c r="D775" i="1"/>
  <c r="C775" i="1"/>
  <c r="AB774" i="1"/>
  <c r="AA774" i="1"/>
  <c r="X774" i="1"/>
  <c r="T774" i="1"/>
  <c r="V774" i="1" s="1"/>
  <c r="D774" i="1"/>
  <c r="C774" i="1"/>
  <c r="AA773" i="1"/>
  <c r="AB773" i="1" s="1"/>
  <c r="V773" i="1"/>
  <c r="T773" i="1"/>
  <c r="X773" i="1" s="1"/>
  <c r="D773" i="1"/>
  <c r="C773" i="1"/>
  <c r="AB772" i="1"/>
  <c r="AA772" i="1"/>
  <c r="T772" i="1"/>
  <c r="D772" i="1"/>
  <c r="C772" i="1"/>
  <c r="AA771" i="1"/>
  <c r="AB771" i="1" s="1"/>
  <c r="X771" i="1"/>
  <c r="V771" i="1"/>
  <c r="T771" i="1"/>
  <c r="D771" i="1"/>
  <c r="C771" i="1"/>
  <c r="AB770" i="1"/>
  <c r="AA770" i="1"/>
  <c r="X770" i="1"/>
  <c r="T770" i="1"/>
  <c r="V770" i="1" s="1"/>
  <c r="D770" i="1"/>
  <c r="C770" i="1"/>
  <c r="AA769" i="1"/>
  <c r="AB769" i="1" s="1"/>
  <c r="T769" i="1"/>
  <c r="X769" i="1" s="1"/>
  <c r="V769" i="1" s="1"/>
  <c r="D769" i="1"/>
  <c r="C769" i="1"/>
  <c r="AB768" i="1"/>
  <c r="AA768" i="1"/>
  <c r="T768" i="1"/>
  <c r="D768" i="1"/>
  <c r="C768" i="1"/>
  <c r="AA767" i="1"/>
  <c r="AB767" i="1" s="1"/>
  <c r="X767" i="1"/>
  <c r="V767" i="1"/>
  <c r="T767" i="1"/>
  <c r="D767" i="1"/>
  <c r="C767" i="1"/>
  <c r="AB766" i="1"/>
  <c r="AA766" i="1"/>
  <c r="X766" i="1"/>
  <c r="T766" i="1"/>
  <c r="V766" i="1" s="1"/>
  <c r="D766" i="1"/>
  <c r="C766" i="1"/>
  <c r="AA765" i="1"/>
  <c r="AB765" i="1" s="1"/>
  <c r="V765" i="1"/>
  <c r="T765" i="1"/>
  <c r="X765" i="1" s="1"/>
  <c r="D765" i="1"/>
  <c r="C765" i="1"/>
  <c r="AB764" i="1"/>
  <c r="AA764" i="1"/>
  <c r="T764" i="1"/>
  <c r="D764" i="1"/>
  <c r="C764" i="1"/>
  <c r="AA763" i="1"/>
  <c r="AB763" i="1" s="1"/>
  <c r="X763" i="1"/>
  <c r="V763" i="1"/>
  <c r="T763" i="1"/>
  <c r="D763" i="1"/>
  <c r="C763" i="1"/>
  <c r="AB762" i="1"/>
  <c r="AA762" i="1"/>
  <c r="X762" i="1"/>
  <c r="T762" i="1"/>
  <c r="V762" i="1" s="1"/>
  <c r="D762" i="1"/>
  <c r="C762" i="1"/>
  <c r="AA761" i="1"/>
  <c r="AB761" i="1" s="1"/>
  <c r="T761" i="1"/>
  <c r="X761" i="1" s="1"/>
  <c r="V761" i="1" s="1"/>
  <c r="D761" i="1"/>
  <c r="C761" i="1"/>
  <c r="AB760" i="1"/>
  <c r="AA760" i="1"/>
  <c r="T760" i="1"/>
  <c r="D760" i="1"/>
  <c r="C760" i="1"/>
  <c r="AA759" i="1"/>
  <c r="AB759" i="1" s="1"/>
  <c r="X759" i="1"/>
  <c r="V759" i="1"/>
  <c r="T759" i="1"/>
  <c r="D759" i="1"/>
  <c r="C759" i="1"/>
  <c r="AB758" i="1"/>
  <c r="AA758" i="1"/>
  <c r="X758" i="1"/>
  <c r="T758" i="1"/>
  <c r="V758" i="1" s="1"/>
  <c r="D758" i="1"/>
  <c r="C758" i="1"/>
  <c r="AA757" i="1"/>
  <c r="AB757" i="1" s="1"/>
  <c r="V757" i="1"/>
  <c r="T757" i="1"/>
  <c r="X757" i="1" s="1"/>
  <c r="D757" i="1"/>
  <c r="C757" i="1"/>
  <c r="AB756" i="1"/>
  <c r="AA756" i="1"/>
  <c r="T756" i="1"/>
  <c r="D756" i="1"/>
  <c r="C756" i="1"/>
  <c r="AA755" i="1"/>
  <c r="AB755" i="1" s="1"/>
  <c r="X755" i="1"/>
  <c r="V755" i="1"/>
  <c r="T755" i="1"/>
  <c r="D755" i="1"/>
  <c r="C755" i="1"/>
  <c r="AB754" i="1"/>
  <c r="AA754" i="1"/>
  <c r="X754" i="1"/>
  <c r="T754" i="1"/>
  <c r="V754" i="1" s="1"/>
  <c r="D754" i="1"/>
  <c r="C754" i="1"/>
  <c r="AA753" i="1"/>
  <c r="AB753" i="1" s="1"/>
  <c r="T753" i="1"/>
  <c r="X753" i="1" s="1"/>
  <c r="V753" i="1" s="1"/>
  <c r="D753" i="1"/>
  <c r="C753" i="1"/>
  <c r="AB752" i="1"/>
  <c r="AA752" i="1"/>
  <c r="T752" i="1"/>
  <c r="D752" i="1"/>
  <c r="C752" i="1"/>
  <c r="AA751" i="1"/>
  <c r="AB751" i="1" s="1"/>
  <c r="X751" i="1"/>
  <c r="V751" i="1"/>
  <c r="T751" i="1"/>
  <c r="D751" i="1"/>
  <c r="C751" i="1"/>
  <c r="AB750" i="1"/>
  <c r="AA750" i="1"/>
  <c r="X750" i="1"/>
  <c r="T750" i="1"/>
  <c r="V750" i="1" s="1"/>
  <c r="D750" i="1"/>
  <c r="C750" i="1"/>
  <c r="AA749" i="1"/>
  <c r="AB749" i="1" s="1"/>
  <c r="V749" i="1"/>
  <c r="T749" i="1"/>
  <c r="X749" i="1" s="1"/>
  <c r="D749" i="1"/>
  <c r="C749" i="1"/>
  <c r="AB748" i="1"/>
  <c r="AA748" i="1"/>
  <c r="T748" i="1"/>
  <c r="D748" i="1"/>
  <c r="C748" i="1"/>
  <c r="AA747" i="1"/>
  <c r="AB747" i="1" s="1"/>
  <c r="X747" i="1"/>
  <c r="V747" i="1"/>
  <c r="T747" i="1"/>
  <c r="D747" i="1"/>
  <c r="C747" i="1"/>
  <c r="AB746" i="1"/>
  <c r="AA746" i="1"/>
  <c r="X746" i="1"/>
  <c r="T746" i="1"/>
  <c r="V746" i="1" s="1"/>
  <c r="D746" i="1"/>
  <c r="C746" i="1"/>
  <c r="AA745" i="1"/>
  <c r="AB745" i="1" s="1"/>
  <c r="T745" i="1"/>
  <c r="X745" i="1" s="1"/>
  <c r="V745" i="1" s="1"/>
  <c r="D745" i="1"/>
  <c r="C745" i="1"/>
  <c r="AB744" i="1"/>
  <c r="AA744" i="1"/>
  <c r="T744" i="1"/>
  <c r="D744" i="1"/>
  <c r="C744" i="1"/>
  <c r="AA743" i="1"/>
  <c r="AB743" i="1" s="1"/>
  <c r="X743" i="1"/>
  <c r="V743" i="1"/>
  <c r="T743" i="1"/>
  <c r="D743" i="1"/>
  <c r="C743" i="1"/>
  <c r="AB742" i="1"/>
  <c r="AA742" i="1"/>
  <c r="X742" i="1"/>
  <c r="T742" i="1"/>
  <c r="V742" i="1" s="1"/>
  <c r="D742" i="1"/>
  <c r="C742" i="1"/>
  <c r="AA741" i="1"/>
  <c r="AB741" i="1" s="1"/>
  <c r="V741" i="1"/>
  <c r="T741" i="1"/>
  <c r="X741" i="1" s="1"/>
  <c r="D741" i="1"/>
  <c r="C741" i="1"/>
  <c r="AB740" i="1"/>
  <c r="AA740" i="1"/>
  <c r="T740" i="1"/>
  <c r="D740" i="1"/>
  <c r="C740" i="1"/>
  <c r="AA739" i="1"/>
  <c r="AB739" i="1" s="1"/>
  <c r="X739" i="1"/>
  <c r="V739" i="1"/>
  <c r="T739" i="1"/>
  <c r="D739" i="1"/>
  <c r="C739" i="1"/>
  <c r="AB738" i="1"/>
  <c r="AA738" i="1"/>
  <c r="X738" i="1"/>
  <c r="T738" i="1"/>
  <c r="V738" i="1" s="1"/>
  <c r="D738" i="1"/>
  <c r="C738" i="1"/>
  <c r="AA737" i="1"/>
  <c r="AB737" i="1" s="1"/>
  <c r="T737" i="1"/>
  <c r="X737" i="1" s="1"/>
  <c r="V737" i="1" s="1"/>
  <c r="D737" i="1"/>
  <c r="C737" i="1"/>
  <c r="AB736" i="1"/>
  <c r="AA736" i="1"/>
  <c r="T736" i="1"/>
  <c r="D736" i="1"/>
  <c r="C736" i="1"/>
  <c r="AA735" i="1"/>
  <c r="AB735" i="1" s="1"/>
  <c r="X735" i="1"/>
  <c r="V735" i="1"/>
  <c r="T735" i="1"/>
  <c r="D735" i="1"/>
  <c r="C735" i="1"/>
  <c r="AB734" i="1"/>
  <c r="AA734" i="1"/>
  <c r="X734" i="1"/>
  <c r="T734" i="1"/>
  <c r="V734" i="1" s="1"/>
  <c r="D734" i="1"/>
  <c r="C734" i="1"/>
  <c r="AA733" i="1"/>
  <c r="AB733" i="1" s="1"/>
  <c r="V733" i="1"/>
  <c r="T733" i="1"/>
  <c r="X733" i="1" s="1"/>
  <c r="D733" i="1"/>
  <c r="C733" i="1"/>
  <c r="AB732" i="1"/>
  <c r="AA732" i="1"/>
  <c r="T732" i="1"/>
  <c r="D732" i="1"/>
  <c r="C732" i="1"/>
  <c r="AA731" i="1"/>
  <c r="AB731" i="1" s="1"/>
  <c r="X731" i="1"/>
  <c r="V731" i="1"/>
  <c r="T731" i="1"/>
  <c r="D731" i="1"/>
  <c r="C731" i="1"/>
  <c r="AB730" i="1"/>
  <c r="AA730" i="1"/>
  <c r="X730" i="1"/>
  <c r="T730" i="1"/>
  <c r="V730" i="1" s="1"/>
  <c r="D730" i="1"/>
  <c r="C730" i="1"/>
  <c r="AA729" i="1"/>
  <c r="AB729" i="1" s="1"/>
  <c r="T729" i="1"/>
  <c r="X729" i="1" s="1"/>
  <c r="V729" i="1" s="1"/>
  <c r="D729" i="1"/>
  <c r="C729" i="1"/>
  <c r="AB728" i="1"/>
  <c r="AA728" i="1"/>
  <c r="T728" i="1"/>
  <c r="D728" i="1"/>
  <c r="C728" i="1"/>
  <c r="AA727" i="1"/>
  <c r="AB727" i="1" s="1"/>
  <c r="X727" i="1"/>
  <c r="V727" i="1"/>
  <c r="T727" i="1"/>
  <c r="D727" i="1"/>
  <c r="C727" i="1"/>
  <c r="AB726" i="1"/>
  <c r="AA726" i="1"/>
  <c r="X726" i="1"/>
  <c r="T726" i="1"/>
  <c r="V726" i="1" s="1"/>
  <c r="D726" i="1"/>
  <c r="C726" i="1"/>
  <c r="AA725" i="1"/>
  <c r="AB725" i="1" s="1"/>
  <c r="V725" i="1"/>
  <c r="T725" i="1"/>
  <c r="X725" i="1" s="1"/>
  <c r="D725" i="1"/>
  <c r="C725" i="1"/>
  <c r="AB724" i="1"/>
  <c r="AA724" i="1"/>
  <c r="T724" i="1"/>
  <c r="D724" i="1"/>
  <c r="C724" i="1"/>
  <c r="AA723" i="1"/>
  <c r="AB723" i="1" s="1"/>
  <c r="X723" i="1"/>
  <c r="V723" i="1"/>
  <c r="T723" i="1"/>
  <c r="D723" i="1"/>
  <c r="C723" i="1"/>
  <c r="AB722" i="1"/>
  <c r="AA722" i="1"/>
  <c r="X722" i="1"/>
  <c r="T722" i="1"/>
  <c r="V722" i="1" s="1"/>
  <c r="D722" i="1"/>
  <c r="C722" i="1"/>
  <c r="AA721" i="1"/>
  <c r="AB721" i="1" s="1"/>
  <c r="V721" i="1"/>
  <c r="T721" i="1"/>
  <c r="X721" i="1" s="1"/>
  <c r="D721" i="1"/>
  <c r="C721" i="1"/>
  <c r="AB720" i="1"/>
  <c r="AA720" i="1"/>
  <c r="T720" i="1"/>
  <c r="D720" i="1"/>
  <c r="C720" i="1"/>
  <c r="AA719" i="1"/>
  <c r="AB719" i="1" s="1"/>
  <c r="X719" i="1"/>
  <c r="V719" i="1"/>
  <c r="T719" i="1"/>
  <c r="D719" i="1"/>
  <c r="C719" i="1"/>
  <c r="AB718" i="1"/>
  <c r="AA718" i="1"/>
  <c r="X718" i="1"/>
  <c r="T718" i="1"/>
  <c r="V718" i="1" s="1"/>
  <c r="D718" i="1"/>
  <c r="C718" i="1"/>
  <c r="AA717" i="1"/>
  <c r="AB717" i="1" s="1"/>
  <c r="V717" i="1"/>
  <c r="T717" i="1"/>
  <c r="X717" i="1" s="1"/>
  <c r="D717" i="1"/>
  <c r="C717" i="1"/>
  <c r="AB716" i="1"/>
  <c r="AA716" i="1"/>
  <c r="T716" i="1"/>
  <c r="D716" i="1"/>
  <c r="C716" i="1"/>
  <c r="AA715" i="1"/>
  <c r="AB715" i="1" s="1"/>
  <c r="X715" i="1"/>
  <c r="V715" i="1"/>
  <c r="T715" i="1"/>
  <c r="D715" i="1"/>
  <c r="C715" i="1"/>
  <c r="AB714" i="1"/>
  <c r="AA714" i="1"/>
  <c r="X714" i="1"/>
  <c r="T714" i="1"/>
  <c r="V714" i="1" s="1"/>
  <c r="D714" i="1"/>
  <c r="C714" i="1"/>
  <c r="AA713" i="1"/>
  <c r="AB713" i="1" s="1"/>
  <c r="V713" i="1"/>
  <c r="T713" i="1"/>
  <c r="X713" i="1" s="1"/>
  <c r="D713" i="1"/>
  <c r="C713" i="1"/>
  <c r="AB712" i="1"/>
  <c r="AA712" i="1"/>
  <c r="T712" i="1"/>
  <c r="D712" i="1"/>
  <c r="C712" i="1"/>
  <c r="AA711" i="1"/>
  <c r="AB711" i="1" s="1"/>
  <c r="X711" i="1"/>
  <c r="V711" i="1"/>
  <c r="T711" i="1"/>
  <c r="D711" i="1"/>
  <c r="C711" i="1"/>
  <c r="AB710" i="1"/>
  <c r="AA710" i="1"/>
  <c r="X710" i="1"/>
  <c r="T710" i="1"/>
  <c r="V710" i="1" s="1"/>
  <c r="D710" i="1"/>
  <c r="C710" i="1"/>
  <c r="AA709" i="1"/>
  <c r="AB709" i="1" s="1"/>
  <c r="V709" i="1"/>
  <c r="T709" i="1"/>
  <c r="X709" i="1" s="1"/>
  <c r="D709" i="1"/>
  <c r="C709" i="1"/>
  <c r="AB708" i="1"/>
  <c r="AA708" i="1"/>
  <c r="T708" i="1"/>
  <c r="D708" i="1"/>
  <c r="C708" i="1"/>
  <c r="AA707" i="1"/>
  <c r="AB707" i="1" s="1"/>
  <c r="X707" i="1"/>
  <c r="V707" i="1"/>
  <c r="T707" i="1"/>
  <c r="D707" i="1"/>
  <c r="C707" i="1"/>
  <c r="AB706" i="1"/>
  <c r="AA706" i="1"/>
  <c r="X706" i="1"/>
  <c r="T706" i="1"/>
  <c r="V706" i="1" s="1"/>
  <c r="D706" i="1"/>
  <c r="C706" i="1"/>
  <c r="AA705" i="1"/>
  <c r="AB705" i="1" s="1"/>
  <c r="V705" i="1"/>
  <c r="T705" i="1"/>
  <c r="X705" i="1" s="1"/>
  <c r="D705" i="1"/>
  <c r="C705" i="1"/>
  <c r="AB704" i="1"/>
  <c r="AA704" i="1"/>
  <c r="T704" i="1"/>
  <c r="D704" i="1"/>
  <c r="C704" i="1"/>
  <c r="AA703" i="1"/>
  <c r="AB703" i="1" s="1"/>
  <c r="X703" i="1"/>
  <c r="V703" i="1"/>
  <c r="T703" i="1"/>
  <c r="D703" i="1"/>
  <c r="C703" i="1"/>
  <c r="AB702" i="1"/>
  <c r="AA702" i="1"/>
  <c r="X702" i="1"/>
  <c r="T702" i="1"/>
  <c r="V702" i="1" s="1"/>
  <c r="D702" i="1"/>
  <c r="C702" i="1"/>
  <c r="AA701" i="1"/>
  <c r="AB701" i="1" s="1"/>
  <c r="V701" i="1"/>
  <c r="T701" i="1"/>
  <c r="X701" i="1" s="1"/>
  <c r="D701" i="1"/>
  <c r="C701" i="1"/>
  <c r="AB700" i="1"/>
  <c r="AA700" i="1"/>
  <c r="T700" i="1"/>
  <c r="D700" i="1"/>
  <c r="C700" i="1"/>
  <c r="AA699" i="1"/>
  <c r="AB699" i="1" s="1"/>
  <c r="X699" i="1"/>
  <c r="V699" i="1"/>
  <c r="T699" i="1"/>
  <c r="D699" i="1"/>
  <c r="C699" i="1"/>
  <c r="AB698" i="1"/>
  <c r="AA698" i="1"/>
  <c r="X698" i="1"/>
  <c r="T698" i="1"/>
  <c r="V698" i="1" s="1"/>
  <c r="D698" i="1"/>
  <c r="C698" i="1"/>
  <c r="AA697" i="1"/>
  <c r="AB697" i="1" s="1"/>
  <c r="V697" i="1"/>
  <c r="T697" i="1"/>
  <c r="X697" i="1" s="1"/>
  <c r="D697" i="1"/>
  <c r="C697" i="1"/>
  <c r="AB696" i="1"/>
  <c r="AA696" i="1"/>
  <c r="T696" i="1"/>
  <c r="D696" i="1"/>
  <c r="C696" i="1"/>
  <c r="AA695" i="1"/>
  <c r="AB695" i="1" s="1"/>
  <c r="X695" i="1"/>
  <c r="V695" i="1"/>
  <c r="T695" i="1"/>
  <c r="D695" i="1"/>
  <c r="C695" i="1"/>
  <c r="AB694" i="1"/>
  <c r="AA694" i="1"/>
  <c r="X694" i="1"/>
  <c r="T694" i="1"/>
  <c r="V694" i="1" s="1"/>
  <c r="D694" i="1"/>
  <c r="C694" i="1"/>
  <c r="AA693" i="1"/>
  <c r="AB693" i="1" s="1"/>
  <c r="V693" i="1"/>
  <c r="T693" i="1"/>
  <c r="X693" i="1" s="1"/>
  <c r="D693" i="1"/>
  <c r="C693" i="1"/>
  <c r="AB692" i="1"/>
  <c r="AA692" i="1"/>
  <c r="T692" i="1"/>
  <c r="D692" i="1"/>
  <c r="C692" i="1"/>
  <c r="AA691" i="1"/>
  <c r="AB691" i="1" s="1"/>
  <c r="X691" i="1"/>
  <c r="V691" i="1"/>
  <c r="T691" i="1"/>
  <c r="D691" i="1"/>
  <c r="C691" i="1"/>
  <c r="AB690" i="1"/>
  <c r="AA690" i="1"/>
  <c r="X690" i="1"/>
  <c r="T690" i="1"/>
  <c r="V690" i="1" s="1"/>
  <c r="D690" i="1"/>
  <c r="C690" i="1"/>
  <c r="AA689" i="1"/>
  <c r="AB689" i="1" s="1"/>
  <c r="V689" i="1"/>
  <c r="T689" i="1"/>
  <c r="X689" i="1" s="1"/>
  <c r="D689" i="1"/>
  <c r="C689" i="1"/>
  <c r="AB688" i="1"/>
  <c r="AA688" i="1"/>
  <c r="T688" i="1"/>
  <c r="D688" i="1"/>
  <c r="C688" i="1"/>
  <c r="AA687" i="1"/>
  <c r="AB687" i="1" s="1"/>
  <c r="X687" i="1"/>
  <c r="V687" i="1"/>
  <c r="T687" i="1"/>
  <c r="D687" i="1"/>
  <c r="C687" i="1"/>
  <c r="AB686" i="1"/>
  <c r="AA686" i="1"/>
  <c r="X686" i="1"/>
  <c r="T686" i="1"/>
  <c r="V686" i="1" s="1"/>
  <c r="D686" i="1"/>
  <c r="C686" i="1"/>
  <c r="AA685" i="1"/>
  <c r="AB685" i="1" s="1"/>
  <c r="V685" i="1"/>
  <c r="T685" i="1"/>
  <c r="X685" i="1" s="1"/>
  <c r="D685" i="1"/>
  <c r="C685" i="1"/>
  <c r="AB684" i="1"/>
  <c r="AA684" i="1"/>
  <c r="T684" i="1"/>
  <c r="D684" i="1"/>
  <c r="C684" i="1"/>
  <c r="AA683" i="1"/>
  <c r="AB683" i="1" s="1"/>
  <c r="X683" i="1"/>
  <c r="V683" i="1"/>
  <c r="T683" i="1"/>
  <c r="D683" i="1"/>
  <c r="C683" i="1"/>
  <c r="AB682" i="1"/>
  <c r="AA682" i="1"/>
  <c r="X682" i="1"/>
  <c r="T682" i="1"/>
  <c r="V682" i="1" s="1"/>
  <c r="D682" i="1"/>
  <c r="C682" i="1"/>
  <c r="AA681" i="1"/>
  <c r="AB681" i="1" s="1"/>
  <c r="V681" i="1"/>
  <c r="T681" i="1"/>
  <c r="X681" i="1" s="1"/>
  <c r="D681" i="1"/>
  <c r="C681" i="1"/>
  <c r="AB680" i="1"/>
  <c r="AA680" i="1"/>
  <c r="T680" i="1"/>
  <c r="D680" i="1"/>
  <c r="C680" i="1"/>
  <c r="AA679" i="1"/>
  <c r="AB679" i="1" s="1"/>
  <c r="X679" i="1"/>
  <c r="V679" i="1"/>
  <c r="T679" i="1"/>
  <c r="D679" i="1"/>
  <c r="C679" i="1"/>
  <c r="AB678" i="1"/>
  <c r="AA678" i="1"/>
  <c r="T678" i="1"/>
  <c r="D678" i="1"/>
  <c r="C678" i="1"/>
  <c r="AA677" i="1"/>
  <c r="AB677" i="1" s="1"/>
  <c r="V677" i="1"/>
  <c r="T677" i="1"/>
  <c r="X677" i="1" s="1"/>
  <c r="D677" i="1"/>
  <c r="C677" i="1"/>
  <c r="AB676" i="1"/>
  <c r="AA676" i="1"/>
  <c r="X676" i="1"/>
  <c r="T676" i="1"/>
  <c r="D676" i="1"/>
  <c r="C676" i="1"/>
  <c r="AA675" i="1"/>
  <c r="AB675" i="1" s="1"/>
  <c r="X675" i="1"/>
  <c r="V675" i="1"/>
  <c r="T675" i="1"/>
  <c r="D675" i="1"/>
  <c r="C675" i="1"/>
  <c r="AB674" i="1"/>
  <c r="AA674" i="1"/>
  <c r="X674" i="1"/>
  <c r="T674" i="1"/>
  <c r="D674" i="1"/>
  <c r="C674" i="1"/>
  <c r="AA673" i="1"/>
  <c r="AB673" i="1" s="1"/>
  <c r="T673" i="1"/>
  <c r="X673" i="1" s="1"/>
  <c r="V673" i="1" s="1"/>
  <c r="D673" i="1"/>
  <c r="C673" i="1"/>
  <c r="AB672" i="1"/>
  <c r="AA672" i="1"/>
  <c r="T672" i="1"/>
  <c r="D672" i="1"/>
  <c r="C672" i="1"/>
  <c r="AA671" i="1"/>
  <c r="AB671" i="1" s="1"/>
  <c r="X671" i="1"/>
  <c r="V671" i="1"/>
  <c r="T671" i="1"/>
  <c r="D671" i="1"/>
  <c r="C671" i="1"/>
  <c r="AB670" i="1"/>
  <c r="AA670" i="1"/>
  <c r="T670" i="1"/>
  <c r="D670" i="1"/>
  <c r="C670" i="1"/>
  <c r="AA669" i="1"/>
  <c r="AB669" i="1" s="1"/>
  <c r="V669" i="1"/>
  <c r="T669" i="1"/>
  <c r="X669" i="1" s="1"/>
  <c r="D669" i="1"/>
  <c r="C669" i="1"/>
  <c r="AB668" i="1"/>
  <c r="AA668" i="1"/>
  <c r="X668" i="1"/>
  <c r="T668" i="1"/>
  <c r="D668" i="1"/>
  <c r="C668" i="1"/>
  <c r="AA667" i="1"/>
  <c r="AB667" i="1" s="1"/>
  <c r="X667" i="1"/>
  <c r="V667" i="1"/>
  <c r="T667" i="1"/>
  <c r="D667" i="1"/>
  <c r="C667" i="1"/>
  <c r="AB666" i="1"/>
  <c r="AA666" i="1"/>
  <c r="X666" i="1"/>
  <c r="T666" i="1"/>
  <c r="D666" i="1"/>
  <c r="C666" i="1"/>
  <c r="AA665" i="1"/>
  <c r="AB665" i="1" s="1"/>
  <c r="T665" i="1"/>
  <c r="D665" i="1"/>
  <c r="C665" i="1"/>
  <c r="AB664" i="1"/>
  <c r="AA664" i="1"/>
  <c r="X664" i="1"/>
  <c r="T664" i="1"/>
  <c r="D664" i="1"/>
  <c r="C664" i="1"/>
  <c r="AA663" i="1"/>
  <c r="AB663" i="1" s="1"/>
  <c r="T663" i="1"/>
  <c r="X663" i="1" s="1"/>
  <c r="V663" i="1" s="1"/>
  <c r="D663" i="1"/>
  <c r="C663" i="1"/>
  <c r="AB662" i="1"/>
  <c r="AA662" i="1"/>
  <c r="T662" i="1"/>
  <c r="D662" i="1"/>
  <c r="C662" i="1"/>
  <c r="AA661" i="1"/>
  <c r="AB661" i="1" s="1"/>
  <c r="X661" i="1"/>
  <c r="V661" i="1"/>
  <c r="T661" i="1"/>
  <c r="D661" i="1"/>
  <c r="C661" i="1"/>
  <c r="AA660" i="1"/>
  <c r="V660" i="1"/>
  <c r="T660" i="1"/>
  <c r="X660" i="1" s="1"/>
  <c r="D660" i="1"/>
  <c r="C660" i="1"/>
  <c r="AB659" i="1"/>
  <c r="AA659" i="1"/>
  <c r="X659" i="1"/>
  <c r="T659" i="1"/>
  <c r="D659" i="1"/>
  <c r="C659" i="1"/>
  <c r="AA658" i="1"/>
  <c r="AB658" i="1" s="1"/>
  <c r="T658" i="1"/>
  <c r="D658" i="1"/>
  <c r="C658" i="1"/>
  <c r="AB657" i="1"/>
  <c r="AA657" i="1"/>
  <c r="X657" i="1"/>
  <c r="T657" i="1"/>
  <c r="D657" i="1"/>
  <c r="C657" i="1"/>
  <c r="AA656" i="1"/>
  <c r="AB656" i="1" s="1"/>
  <c r="X656" i="1"/>
  <c r="V656" i="1"/>
  <c r="T656" i="1"/>
  <c r="D656" i="1"/>
  <c r="C656" i="1"/>
  <c r="AB655" i="1"/>
  <c r="AA655" i="1"/>
  <c r="X655" i="1"/>
  <c r="T655" i="1"/>
  <c r="D655" i="1"/>
  <c r="C655" i="1"/>
  <c r="AA654" i="1"/>
  <c r="AB654" i="1" s="1"/>
  <c r="T654" i="1"/>
  <c r="D654" i="1"/>
  <c r="C654" i="1"/>
  <c r="AA653" i="1"/>
  <c r="AB653" i="1" s="1"/>
  <c r="T653" i="1"/>
  <c r="D653" i="1"/>
  <c r="C653" i="1"/>
  <c r="AA652" i="1"/>
  <c r="AB652" i="1" s="1"/>
  <c r="X652" i="1"/>
  <c r="V652" i="1" s="1"/>
  <c r="T652" i="1"/>
  <c r="D652" i="1"/>
  <c r="C652" i="1"/>
  <c r="AB651" i="1"/>
  <c r="AA651" i="1"/>
  <c r="T651" i="1"/>
  <c r="X651" i="1" s="1"/>
  <c r="V651" i="1" s="1"/>
  <c r="D651" i="1"/>
  <c r="C651" i="1"/>
  <c r="AB650" i="1"/>
  <c r="AA650" i="1"/>
  <c r="V650" i="1"/>
  <c r="T650" i="1"/>
  <c r="X650" i="1" s="1"/>
  <c r="D650" i="1"/>
  <c r="C650" i="1"/>
  <c r="AB649" i="1"/>
  <c r="AA649" i="1"/>
  <c r="X649" i="1"/>
  <c r="T649" i="1"/>
  <c r="D649" i="1"/>
  <c r="C649" i="1"/>
  <c r="AA648" i="1"/>
  <c r="AB648" i="1" s="1"/>
  <c r="X648" i="1"/>
  <c r="V648" i="1"/>
  <c r="T648" i="1"/>
  <c r="D648" i="1"/>
  <c r="C648" i="1"/>
  <c r="AB647" i="1"/>
  <c r="AA647" i="1"/>
  <c r="T647" i="1"/>
  <c r="D647" i="1"/>
  <c r="C647" i="1"/>
  <c r="AA646" i="1"/>
  <c r="AB646" i="1" s="1"/>
  <c r="T646" i="1"/>
  <c r="X646" i="1" s="1"/>
  <c r="D646" i="1"/>
  <c r="C646" i="1"/>
  <c r="AA645" i="1"/>
  <c r="AB645" i="1" s="1"/>
  <c r="T645" i="1"/>
  <c r="D645" i="1"/>
  <c r="C645" i="1"/>
  <c r="AA644" i="1"/>
  <c r="AB644" i="1" s="1"/>
  <c r="X644" i="1"/>
  <c r="V644" i="1" s="1"/>
  <c r="T644" i="1"/>
  <c r="D644" i="1"/>
  <c r="C644" i="1"/>
  <c r="AB643" i="1"/>
  <c r="AA643" i="1"/>
  <c r="X643" i="1"/>
  <c r="V643" i="1"/>
  <c r="T643" i="1"/>
  <c r="D643" i="1"/>
  <c r="C643" i="1"/>
  <c r="AB642" i="1"/>
  <c r="AA642" i="1"/>
  <c r="V642" i="1"/>
  <c r="T642" i="1"/>
  <c r="X642" i="1" s="1"/>
  <c r="D642" i="1"/>
  <c r="C642" i="1"/>
  <c r="AB641" i="1"/>
  <c r="AA641" i="1"/>
  <c r="X641" i="1"/>
  <c r="T641" i="1"/>
  <c r="D641" i="1"/>
  <c r="C641" i="1"/>
  <c r="AA640" i="1"/>
  <c r="AB640" i="1" s="1"/>
  <c r="X640" i="1"/>
  <c r="V640" i="1"/>
  <c r="T640" i="1"/>
  <c r="D640" i="1"/>
  <c r="C640" i="1"/>
  <c r="AB639" i="1"/>
  <c r="AA639" i="1"/>
  <c r="X639" i="1"/>
  <c r="T639" i="1"/>
  <c r="V639" i="1" s="1"/>
  <c r="D639" i="1"/>
  <c r="C639" i="1"/>
  <c r="AA638" i="1"/>
  <c r="AB638" i="1" s="1"/>
  <c r="T638" i="1"/>
  <c r="D638" i="1"/>
  <c r="C638" i="1"/>
  <c r="AA637" i="1"/>
  <c r="AB637" i="1" s="1"/>
  <c r="T637" i="1"/>
  <c r="D637" i="1"/>
  <c r="C637" i="1"/>
  <c r="AA636" i="1"/>
  <c r="AB636" i="1" s="1"/>
  <c r="X636" i="1"/>
  <c r="V636" i="1" s="1"/>
  <c r="T636" i="1"/>
  <c r="D636" i="1"/>
  <c r="C636" i="1"/>
  <c r="AB635" i="1"/>
  <c r="AA635" i="1"/>
  <c r="T635" i="1"/>
  <c r="X635" i="1" s="1"/>
  <c r="V635" i="1" s="1"/>
  <c r="D635" i="1"/>
  <c r="C635" i="1"/>
  <c r="AB634" i="1"/>
  <c r="AA634" i="1"/>
  <c r="V634" i="1"/>
  <c r="T634" i="1"/>
  <c r="X634" i="1" s="1"/>
  <c r="D634" i="1"/>
  <c r="C634" i="1"/>
  <c r="AB633" i="1"/>
  <c r="AA633" i="1"/>
  <c r="X633" i="1"/>
  <c r="T633" i="1"/>
  <c r="D633" i="1"/>
  <c r="C633" i="1"/>
  <c r="AA632" i="1"/>
  <c r="AB632" i="1" s="1"/>
  <c r="X632" i="1"/>
  <c r="V632" i="1"/>
  <c r="T632" i="1"/>
  <c r="D632" i="1"/>
  <c r="C632" i="1"/>
  <c r="AB631" i="1"/>
  <c r="AA631" i="1"/>
  <c r="T631" i="1"/>
  <c r="D631" i="1"/>
  <c r="C631" i="1"/>
  <c r="AA630" i="1"/>
  <c r="AB630" i="1" s="1"/>
  <c r="T630" i="1"/>
  <c r="X630" i="1" s="1"/>
  <c r="D630" i="1"/>
  <c r="C630" i="1"/>
  <c r="AA629" i="1"/>
  <c r="AB629" i="1" s="1"/>
  <c r="T629" i="1"/>
  <c r="D629" i="1"/>
  <c r="C629" i="1"/>
  <c r="AA628" i="1"/>
  <c r="AB628" i="1" s="1"/>
  <c r="X628" i="1"/>
  <c r="V628" i="1" s="1"/>
  <c r="T628" i="1"/>
  <c r="D628" i="1"/>
  <c r="C628" i="1"/>
  <c r="AB627" i="1"/>
  <c r="AA627" i="1"/>
  <c r="X627" i="1"/>
  <c r="V627" i="1"/>
  <c r="T627" i="1"/>
  <c r="D627" i="1"/>
  <c r="C627" i="1"/>
  <c r="AB626" i="1"/>
  <c r="AA626" i="1"/>
  <c r="V626" i="1"/>
  <c r="T626" i="1"/>
  <c r="X626" i="1" s="1"/>
  <c r="D626" i="1"/>
  <c r="C626" i="1"/>
  <c r="AB625" i="1"/>
  <c r="AA625" i="1"/>
  <c r="X625" i="1"/>
  <c r="T625" i="1"/>
  <c r="D625" i="1"/>
  <c r="C625" i="1"/>
  <c r="AA624" i="1"/>
  <c r="AB624" i="1" s="1"/>
  <c r="X624" i="1"/>
  <c r="V624" i="1"/>
  <c r="T624" i="1"/>
  <c r="D624" i="1"/>
  <c r="C624" i="1"/>
  <c r="AB623" i="1"/>
  <c r="AA623" i="1"/>
  <c r="X623" i="1"/>
  <c r="T623" i="1"/>
  <c r="D623" i="1"/>
  <c r="C623" i="1"/>
  <c r="AA622" i="1"/>
  <c r="AB622" i="1" s="1"/>
  <c r="T622" i="1"/>
  <c r="D622" i="1"/>
  <c r="C622" i="1"/>
  <c r="AA621" i="1"/>
  <c r="AB621" i="1" s="1"/>
  <c r="T621" i="1"/>
  <c r="D621" i="1"/>
  <c r="C621" i="1"/>
  <c r="AA620" i="1"/>
  <c r="AB620" i="1" s="1"/>
  <c r="X620" i="1"/>
  <c r="V620" i="1" s="1"/>
  <c r="T620" i="1"/>
  <c r="D620" i="1"/>
  <c r="C620" i="1"/>
  <c r="AB619" i="1"/>
  <c r="AA619" i="1"/>
  <c r="T619" i="1"/>
  <c r="X619" i="1" s="1"/>
  <c r="V619" i="1" s="1"/>
  <c r="D619" i="1"/>
  <c r="C619" i="1"/>
  <c r="AB618" i="1"/>
  <c r="AA618" i="1"/>
  <c r="V618" i="1"/>
  <c r="T618" i="1"/>
  <c r="X618" i="1" s="1"/>
  <c r="D618" i="1"/>
  <c r="C618" i="1"/>
  <c r="AB617" i="1"/>
  <c r="AA617" i="1"/>
  <c r="X617" i="1"/>
  <c r="T617" i="1"/>
  <c r="D617" i="1"/>
  <c r="C617" i="1"/>
  <c r="AA616" i="1"/>
  <c r="AB616" i="1" s="1"/>
  <c r="X616" i="1"/>
  <c r="V616" i="1"/>
  <c r="T616" i="1"/>
  <c r="D616" i="1"/>
  <c r="C616" i="1"/>
  <c r="AB615" i="1"/>
  <c r="AA615" i="1"/>
  <c r="T615" i="1"/>
  <c r="D615" i="1"/>
  <c r="C615" i="1"/>
  <c r="AA614" i="1"/>
  <c r="X614" i="1"/>
  <c r="T614" i="1"/>
  <c r="D614" i="1"/>
  <c r="C614" i="1"/>
  <c r="AA613" i="1"/>
  <c r="AB613" i="1" s="1"/>
  <c r="X613" i="1"/>
  <c r="V613" i="1"/>
  <c r="T613" i="1"/>
  <c r="D613" i="1"/>
  <c r="C613" i="1"/>
  <c r="AB612" i="1"/>
  <c r="AA612" i="1"/>
  <c r="X612" i="1"/>
  <c r="T612" i="1"/>
  <c r="D612" i="1"/>
  <c r="C612" i="1"/>
  <c r="AA611" i="1"/>
  <c r="AB611" i="1" s="1"/>
  <c r="T611" i="1"/>
  <c r="D611" i="1"/>
  <c r="C611" i="1"/>
  <c r="AA610" i="1"/>
  <c r="AB610" i="1" s="1"/>
  <c r="T610" i="1"/>
  <c r="D610" i="1"/>
  <c r="C610" i="1"/>
  <c r="AA609" i="1"/>
  <c r="AB609" i="1" s="1"/>
  <c r="X609" i="1"/>
  <c r="V609" i="1" s="1"/>
  <c r="T609" i="1"/>
  <c r="D609" i="1"/>
  <c r="C609" i="1"/>
  <c r="AB608" i="1"/>
  <c r="AA608" i="1"/>
  <c r="T608" i="1"/>
  <c r="X608" i="1" s="1"/>
  <c r="V608" i="1" s="1"/>
  <c r="D608" i="1"/>
  <c r="C608" i="1"/>
  <c r="AB607" i="1"/>
  <c r="AA607" i="1"/>
  <c r="V607" i="1"/>
  <c r="T607" i="1"/>
  <c r="X607" i="1" s="1"/>
  <c r="D607" i="1"/>
  <c r="C607" i="1"/>
  <c r="AB606" i="1"/>
  <c r="AA606" i="1"/>
  <c r="X606" i="1"/>
  <c r="T606" i="1"/>
  <c r="D606" i="1"/>
  <c r="C606" i="1"/>
  <c r="AA605" i="1"/>
  <c r="AB605" i="1" s="1"/>
  <c r="X605" i="1"/>
  <c r="V605" i="1"/>
  <c r="T605" i="1"/>
  <c r="D605" i="1"/>
  <c r="C605" i="1"/>
  <c r="AB604" i="1"/>
  <c r="AA604" i="1"/>
  <c r="T604" i="1"/>
  <c r="D604" i="1"/>
  <c r="C604" i="1"/>
  <c r="AA603" i="1"/>
  <c r="AB603" i="1" s="1"/>
  <c r="T603" i="1"/>
  <c r="X603" i="1" s="1"/>
  <c r="D603" i="1"/>
  <c r="C603" i="1"/>
  <c r="AA602" i="1"/>
  <c r="AB602" i="1" s="1"/>
  <c r="T602" i="1"/>
  <c r="D602" i="1"/>
  <c r="C602" i="1"/>
  <c r="AA601" i="1"/>
  <c r="AB601" i="1" s="1"/>
  <c r="X601" i="1"/>
  <c r="V601" i="1" s="1"/>
  <c r="T601" i="1"/>
  <c r="D601" i="1"/>
  <c r="C601" i="1"/>
  <c r="AB600" i="1"/>
  <c r="AA600" i="1"/>
  <c r="X600" i="1"/>
  <c r="V600" i="1"/>
  <c r="T600" i="1"/>
  <c r="D600" i="1"/>
  <c r="C600" i="1"/>
  <c r="AB599" i="1"/>
  <c r="AA599" i="1"/>
  <c r="V599" i="1"/>
  <c r="T599" i="1"/>
  <c r="X599" i="1" s="1"/>
  <c r="D599" i="1"/>
  <c r="C599" i="1"/>
  <c r="AB598" i="1"/>
  <c r="AA598" i="1"/>
  <c r="X598" i="1"/>
  <c r="T598" i="1"/>
  <c r="D598" i="1"/>
  <c r="C598" i="1"/>
  <c r="AA597" i="1"/>
  <c r="AB597" i="1" s="1"/>
  <c r="X597" i="1"/>
  <c r="V597" i="1"/>
  <c r="T597" i="1"/>
  <c r="D597" i="1"/>
  <c r="C597" i="1"/>
  <c r="AB596" i="1"/>
  <c r="AA596" i="1"/>
  <c r="X596" i="1"/>
  <c r="T596" i="1"/>
  <c r="V596" i="1" s="1"/>
  <c r="D596" i="1"/>
  <c r="C596" i="1"/>
  <c r="AA595" i="1"/>
  <c r="AB595" i="1" s="1"/>
  <c r="T595" i="1"/>
  <c r="D595" i="1"/>
  <c r="C595" i="1"/>
  <c r="AA594" i="1"/>
  <c r="AB594" i="1" s="1"/>
  <c r="T594" i="1"/>
  <c r="D594" i="1"/>
  <c r="C594" i="1"/>
  <c r="AA593" i="1"/>
  <c r="AB593" i="1" s="1"/>
  <c r="X593" i="1"/>
  <c r="V593" i="1" s="1"/>
  <c r="T593" i="1"/>
  <c r="D593" i="1"/>
  <c r="C593" i="1"/>
  <c r="AB592" i="1"/>
  <c r="AA592" i="1"/>
  <c r="T592" i="1"/>
  <c r="X592" i="1" s="1"/>
  <c r="V592" i="1" s="1"/>
  <c r="D592" i="1"/>
  <c r="C592" i="1"/>
  <c r="AB591" i="1"/>
  <c r="AA591" i="1"/>
  <c r="V591" i="1"/>
  <c r="T591" i="1"/>
  <c r="X591" i="1" s="1"/>
  <c r="D591" i="1"/>
  <c r="C591" i="1"/>
  <c r="AB590" i="1"/>
  <c r="AA590" i="1"/>
  <c r="X590" i="1"/>
  <c r="T590" i="1"/>
  <c r="D590" i="1"/>
  <c r="C590" i="1"/>
  <c r="AB589" i="1"/>
  <c r="AA589" i="1"/>
  <c r="X589" i="1"/>
  <c r="T589" i="1"/>
  <c r="V589" i="1" s="1"/>
  <c r="D589" i="1"/>
  <c r="C589" i="1"/>
  <c r="AA588" i="1"/>
  <c r="AB588" i="1" s="1"/>
  <c r="X588" i="1"/>
  <c r="V588" i="1"/>
  <c r="T588" i="1"/>
  <c r="D588" i="1"/>
  <c r="C588" i="1"/>
  <c r="AB587" i="1"/>
  <c r="AA587" i="1"/>
  <c r="T587" i="1"/>
  <c r="D587" i="1"/>
  <c r="C587" i="1"/>
  <c r="AA586" i="1"/>
  <c r="AB586" i="1" s="1"/>
  <c r="T586" i="1"/>
  <c r="X586" i="1" s="1"/>
  <c r="V586" i="1" s="1"/>
  <c r="D586" i="1"/>
  <c r="C586" i="1"/>
  <c r="AB585" i="1"/>
  <c r="AA585" i="1"/>
  <c r="X585" i="1"/>
  <c r="T585" i="1"/>
  <c r="D585" i="1"/>
  <c r="C585" i="1"/>
  <c r="AA584" i="1"/>
  <c r="AB584" i="1" s="1"/>
  <c r="X584" i="1"/>
  <c r="V584" i="1"/>
  <c r="T584" i="1"/>
  <c r="D584" i="1"/>
  <c r="C584" i="1"/>
  <c r="AB583" i="1"/>
  <c r="AA583" i="1"/>
  <c r="T583" i="1"/>
  <c r="D583" i="1"/>
  <c r="C583" i="1"/>
  <c r="AA582" i="1"/>
  <c r="AB582" i="1" s="1"/>
  <c r="T582" i="1"/>
  <c r="X582" i="1" s="1"/>
  <c r="V582" i="1" s="1"/>
  <c r="D582" i="1"/>
  <c r="C582" i="1"/>
  <c r="AB581" i="1"/>
  <c r="AA581" i="1"/>
  <c r="T581" i="1"/>
  <c r="D581" i="1"/>
  <c r="C581" i="1"/>
  <c r="AA580" i="1"/>
  <c r="AB580" i="1" s="1"/>
  <c r="X580" i="1"/>
  <c r="V580" i="1"/>
  <c r="T580" i="1"/>
  <c r="D580" i="1"/>
  <c r="C580" i="1"/>
  <c r="AB579" i="1"/>
  <c r="AA579" i="1"/>
  <c r="T579" i="1"/>
  <c r="D579" i="1"/>
  <c r="C579" i="1"/>
  <c r="AA578" i="1"/>
  <c r="AB578" i="1" s="1"/>
  <c r="V578" i="1"/>
  <c r="T578" i="1"/>
  <c r="X578" i="1" s="1"/>
  <c r="D578" i="1"/>
  <c r="C578" i="1"/>
  <c r="AB577" i="1"/>
  <c r="AA577" i="1"/>
  <c r="X577" i="1"/>
  <c r="T577" i="1"/>
  <c r="D577" i="1"/>
  <c r="C577" i="1"/>
  <c r="AA576" i="1"/>
  <c r="AB576" i="1" s="1"/>
  <c r="X576" i="1"/>
  <c r="V576" i="1"/>
  <c r="T576" i="1"/>
  <c r="D576" i="1"/>
  <c r="C576" i="1"/>
  <c r="AB575" i="1"/>
  <c r="AA575" i="1"/>
  <c r="X575" i="1"/>
  <c r="T575" i="1"/>
  <c r="D575" i="1"/>
  <c r="C575" i="1"/>
  <c r="AA574" i="1"/>
  <c r="AB574" i="1" s="1"/>
  <c r="T574" i="1"/>
  <c r="X574" i="1" s="1"/>
  <c r="V574" i="1" s="1"/>
  <c r="D574" i="1"/>
  <c r="C574" i="1"/>
  <c r="AB573" i="1"/>
  <c r="AA573" i="1"/>
  <c r="T573" i="1"/>
  <c r="D573" i="1"/>
  <c r="C573" i="1"/>
  <c r="AA572" i="1"/>
  <c r="AB572" i="1" s="1"/>
  <c r="X572" i="1"/>
  <c r="V572" i="1"/>
  <c r="T572" i="1"/>
  <c r="D572" i="1"/>
  <c r="C572" i="1"/>
  <c r="AB571" i="1"/>
  <c r="AA571" i="1"/>
  <c r="T571" i="1"/>
  <c r="D571" i="1"/>
  <c r="C571" i="1"/>
  <c r="AA570" i="1"/>
  <c r="AB570" i="1" s="1"/>
  <c r="V570" i="1"/>
  <c r="T570" i="1"/>
  <c r="X570" i="1" s="1"/>
  <c r="D570" i="1"/>
  <c r="C570" i="1"/>
  <c r="AB569" i="1"/>
  <c r="AA569" i="1"/>
  <c r="X569" i="1"/>
  <c r="T569" i="1"/>
  <c r="D569" i="1"/>
  <c r="C569" i="1"/>
  <c r="AA568" i="1"/>
  <c r="AB568" i="1" s="1"/>
  <c r="X568" i="1"/>
  <c r="V568" i="1"/>
  <c r="T568" i="1"/>
  <c r="D568" i="1"/>
  <c r="C568" i="1"/>
  <c r="AB567" i="1"/>
  <c r="AA567" i="1"/>
  <c r="X567" i="1"/>
  <c r="T567" i="1"/>
  <c r="V567" i="1" s="1"/>
  <c r="D567" i="1"/>
  <c r="C567" i="1"/>
  <c r="AA566" i="1"/>
  <c r="AB566" i="1" s="1"/>
  <c r="T566" i="1"/>
  <c r="D566" i="1"/>
  <c r="C566" i="1"/>
  <c r="AA565" i="1"/>
  <c r="AB565" i="1" s="1"/>
  <c r="T565" i="1"/>
  <c r="D565" i="1"/>
  <c r="C565" i="1"/>
  <c r="AA564" i="1"/>
  <c r="AB564" i="1" s="1"/>
  <c r="X564" i="1"/>
  <c r="V564" i="1" s="1"/>
  <c r="T564" i="1"/>
  <c r="D564" i="1"/>
  <c r="C564" i="1"/>
  <c r="AB563" i="1"/>
  <c r="AA563" i="1"/>
  <c r="X563" i="1"/>
  <c r="V563" i="1"/>
  <c r="T563" i="1"/>
  <c r="D563" i="1"/>
  <c r="C563" i="1"/>
  <c r="AB562" i="1"/>
  <c r="AA562" i="1"/>
  <c r="V562" i="1"/>
  <c r="T562" i="1"/>
  <c r="X562" i="1" s="1"/>
  <c r="D562" i="1"/>
  <c r="C562" i="1"/>
  <c r="AB561" i="1"/>
  <c r="AA561" i="1"/>
  <c r="X561" i="1"/>
  <c r="T561" i="1"/>
  <c r="D561" i="1"/>
  <c r="C561" i="1"/>
  <c r="AA560" i="1"/>
  <c r="AB560" i="1" s="1"/>
  <c r="X560" i="1"/>
  <c r="V560" i="1"/>
  <c r="T560" i="1"/>
  <c r="D560" i="1"/>
  <c r="C560" i="1"/>
  <c r="AB559" i="1"/>
  <c r="AA559" i="1"/>
  <c r="T559" i="1"/>
  <c r="D559" i="1"/>
  <c r="C559" i="1"/>
  <c r="AA558" i="1"/>
  <c r="AB558" i="1" s="1"/>
  <c r="T558" i="1"/>
  <c r="X558" i="1" s="1"/>
  <c r="D558" i="1"/>
  <c r="C558" i="1"/>
  <c r="AA557" i="1"/>
  <c r="AB557" i="1" s="1"/>
  <c r="T557" i="1"/>
  <c r="D557" i="1"/>
  <c r="C557" i="1"/>
  <c r="AA556" i="1"/>
  <c r="X556" i="1"/>
  <c r="T556" i="1"/>
  <c r="V556" i="1" s="1"/>
  <c r="D556" i="1"/>
  <c r="C556" i="1"/>
  <c r="AA555" i="1"/>
  <c r="AB555" i="1" s="1"/>
  <c r="T555" i="1"/>
  <c r="D555" i="1"/>
  <c r="C555" i="1"/>
  <c r="AA554" i="1"/>
  <c r="AB554" i="1" s="1"/>
  <c r="T554" i="1"/>
  <c r="D554" i="1"/>
  <c r="C554" i="1"/>
  <c r="AA553" i="1"/>
  <c r="AB553" i="1" s="1"/>
  <c r="X553" i="1"/>
  <c r="V553" i="1" s="1"/>
  <c r="T553" i="1"/>
  <c r="D553" i="1"/>
  <c r="C553" i="1"/>
  <c r="AB552" i="1"/>
  <c r="AA552" i="1"/>
  <c r="X552" i="1"/>
  <c r="V552" i="1"/>
  <c r="T552" i="1"/>
  <c r="D552" i="1"/>
  <c r="C552" i="1"/>
  <c r="AB551" i="1"/>
  <c r="AA551" i="1"/>
  <c r="V551" i="1"/>
  <c r="T551" i="1"/>
  <c r="X551" i="1" s="1"/>
  <c r="D551" i="1"/>
  <c r="C551" i="1"/>
  <c r="AB550" i="1"/>
  <c r="AA550" i="1"/>
  <c r="X550" i="1"/>
  <c r="T550" i="1"/>
  <c r="D550" i="1"/>
  <c r="C550" i="1"/>
  <c r="AA549" i="1"/>
  <c r="AB549" i="1" s="1"/>
  <c r="X549" i="1"/>
  <c r="V549" i="1"/>
  <c r="T549" i="1"/>
  <c r="D549" i="1"/>
  <c r="C549" i="1"/>
  <c r="AB548" i="1"/>
  <c r="AA548" i="1"/>
  <c r="T548" i="1"/>
  <c r="D548" i="1"/>
  <c r="C548" i="1"/>
  <c r="AA547" i="1"/>
  <c r="AB547" i="1" s="1"/>
  <c r="T547" i="1"/>
  <c r="X547" i="1" s="1"/>
  <c r="D547" i="1"/>
  <c r="C547" i="1"/>
  <c r="AA546" i="1"/>
  <c r="AB546" i="1" s="1"/>
  <c r="T546" i="1"/>
  <c r="D546" i="1"/>
  <c r="C546" i="1"/>
  <c r="AA545" i="1"/>
  <c r="AB545" i="1" s="1"/>
  <c r="X545" i="1"/>
  <c r="V545" i="1" s="1"/>
  <c r="T545" i="1"/>
  <c r="D545" i="1"/>
  <c r="C545" i="1"/>
  <c r="AB544" i="1"/>
  <c r="AA544" i="1"/>
  <c r="T544" i="1"/>
  <c r="X544" i="1" s="1"/>
  <c r="V544" i="1" s="1"/>
  <c r="D544" i="1"/>
  <c r="C544" i="1"/>
  <c r="AB543" i="1"/>
  <c r="AA543" i="1"/>
  <c r="V543" i="1"/>
  <c r="T543" i="1"/>
  <c r="X543" i="1" s="1"/>
  <c r="D543" i="1"/>
  <c r="C543" i="1"/>
  <c r="AB542" i="1"/>
  <c r="AA542" i="1"/>
  <c r="X542" i="1"/>
  <c r="T542" i="1"/>
  <c r="D542" i="1"/>
  <c r="C542" i="1"/>
  <c r="AA541" i="1"/>
  <c r="AB541" i="1" s="1"/>
  <c r="X541" i="1"/>
  <c r="V541" i="1"/>
  <c r="T541" i="1"/>
  <c r="D541" i="1"/>
  <c r="C541" i="1"/>
  <c r="AB540" i="1"/>
  <c r="AA540" i="1"/>
  <c r="X540" i="1"/>
  <c r="T540" i="1"/>
  <c r="V540" i="1" s="1"/>
  <c r="D540" i="1"/>
  <c r="C540" i="1"/>
  <c r="AA539" i="1"/>
  <c r="AB539" i="1" s="1"/>
  <c r="T539" i="1"/>
  <c r="D539" i="1"/>
  <c r="C539" i="1"/>
  <c r="AA538" i="1"/>
  <c r="AB538" i="1" s="1"/>
  <c r="T538" i="1"/>
  <c r="D538" i="1"/>
  <c r="C538" i="1"/>
  <c r="AA537" i="1"/>
  <c r="AB537" i="1" s="1"/>
  <c r="X537" i="1"/>
  <c r="V537" i="1" s="1"/>
  <c r="T537" i="1"/>
  <c r="D537" i="1"/>
  <c r="C537" i="1"/>
  <c r="AB536" i="1"/>
  <c r="AA536" i="1"/>
  <c r="X536" i="1"/>
  <c r="V536" i="1"/>
  <c r="T536" i="1"/>
  <c r="D536" i="1"/>
  <c r="C536" i="1"/>
  <c r="AB535" i="1"/>
  <c r="AA535" i="1"/>
  <c r="V535" i="1"/>
  <c r="T535" i="1"/>
  <c r="X535" i="1" s="1"/>
  <c r="D535" i="1"/>
  <c r="C535" i="1"/>
  <c r="AB534" i="1"/>
  <c r="AA534" i="1"/>
  <c r="X534" i="1"/>
  <c r="T534" i="1"/>
  <c r="D534" i="1"/>
  <c r="C534" i="1"/>
  <c r="AA533" i="1"/>
  <c r="AB533" i="1" s="1"/>
  <c r="X533" i="1"/>
  <c r="V533" i="1"/>
  <c r="T533" i="1"/>
  <c r="D533" i="1"/>
  <c r="C533" i="1"/>
  <c r="AB532" i="1"/>
  <c r="AA532" i="1"/>
  <c r="T532" i="1"/>
  <c r="D532" i="1"/>
  <c r="C532" i="1"/>
  <c r="AA531" i="1"/>
  <c r="AB531" i="1" s="1"/>
  <c r="T531" i="1"/>
  <c r="X531" i="1" s="1"/>
  <c r="D531" i="1"/>
  <c r="C531" i="1"/>
  <c r="AA530" i="1"/>
  <c r="AB530" i="1" s="1"/>
  <c r="T530" i="1"/>
  <c r="D530" i="1"/>
  <c r="C530" i="1"/>
  <c r="AA529" i="1"/>
  <c r="AB529" i="1" s="1"/>
  <c r="X529" i="1"/>
  <c r="V529" i="1"/>
  <c r="T529" i="1"/>
  <c r="D529" i="1"/>
  <c r="C529" i="1"/>
  <c r="AB528" i="1"/>
  <c r="AA528" i="1"/>
  <c r="X528" i="1"/>
  <c r="T528" i="1"/>
  <c r="D528" i="1"/>
  <c r="C528" i="1"/>
  <c r="AA527" i="1"/>
  <c r="AB527" i="1" s="1"/>
  <c r="T527" i="1"/>
  <c r="X527" i="1" s="1"/>
  <c r="V527" i="1" s="1"/>
  <c r="D527" i="1"/>
  <c r="C527" i="1"/>
  <c r="AB526" i="1"/>
  <c r="AA526" i="1"/>
  <c r="T526" i="1"/>
  <c r="D526" i="1"/>
  <c r="C526" i="1"/>
  <c r="AA525" i="1"/>
  <c r="AB525" i="1" s="1"/>
  <c r="X525" i="1"/>
  <c r="V525" i="1"/>
  <c r="T525" i="1"/>
  <c r="D525" i="1"/>
  <c r="C525" i="1"/>
  <c r="AB524" i="1"/>
  <c r="AA524" i="1"/>
  <c r="X524" i="1"/>
  <c r="T524" i="1"/>
  <c r="V524" i="1" s="1"/>
  <c r="D524" i="1"/>
  <c r="C524" i="1"/>
  <c r="AA523" i="1"/>
  <c r="AB523" i="1" s="1"/>
  <c r="T523" i="1"/>
  <c r="X523" i="1" s="1"/>
  <c r="V523" i="1" s="1"/>
  <c r="D523" i="1"/>
  <c r="C523" i="1"/>
  <c r="AB522" i="1"/>
  <c r="AA522" i="1"/>
  <c r="T522" i="1"/>
  <c r="D522" i="1"/>
  <c r="C522" i="1"/>
  <c r="AA521" i="1"/>
  <c r="AB521" i="1" s="1"/>
  <c r="X521" i="1"/>
  <c r="V521" i="1"/>
  <c r="T521" i="1"/>
  <c r="D521" i="1"/>
  <c r="C521" i="1"/>
  <c r="AB520" i="1"/>
  <c r="AA520" i="1"/>
  <c r="X520" i="1"/>
  <c r="T520" i="1"/>
  <c r="D520" i="1"/>
  <c r="C520" i="1"/>
  <c r="AA519" i="1"/>
  <c r="AB519" i="1" s="1"/>
  <c r="T519" i="1"/>
  <c r="X519" i="1" s="1"/>
  <c r="V519" i="1" s="1"/>
  <c r="D519" i="1"/>
  <c r="C519" i="1"/>
  <c r="AB518" i="1"/>
  <c r="AA518" i="1"/>
  <c r="T518" i="1"/>
  <c r="D518" i="1"/>
  <c r="C518" i="1"/>
  <c r="AA517" i="1"/>
  <c r="AB517" i="1" s="1"/>
  <c r="T517" i="1"/>
  <c r="D517" i="1"/>
  <c r="C517" i="1"/>
  <c r="AB516" i="1"/>
  <c r="AA516" i="1"/>
  <c r="T516" i="1"/>
  <c r="D516" i="1"/>
  <c r="C516" i="1"/>
  <c r="AA515" i="1"/>
  <c r="AB515" i="1" s="1"/>
  <c r="X515" i="1"/>
  <c r="V515" i="1"/>
  <c r="T515" i="1"/>
  <c r="D515" i="1"/>
  <c r="C515" i="1"/>
  <c r="AB514" i="1"/>
  <c r="AA514" i="1"/>
  <c r="X514" i="1"/>
  <c r="T514" i="1"/>
  <c r="D514" i="1"/>
  <c r="C514" i="1"/>
  <c r="AA513" i="1"/>
  <c r="AB513" i="1" s="1"/>
  <c r="V513" i="1"/>
  <c r="T513" i="1"/>
  <c r="X513" i="1" s="1"/>
  <c r="D513" i="1"/>
  <c r="C513" i="1"/>
  <c r="AB512" i="1"/>
  <c r="AA512" i="1"/>
  <c r="T512" i="1"/>
  <c r="D512" i="1"/>
  <c r="C512" i="1"/>
  <c r="AA511" i="1"/>
  <c r="AB511" i="1" s="1"/>
  <c r="X511" i="1"/>
  <c r="V511" i="1"/>
  <c r="T511" i="1"/>
  <c r="D511" i="1"/>
  <c r="C511" i="1"/>
  <c r="AB510" i="1"/>
  <c r="AA510" i="1"/>
  <c r="X510" i="1"/>
  <c r="T510" i="1"/>
  <c r="V510" i="1" s="1"/>
  <c r="D510" i="1"/>
  <c r="C510" i="1"/>
  <c r="AA509" i="1"/>
  <c r="AB509" i="1" s="1"/>
  <c r="T509" i="1"/>
  <c r="X509" i="1" s="1"/>
  <c r="V509" i="1" s="1"/>
  <c r="D509" i="1"/>
  <c r="C509" i="1"/>
  <c r="AB508" i="1"/>
  <c r="AA508" i="1"/>
  <c r="T508" i="1"/>
  <c r="D508" i="1"/>
  <c r="C508" i="1"/>
  <c r="AA507" i="1"/>
  <c r="AB507" i="1" s="1"/>
  <c r="X507" i="1"/>
  <c r="V507" i="1"/>
  <c r="T507" i="1"/>
  <c r="D507" i="1"/>
  <c r="C507" i="1"/>
  <c r="AB506" i="1"/>
  <c r="AA506" i="1"/>
  <c r="X506" i="1"/>
  <c r="T506" i="1"/>
  <c r="V506" i="1" s="1"/>
  <c r="D506" i="1"/>
  <c r="C506" i="1"/>
  <c r="AA505" i="1"/>
  <c r="AB505" i="1" s="1"/>
  <c r="V505" i="1"/>
  <c r="T505" i="1"/>
  <c r="X505" i="1" s="1"/>
  <c r="D505" i="1"/>
  <c r="C505" i="1"/>
  <c r="AB504" i="1"/>
  <c r="AA504" i="1"/>
  <c r="T504" i="1"/>
  <c r="D504" i="1"/>
  <c r="C504" i="1"/>
  <c r="AA503" i="1"/>
  <c r="AB503" i="1" s="1"/>
  <c r="X503" i="1"/>
  <c r="V503" i="1"/>
  <c r="T503" i="1"/>
  <c r="D503" i="1"/>
  <c r="C503" i="1"/>
  <c r="AB502" i="1"/>
  <c r="AA502" i="1"/>
  <c r="X502" i="1"/>
  <c r="T502" i="1"/>
  <c r="V502" i="1" s="1"/>
  <c r="D502" i="1"/>
  <c r="C502" i="1"/>
  <c r="AA501" i="1"/>
  <c r="AB501" i="1" s="1"/>
  <c r="T501" i="1"/>
  <c r="X501" i="1" s="1"/>
  <c r="V501" i="1" s="1"/>
  <c r="D501" i="1"/>
  <c r="C501" i="1"/>
  <c r="AB500" i="1"/>
  <c r="AA500" i="1"/>
  <c r="T500" i="1"/>
  <c r="D500" i="1"/>
  <c r="C500" i="1"/>
  <c r="AA499" i="1"/>
  <c r="AB499" i="1" s="1"/>
  <c r="X499" i="1"/>
  <c r="V499" i="1"/>
  <c r="T499" i="1"/>
  <c r="D499" i="1"/>
  <c r="C499" i="1"/>
  <c r="AB498" i="1"/>
  <c r="AA498" i="1"/>
  <c r="X498" i="1"/>
  <c r="T498" i="1"/>
  <c r="V498" i="1" s="1"/>
  <c r="D498" i="1"/>
  <c r="C498" i="1"/>
  <c r="AA497" i="1"/>
  <c r="AB497" i="1" s="1"/>
  <c r="V497" i="1"/>
  <c r="T497" i="1"/>
  <c r="X497" i="1" s="1"/>
  <c r="D497" i="1"/>
  <c r="C497" i="1"/>
  <c r="AB496" i="1"/>
  <c r="AA496" i="1"/>
  <c r="T496" i="1"/>
  <c r="D496" i="1"/>
  <c r="C496" i="1"/>
  <c r="AA495" i="1"/>
  <c r="AB495" i="1" s="1"/>
  <c r="T495" i="1"/>
  <c r="X495" i="1" s="1"/>
  <c r="V495" i="1" s="1"/>
  <c r="D495" i="1"/>
  <c r="C495" i="1"/>
  <c r="AB494" i="1"/>
  <c r="AA494" i="1"/>
  <c r="T494" i="1"/>
  <c r="D494" i="1"/>
  <c r="C494" i="1"/>
  <c r="AA493" i="1"/>
  <c r="AB493" i="1" s="1"/>
  <c r="X493" i="1"/>
  <c r="V493" i="1"/>
  <c r="T493" i="1"/>
  <c r="D493" i="1"/>
  <c r="C493" i="1"/>
  <c r="AB492" i="1"/>
  <c r="AA492" i="1"/>
  <c r="X492" i="1"/>
  <c r="T492" i="1"/>
  <c r="V492" i="1" s="1"/>
  <c r="D492" i="1"/>
  <c r="C492" i="1"/>
  <c r="AA491" i="1"/>
  <c r="AB491" i="1" s="1"/>
  <c r="V491" i="1"/>
  <c r="T491" i="1"/>
  <c r="X491" i="1" s="1"/>
  <c r="D491" i="1"/>
  <c r="C491" i="1"/>
  <c r="AB490" i="1"/>
  <c r="AA490" i="1"/>
  <c r="T490" i="1"/>
  <c r="D490" i="1"/>
  <c r="C490" i="1"/>
  <c r="AA489" i="1"/>
  <c r="AB489" i="1" s="1"/>
  <c r="X489" i="1"/>
  <c r="V489" i="1"/>
  <c r="T489" i="1"/>
  <c r="D489" i="1"/>
  <c r="C489" i="1"/>
  <c r="AB488" i="1"/>
  <c r="AA488" i="1"/>
  <c r="X488" i="1"/>
  <c r="T488" i="1"/>
  <c r="V488" i="1" s="1"/>
  <c r="D488" i="1"/>
  <c r="C488" i="1"/>
  <c r="AA487" i="1"/>
  <c r="AB487" i="1" s="1"/>
  <c r="T487" i="1"/>
  <c r="X487" i="1" s="1"/>
  <c r="V487" i="1" s="1"/>
  <c r="D487" i="1"/>
  <c r="C487" i="1"/>
  <c r="AB486" i="1"/>
  <c r="AA486" i="1"/>
  <c r="T486" i="1"/>
  <c r="D486" i="1"/>
  <c r="C486" i="1"/>
  <c r="AA485" i="1"/>
  <c r="AB485" i="1" s="1"/>
  <c r="X485" i="1"/>
  <c r="V485" i="1"/>
  <c r="T485" i="1"/>
  <c r="D485" i="1"/>
  <c r="C485" i="1"/>
  <c r="AB484" i="1"/>
  <c r="AA484" i="1"/>
  <c r="X484" i="1"/>
  <c r="T484" i="1"/>
  <c r="D484" i="1"/>
  <c r="C484" i="1"/>
  <c r="AA483" i="1"/>
  <c r="AB483" i="1" s="1"/>
  <c r="V483" i="1"/>
  <c r="T483" i="1"/>
  <c r="X483" i="1" s="1"/>
  <c r="D483" i="1"/>
  <c r="C483" i="1"/>
  <c r="AB482" i="1"/>
  <c r="AA482" i="1"/>
  <c r="T482" i="1"/>
  <c r="D482" i="1"/>
  <c r="C482" i="1"/>
  <c r="AA481" i="1"/>
  <c r="AB481" i="1" s="1"/>
  <c r="X481" i="1"/>
  <c r="V481" i="1"/>
  <c r="T481" i="1"/>
  <c r="D481" i="1"/>
  <c r="C481" i="1"/>
  <c r="AB480" i="1"/>
  <c r="AA480" i="1"/>
  <c r="X480" i="1"/>
  <c r="T480" i="1"/>
  <c r="V480" i="1" s="1"/>
  <c r="D480" i="1"/>
  <c r="C480" i="1"/>
  <c r="AA479" i="1"/>
  <c r="AB479" i="1" s="1"/>
  <c r="T479" i="1"/>
  <c r="X479" i="1" s="1"/>
  <c r="V479" i="1" s="1"/>
  <c r="D479" i="1"/>
  <c r="C479" i="1"/>
  <c r="AB478" i="1"/>
  <c r="AA478" i="1"/>
  <c r="T478" i="1"/>
  <c r="D478" i="1"/>
  <c r="C478" i="1"/>
  <c r="AA477" i="1"/>
  <c r="AB477" i="1" s="1"/>
  <c r="X477" i="1"/>
  <c r="V477" i="1"/>
  <c r="T477" i="1"/>
  <c r="D477" i="1"/>
  <c r="C477" i="1"/>
  <c r="AB476" i="1"/>
  <c r="AA476" i="1"/>
  <c r="X476" i="1"/>
  <c r="T476" i="1"/>
  <c r="V476" i="1" s="1"/>
  <c r="D476" i="1"/>
  <c r="C476" i="1"/>
  <c r="AA475" i="1"/>
  <c r="AB475" i="1" s="1"/>
  <c r="V475" i="1"/>
  <c r="T475" i="1"/>
  <c r="X475" i="1" s="1"/>
  <c r="D475" i="1"/>
  <c r="C475" i="1"/>
  <c r="AB474" i="1"/>
  <c r="AA474" i="1"/>
  <c r="T474" i="1"/>
  <c r="D474" i="1"/>
  <c r="C474" i="1"/>
  <c r="AA473" i="1"/>
  <c r="AB473" i="1" s="1"/>
  <c r="X473" i="1"/>
  <c r="V473" i="1"/>
  <c r="T473" i="1"/>
  <c r="D473" i="1"/>
  <c r="C473" i="1"/>
  <c r="AB472" i="1"/>
  <c r="AA472" i="1"/>
  <c r="X472" i="1"/>
  <c r="T472" i="1"/>
  <c r="V472" i="1" s="1"/>
  <c r="D472" i="1"/>
  <c r="C472" i="1"/>
  <c r="AA471" i="1"/>
  <c r="AB471" i="1" s="1"/>
  <c r="T471" i="1"/>
  <c r="X471" i="1" s="1"/>
  <c r="V471" i="1" s="1"/>
  <c r="D471" i="1"/>
  <c r="C471" i="1"/>
  <c r="AB470" i="1"/>
  <c r="AA470" i="1"/>
  <c r="T470" i="1"/>
  <c r="D470" i="1"/>
  <c r="C470" i="1"/>
  <c r="AA469" i="1"/>
  <c r="AB469" i="1" s="1"/>
  <c r="X469" i="1"/>
  <c r="V469" i="1"/>
  <c r="T469" i="1"/>
  <c r="D469" i="1"/>
  <c r="C469" i="1"/>
  <c r="AB468" i="1"/>
  <c r="AA468" i="1"/>
  <c r="X468" i="1"/>
  <c r="T468" i="1"/>
  <c r="V468" i="1" s="1"/>
  <c r="D468" i="1"/>
  <c r="C468" i="1"/>
  <c r="AA467" i="1"/>
  <c r="AB467" i="1" s="1"/>
  <c r="V467" i="1"/>
  <c r="T467" i="1"/>
  <c r="X467" i="1" s="1"/>
  <c r="D467" i="1"/>
  <c r="C467" i="1"/>
  <c r="AB466" i="1"/>
  <c r="AA466" i="1"/>
  <c r="T466" i="1"/>
  <c r="D466" i="1"/>
  <c r="C466" i="1"/>
  <c r="AA465" i="1"/>
  <c r="AB465" i="1" s="1"/>
  <c r="X465" i="1"/>
  <c r="V465" i="1"/>
  <c r="T465" i="1"/>
  <c r="D465" i="1"/>
  <c r="C465" i="1"/>
  <c r="AB464" i="1"/>
  <c r="AA464" i="1"/>
  <c r="X464" i="1"/>
  <c r="T464" i="1"/>
  <c r="V464" i="1" s="1"/>
  <c r="D464" i="1"/>
  <c r="C464" i="1"/>
  <c r="AA463" i="1"/>
  <c r="AB463" i="1" s="1"/>
  <c r="T463" i="1"/>
  <c r="X463" i="1" s="1"/>
  <c r="V463" i="1" s="1"/>
  <c r="D463" i="1"/>
  <c r="C463" i="1"/>
  <c r="AA462" i="1"/>
  <c r="X462" i="1"/>
  <c r="V462" i="1"/>
  <c r="T462" i="1"/>
  <c r="D462" i="1"/>
  <c r="C462" i="1"/>
  <c r="AB461" i="1"/>
  <c r="AA461" i="1"/>
  <c r="X461" i="1"/>
  <c r="T461" i="1"/>
  <c r="V461" i="1" s="1"/>
  <c r="D461" i="1"/>
  <c r="C461" i="1"/>
  <c r="AA460" i="1"/>
  <c r="AB460" i="1" s="1"/>
  <c r="T460" i="1"/>
  <c r="X460" i="1" s="1"/>
  <c r="V460" i="1" s="1"/>
  <c r="D460" i="1"/>
  <c r="C460" i="1"/>
  <c r="AB459" i="1"/>
  <c r="AA459" i="1"/>
  <c r="T459" i="1"/>
  <c r="D459" i="1"/>
  <c r="C459" i="1"/>
  <c r="AA458" i="1"/>
  <c r="AB458" i="1" s="1"/>
  <c r="X458" i="1"/>
  <c r="V458" i="1"/>
  <c r="T458" i="1"/>
  <c r="D458" i="1"/>
  <c r="C458" i="1"/>
  <c r="AB457" i="1"/>
  <c r="AA457" i="1"/>
  <c r="X457" i="1"/>
  <c r="T457" i="1"/>
  <c r="D457" i="1"/>
  <c r="C457" i="1"/>
  <c r="AA456" i="1"/>
  <c r="AB456" i="1" s="1"/>
  <c r="T456" i="1"/>
  <c r="X456" i="1" s="1"/>
  <c r="V456" i="1" s="1"/>
  <c r="D456" i="1"/>
  <c r="C456" i="1"/>
  <c r="AB455" i="1"/>
  <c r="AA455" i="1"/>
  <c r="T455" i="1"/>
  <c r="D455" i="1"/>
  <c r="C455" i="1"/>
  <c r="AA454" i="1"/>
  <c r="AB454" i="1" s="1"/>
  <c r="X454" i="1"/>
  <c r="V454" i="1"/>
  <c r="T454" i="1"/>
  <c r="D454" i="1"/>
  <c r="C454" i="1"/>
  <c r="AB453" i="1"/>
  <c r="AA453" i="1"/>
  <c r="X453" i="1"/>
  <c r="T453" i="1"/>
  <c r="V453" i="1" s="1"/>
  <c r="D453" i="1"/>
  <c r="C453" i="1"/>
  <c r="AA452" i="1"/>
  <c r="AB452" i="1" s="1"/>
  <c r="V452" i="1"/>
  <c r="T452" i="1"/>
  <c r="X452" i="1" s="1"/>
  <c r="D452" i="1"/>
  <c r="C452" i="1"/>
  <c r="AB451" i="1"/>
  <c r="AA451" i="1"/>
  <c r="T451" i="1"/>
  <c r="D451" i="1"/>
  <c r="C451" i="1"/>
  <c r="AA450" i="1"/>
  <c r="AB450" i="1" s="1"/>
  <c r="X450" i="1"/>
  <c r="V450" i="1"/>
  <c r="T450" i="1"/>
  <c r="D450" i="1"/>
  <c r="C450" i="1"/>
  <c r="AB449" i="1"/>
  <c r="AA449" i="1"/>
  <c r="X449" i="1"/>
  <c r="T449" i="1"/>
  <c r="D449" i="1"/>
  <c r="C449" i="1"/>
  <c r="AA448" i="1"/>
  <c r="AB448" i="1" s="1"/>
  <c r="T448" i="1"/>
  <c r="X448" i="1" s="1"/>
  <c r="V448" i="1" s="1"/>
  <c r="D448" i="1"/>
  <c r="C448" i="1"/>
  <c r="AB447" i="1"/>
  <c r="AA447" i="1"/>
  <c r="T447" i="1"/>
  <c r="D447" i="1"/>
  <c r="C447" i="1"/>
  <c r="AA446" i="1"/>
  <c r="AB446" i="1" s="1"/>
  <c r="X446" i="1"/>
  <c r="V446" i="1"/>
  <c r="T446" i="1"/>
  <c r="D446" i="1"/>
  <c r="C446" i="1"/>
  <c r="AB445" i="1"/>
  <c r="AA445" i="1"/>
  <c r="X445" i="1"/>
  <c r="T445" i="1"/>
  <c r="V445" i="1" s="1"/>
  <c r="D445" i="1"/>
  <c r="C445" i="1"/>
  <c r="AA444" i="1"/>
  <c r="AB444" i="1" s="1"/>
  <c r="T444" i="1"/>
  <c r="X444" i="1" s="1"/>
  <c r="V444" i="1" s="1"/>
  <c r="D444" i="1"/>
  <c r="C444" i="1"/>
  <c r="AB443" i="1"/>
  <c r="AA443" i="1"/>
  <c r="T443" i="1"/>
  <c r="D443" i="1"/>
  <c r="C443" i="1"/>
  <c r="AA442" i="1"/>
  <c r="AB442" i="1" s="1"/>
  <c r="X442" i="1"/>
  <c r="V442" i="1"/>
  <c r="T442" i="1"/>
  <c r="D442" i="1"/>
  <c r="C442" i="1"/>
  <c r="AB441" i="1"/>
  <c r="AA441" i="1"/>
  <c r="X441" i="1"/>
  <c r="T441" i="1"/>
  <c r="D441" i="1"/>
  <c r="C441" i="1"/>
  <c r="AA440" i="1"/>
  <c r="AB440" i="1" s="1"/>
  <c r="T440" i="1"/>
  <c r="X440" i="1" s="1"/>
  <c r="V440" i="1" s="1"/>
  <c r="D440" i="1"/>
  <c r="C440" i="1"/>
  <c r="AB439" i="1"/>
  <c r="AA439" i="1"/>
  <c r="T439" i="1"/>
  <c r="D439" i="1"/>
  <c r="C439" i="1"/>
  <c r="AA438" i="1"/>
  <c r="AB438" i="1" s="1"/>
  <c r="X438" i="1"/>
  <c r="V438" i="1"/>
  <c r="T438" i="1"/>
  <c r="D438" i="1"/>
  <c r="C438" i="1"/>
  <c r="AB437" i="1"/>
  <c r="AA437" i="1"/>
  <c r="X437" i="1"/>
  <c r="T437" i="1"/>
  <c r="V437" i="1" s="1"/>
  <c r="D437" i="1"/>
  <c r="C437" i="1"/>
  <c r="AA436" i="1"/>
  <c r="AB436" i="1" s="1"/>
  <c r="T436" i="1"/>
  <c r="X436" i="1" s="1"/>
  <c r="V436" i="1" s="1"/>
  <c r="D436" i="1"/>
  <c r="C436" i="1"/>
  <c r="AB435" i="1"/>
  <c r="AA435" i="1"/>
  <c r="T435" i="1"/>
  <c r="D435" i="1"/>
  <c r="C435" i="1"/>
  <c r="AA434" i="1"/>
  <c r="AB434" i="1" s="1"/>
  <c r="X434" i="1"/>
  <c r="V434" i="1"/>
  <c r="T434" i="1"/>
  <c r="D434" i="1"/>
  <c r="C434" i="1"/>
  <c r="AB433" i="1"/>
  <c r="AA433" i="1"/>
  <c r="X433" i="1"/>
  <c r="T433" i="1"/>
  <c r="D433" i="1"/>
  <c r="C433" i="1"/>
  <c r="AA432" i="1"/>
  <c r="AB432" i="1" s="1"/>
  <c r="T432" i="1"/>
  <c r="X432" i="1" s="1"/>
  <c r="V432" i="1" s="1"/>
  <c r="D432" i="1"/>
  <c r="C432" i="1"/>
  <c r="AB431" i="1"/>
  <c r="AA431" i="1"/>
  <c r="T431" i="1"/>
  <c r="D431" i="1"/>
  <c r="C431" i="1"/>
  <c r="AA430" i="1"/>
  <c r="AB430" i="1" s="1"/>
  <c r="X430" i="1"/>
  <c r="V430" i="1"/>
  <c r="T430" i="1"/>
  <c r="D430" i="1"/>
  <c r="C430" i="1"/>
  <c r="AB429" i="1"/>
  <c r="AA429" i="1"/>
  <c r="X429" i="1"/>
  <c r="T429" i="1"/>
  <c r="V429" i="1" s="1"/>
  <c r="D429" i="1"/>
  <c r="C429" i="1"/>
  <c r="AA428" i="1"/>
  <c r="AB428" i="1" s="1"/>
  <c r="T428" i="1"/>
  <c r="X428" i="1" s="1"/>
  <c r="V428" i="1" s="1"/>
  <c r="D428" i="1"/>
  <c r="C428" i="1"/>
  <c r="AB427" i="1"/>
  <c r="AA427" i="1"/>
  <c r="T427" i="1"/>
  <c r="D427" i="1"/>
  <c r="C427" i="1"/>
  <c r="AA426" i="1"/>
  <c r="AB426" i="1" s="1"/>
  <c r="X426" i="1"/>
  <c r="V426" i="1"/>
  <c r="T426" i="1"/>
  <c r="D426" i="1"/>
  <c r="C426" i="1"/>
  <c r="AB425" i="1"/>
  <c r="AA425" i="1"/>
  <c r="X425" i="1"/>
  <c r="T425" i="1"/>
  <c r="D425" i="1"/>
  <c r="C425" i="1"/>
  <c r="AA424" i="1"/>
  <c r="AB424" i="1" s="1"/>
  <c r="T424" i="1"/>
  <c r="X424" i="1" s="1"/>
  <c r="V424" i="1" s="1"/>
  <c r="D424" i="1"/>
  <c r="C424" i="1"/>
  <c r="AB423" i="1"/>
  <c r="AA423" i="1"/>
  <c r="T423" i="1"/>
  <c r="D423" i="1"/>
  <c r="C423" i="1"/>
  <c r="AA422" i="1"/>
  <c r="AB422" i="1" s="1"/>
  <c r="X422" i="1"/>
  <c r="V422" i="1"/>
  <c r="T422" i="1"/>
  <c r="D422" i="1"/>
  <c r="C422" i="1"/>
  <c r="AB421" i="1"/>
  <c r="AA421" i="1"/>
  <c r="X421" i="1"/>
  <c r="T421" i="1"/>
  <c r="V421" i="1" s="1"/>
  <c r="D421" i="1"/>
  <c r="C421" i="1"/>
  <c r="AA420" i="1"/>
  <c r="AB420" i="1" s="1"/>
  <c r="V420" i="1"/>
  <c r="T420" i="1"/>
  <c r="X420" i="1" s="1"/>
  <c r="D420" i="1"/>
  <c r="C420" i="1"/>
  <c r="AB419" i="1"/>
  <c r="AA419" i="1"/>
  <c r="T419" i="1"/>
  <c r="D419" i="1"/>
  <c r="C419" i="1"/>
  <c r="AA418" i="1"/>
  <c r="AB418" i="1" s="1"/>
  <c r="X418" i="1"/>
  <c r="V418" i="1"/>
  <c r="T418" i="1"/>
  <c r="D418" i="1"/>
  <c r="C418" i="1"/>
  <c r="AB417" i="1"/>
  <c r="AA417" i="1"/>
  <c r="X417" i="1"/>
  <c r="T417" i="1"/>
  <c r="D417" i="1"/>
  <c r="C417" i="1"/>
  <c r="AA416" i="1"/>
  <c r="AB416" i="1" s="1"/>
  <c r="T416" i="1"/>
  <c r="X416" i="1" s="1"/>
  <c r="V416" i="1" s="1"/>
  <c r="D416" i="1"/>
  <c r="C416" i="1"/>
  <c r="AB415" i="1"/>
  <c r="AA415" i="1"/>
  <c r="T415" i="1"/>
  <c r="D415" i="1"/>
  <c r="C415" i="1"/>
  <c r="AA414" i="1"/>
  <c r="AB414" i="1" s="1"/>
  <c r="X414" i="1"/>
  <c r="V414" i="1"/>
  <c r="T414" i="1"/>
  <c r="D414" i="1"/>
  <c r="C414" i="1"/>
  <c r="AB413" i="1"/>
  <c r="AA413" i="1"/>
  <c r="X413" i="1"/>
  <c r="T413" i="1"/>
  <c r="V413" i="1" s="1"/>
  <c r="D413" i="1"/>
  <c r="C413" i="1"/>
  <c r="AA412" i="1"/>
  <c r="AB412" i="1" s="1"/>
  <c r="T412" i="1"/>
  <c r="X412" i="1" s="1"/>
  <c r="V412" i="1" s="1"/>
  <c r="D412" i="1"/>
  <c r="C412" i="1"/>
  <c r="AB411" i="1"/>
  <c r="AA411" i="1"/>
  <c r="T411" i="1"/>
  <c r="D411" i="1"/>
  <c r="C411" i="1"/>
  <c r="AA410" i="1"/>
  <c r="AB410" i="1" s="1"/>
  <c r="X410" i="1"/>
  <c r="V410" i="1"/>
  <c r="T410" i="1"/>
  <c r="D410" i="1"/>
  <c r="C410" i="1"/>
  <c r="AB409" i="1"/>
  <c r="AA409" i="1"/>
  <c r="X409" i="1"/>
  <c r="T409" i="1"/>
  <c r="D409" i="1"/>
  <c r="C409" i="1"/>
  <c r="AA408" i="1"/>
  <c r="AB408" i="1" s="1"/>
  <c r="T408" i="1"/>
  <c r="X408" i="1" s="1"/>
  <c r="V408" i="1" s="1"/>
  <c r="D408" i="1"/>
  <c r="C408" i="1"/>
  <c r="AB407" i="1"/>
  <c r="AA407" i="1"/>
  <c r="T407" i="1"/>
  <c r="D407" i="1"/>
  <c r="C407" i="1"/>
  <c r="AA406" i="1"/>
  <c r="AB406" i="1" s="1"/>
  <c r="X406" i="1"/>
  <c r="V406" i="1"/>
  <c r="T406" i="1"/>
  <c r="D406" i="1"/>
  <c r="C406" i="1"/>
  <c r="AB405" i="1"/>
  <c r="AA405" i="1"/>
  <c r="X405" i="1"/>
  <c r="T405" i="1"/>
  <c r="V405" i="1" s="1"/>
  <c r="D405" i="1"/>
  <c r="C405" i="1"/>
  <c r="AA404" i="1"/>
  <c r="AB404" i="1" s="1"/>
  <c r="T404" i="1"/>
  <c r="X404" i="1" s="1"/>
  <c r="V404" i="1" s="1"/>
  <c r="D404" i="1"/>
  <c r="C404" i="1"/>
  <c r="AB403" i="1"/>
  <c r="AA403" i="1"/>
  <c r="T403" i="1"/>
  <c r="D403" i="1"/>
  <c r="C403" i="1"/>
  <c r="AA402" i="1"/>
  <c r="AB402" i="1" s="1"/>
  <c r="T402" i="1"/>
  <c r="D402" i="1"/>
  <c r="C402" i="1"/>
  <c r="AB401" i="1"/>
  <c r="AA401" i="1"/>
  <c r="T401" i="1"/>
  <c r="D401" i="1"/>
  <c r="C401" i="1"/>
  <c r="AA400" i="1"/>
  <c r="AB400" i="1" s="1"/>
  <c r="X400" i="1"/>
  <c r="V400" i="1"/>
  <c r="T400" i="1"/>
  <c r="D400" i="1"/>
  <c r="C400" i="1"/>
  <c r="AB399" i="1"/>
  <c r="AA399" i="1"/>
  <c r="X399" i="1"/>
  <c r="T399" i="1"/>
  <c r="V399" i="1" s="1"/>
  <c r="D399" i="1"/>
  <c r="C399" i="1"/>
  <c r="AA398" i="1"/>
  <c r="AB398" i="1" s="1"/>
  <c r="T398" i="1"/>
  <c r="X398" i="1" s="1"/>
  <c r="V398" i="1" s="1"/>
  <c r="D398" i="1"/>
  <c r="C398" i="1"/>
  <c r="AB397" i="1"/>
  <c r="AA397" i="1"/>
  <c r="T397" i="1"/>
  <c r="D397" i="1"/>
  <c r="C397" i="1"/>
  <c r="AA396" i="1"/>
  <c r="AB396" i="1" s="1"/>
  <c r="X396" i="1"/>
  <c r="V396" i="1"/>
  <c r="T396" i="1"/>
  <c r="D396" i="1"/>
  <c r="C396" i="1"/>
  <c r="AB395" i="1"/>
  <c r="AA395" i="1"/>
  <c r="X395" i="1"/>
  <c r="T395" i="1"/>
  <c r="V395" i="1" s="1"/>
  <c r="D395" i="1"/>
  <c r="C395" i="1"/>
  <c r="AA394" i="1"/>
  <c r="AB394" i="1" s="1"/>
  <c r="V394" i="1"/>
  <c r="T394" i="1"/>
  <c r="X394" i="1" s="1"/>
  <c r="D394" i="1"/>
  <c r="C394" i="1"/>
  <c r="AB393" i="1"/>
  <c r="AA393" i="1"/>
  <c r="T393" i="1"/>
  <c r="D393" i="1"/>
  <c r="C393" i="1"/>
  <c r="AA392" i="1"/>
  <c r="AB392" i="1" s="1"/>
  <c r="X392" i="1"/>
  <c r="V392" i="1"/>
  <c r="T392" i="1"/>
  <c r="D392" i="1"/>
  <c r="C392" i="1"/>
  <c r="AB391" i="1"/>
  <c r="AA391" i="1"/>
  <c r="X391" i="1"/>
  <c r="T391" i="1"/>
  <c r="V391" i="1" s="1"/>
  <c r="D391" i="1"/>
  <c r="C391" i="1"/>
  <c r="AA390" i="1"/>
  <c r="AB390" i="1" s="1"/>
  <c r="T390" i="1"/>
  <c r="X390" i="1" s="1"/>
  <c r="V390" i="1" s="1"/>
  <c r="D390" i="1"/>
  <c r="C390" i="1"/>
  <c r="AB389" i="1"/>
  <c r="AA389" i="1"/>
  <c r="T389" i="1"/>
  <c r="D389" i="1"/>
  <c r="C389" i="1"/>
  <c r="AA388" i="1"/>
  <c r="AB388" i="1" s="1"/>
  <c r="X388" i="1"/>
  <c r="V388" i="1"/>
  <c r="T388" i="1"/>
  <c r="D388" i="1"/>
  <c r="C388" i="1"/>
  <c r="AB387" i="1"/>
  <c r="AA387" i="1"/>
  <c r="X387" i="1"/>
  <c r="T387" i="1"/>
  <c r="D387" i="1"/>
  <c r="C387" i="1"/>
  <c r="AA386" i="1"/>
  <c r="AB386" i="1" s="1"/>
  <c r="V386" i="1"/>
  <c r="T386" i="1"/>
  <c r="X386" i="1" s="1"/>
  <c r="D386" i="1"/>
  <c r="C386" i="1"/>
  <c r="AB385" i="1"/>
  <c r="AA385" i="1"/>
  <c r="T385" i="1"/>
  <c r="D385" i="1"/>
  <c r="C385" i="1"/>
  <c r="AA384" i="1"/>
  <c r="AB384" i="1" s="1"/>
  <c r="X384" i="1"/>
  <c r="V384" i="1"/>
  <c r="T384" i="1"/>
  <c r="D384" i="1"/>
  <c r="C384" i="1"/>
  <c r="AB383" i="1"/>
  <c r="AA383" i="1"/>
  <c r="X383" i="1"/>
  <c r="T383" i="1"/>
  <c r="V383" i="1" s="1"/>
  <c r="D383" i="1"/>
  <c r="C383" i="1"/>
  <c r="AA382" i="1"/>
  <c r="AB382" i="1" s="1"/>
  <c r="T382" i="1"/>
  <c r="X382" i="1" s="1"/>
  <c r="V382" i="1" s="1"/>
  <c r="D382" i="1"/>
  <c r="C382" i="1"/>
  <c r="AB381" i="1"/>
  <c r="AA381" i="1"/>
  <c r="T381" i="1"/>
  <c r="D381" i="1"/>
  <c r="C381" i="1"/>
  <c r="AA380" i="1"/>
  <c r="AB380" i="1" s="1"/>
  <c r="X380" i="1"/>
  <c r="V380" i="1"/>
  <c r="T380" i="1"/>
  <c r="D380" i="1"/>
  <c r="C380" i="1"/>
  <c r="AB379" i="1"/>
  <c r="AA379" i="1"/>
  <c r="X379" i="1"/>
  <c r="T379" i="1"/>
  <c r="V379" i="1" s="1"/>
  <c r="D379" i="1"/>
  <c r="C379" i="1"/>
  <c r="AA378" i="1"/>
  <c r="AB378" i="1" s="1"/>
  <c r="V378" i="1"/>
  <c r="T378" i="1"/>
  <c r="X378" i="1" s="1"/>
  <c r="D378" i="1"/>
  <c r="C378" i="1"/>
  <c r="AB377" i="1"/>
  <c r="AA377" i="1"/>
  <c r="T377" i="1"/>
  <c r="D377" i="1"/>
  <c r="C377" i="1"/>
  <c r="AA376" i="1"/>
  <c r="AB376" i="1" s="1"/>
  <c r="X376" i="1"/>
  <c r="V376" i="1"/>
  <c r="T376" i="1"/>
  <c r="D376" i="1"/>
  <c r="C376" i="1"/>
  <c r="AB375" i="1"/>
  <c r="AA375" i="1"/>
  <c r="X375" i="1"/>
  <c r="T375" i="1"/>
  <c r="V375" i="1" s="1"/>
  <c r="D375" i="1"/>
  <c r="C375" i="1"/>
  <c r="AA374" i="1"/>
  <c r="AB374" i="1" s="1"/>
  <c r="T374" i="1"/>
  <c r="X374" i="1" s="1"/>
  <c r="V374" i="1" s="1"/>
  <c r="D374" i="1"/>
  <c r="C374" i="1"/>
  <c r="AB373" i="1"/>
  <c r="AA373" i="1"/>
  <c r="T373" i="1"/>
  <c r="D373" i="1"/>
  <c r="C373" i="1"/>
  <c r="AA372" i="1"/>
  <c r="AB372" i="1" s="1"/>
  <c r="X372" i="1"/>
  <c r="V372" i="1"/>
  <c r="T372" i="1"/>
  <c r="D372" i="1"/>
  <c r="C372" i="1"/>
  <c r="AB371" i="1"/>
  <c r="AA371" i="1"/>
  <c r="X371" i="1"/>
  <c r="T371" i="1"/>
  <c r="V371" i="1" s="1"/>
  <c r="D371" i="1"/>
  <c r="C371" i="1"/>
  <c r="AA370" i="1"/>
  <c r="AB370" i="1" s="1"/>
  <c r="V370" i="1"/>
  <c r="T370" i="1"/>
  <c r="X370" i="1" s="1"/>
  <c r="D370" i="1"/>
  <c r="C370" i="1"/>
  <c r="AB369" i="1"/>
  <c r="AA369" i="1"/>
  <c r="T369" i="1"/>
  <c r="D369" i="1"/>
  <c r="C369" i="1"/>
  <c r="AA368" i="1"/>
  <c r="AB368" i="1" s="1"/>
  <c r="X368" i="1"/>
  <c r="V368" i="1"/>
  <c r="T368" i="1"/>
  <c r="D368" i="1"/>
  <c r="C368" i="1"/>
  <c r="AB367" i="1"/>
  <c r="AA367" i="1"/>
  <c r="X367" i="1"/>
  <c r="T367" i="1"/>
  <c r="V367" i="1" s="1"/>
  <c r="D367" i="1"/>
  <c r="C367" i="1"/>
  <c r="AA366" i="1"/>
  <c r="AB366" i="1" s="1"/>
  <c r="T366" i="1"/>
  <c r="X366" i="1" s="1"/>
  <c r="V366" i="1" s="1"/>
  <c r="D366" i="1"/>
  <c r="C366" i="1"/>
  <c r="AB365" i="1"/>
  <c r="AA365" i="1"/>
  <c r="T365" i="1"/>
  <c r="D365" i="1"/>
  <c r="C365" i="1"/>
  <c r="AA364" i="1"/>
  <c r="AB364" i="1" s="1"/>
  <c r="X364" i="1"/>
  <c r="V364" i="1"/>
  <c r="T364" i="1"/>
  <c r="D364" i="1"/>
  <c r="C364" i="1"/>
  <c r="AB363" i="1"/>
  <c r="AA363" i="1"/>
  <c r="X363" i="1"/>
  <c r="V363" i="1"/>
  <c r="T363" i="1"/>
  <c r="D363" i="1"/>
  <c r="C363" i="1"/>
  <c r="AB362" i="1"/>
  <c r="AA362" i="1"/>
  <c r="T362" i="1"/>
  <c r="D362" i="1"/>
  <c r="C362" i="1"/>
  <c r="AA361" i="1"/>
  <c r="AB361" i="1" s="1"/>
  <c r="T361" i="1"/>
  <c r="D361" i="1"/>
  <c r="C361" i="1"/>
  <c r="AA360" i="1"/>
  <c r="AB360" i="1" s="1"/>
  <c r="X360" i="1"/>
  <c r="V360" i="1" s="1"/>
  <c r="T360" i="1"/>
  <c r="D360" i="1"/>
  <c r="C360" i="1"/>
  <c r="AB359" i="1"/>
  <c r="AA359" i="1"/>
  <c r="X359" i="1"/>
  <c r="V359" i="1"/>
  <c r="T359" i="1"/>
  <c r="D359" i="1"/>
  <c r="C359" i="1"/>
  <c r="AB358" i="1"/>
  <c r="AA358" i="1"/>
  <c r="T358" i="1"/>
  <c r="X358" i="1" s="1"/>
  <c r="D358" i="1"/>
  <c r="C358" i="1"/>
  <c r="AA357" i="1"/>
  <c r="AB357" i="1" s="1"/>
  <c r="T357" i="1"/>
  <c r="D357" i="1"/>
  <c r="C357" i="1"/>
  <c r="AA356" i="1"/>
  <c r="AB356" i="1" s="1"/>
  <c r="T356" i="1"/>
  <c r="D356" i="1"/>
  <c r="C356" i="1"/>
  <c r="AA355" i="1"/>
  <c r="AB355" i="1" s="1"/>
  <c r="T355" i="1"/>
  <c r="D355" i="1"/>
  <c r="C355" i="1"/>
  <c r="AA354" i="1"/>
  <c r="AB354" i="1" s="1"/>
  <c r="X354" i="1"/>
  <c r="V354" i="1" s="1"/>
  <c r="T354" i="1"/>
  <c r="D354" i="1"/>
  <c r="C354" i="1"/>
  <c r="AB353" i="1"/>
  <c r="AA353" i="1"/>
  <c r="X353" i="1"/>
  <c r="V353" i="1"/>
  <c r="T353" i="1"/>
  <c r="D353" i="1"/>
  <c r="C353" i="1"/>
  <c r="AB352" i="1"/>
  <c r="AA352" i="1"/>
  <c r="T352" i="1"/>
  <c r="X352" i="1" s="1"/>
  <c r="D352" i="1"/>
  <c r="C352" i="1"/>
  <c r="AA351" i="1"/>
  <c r="AB351" i="1" s="1"/>
  <c r="T351" i="1"/>
  <c r="D351" i="1"/>
  <c r="C351" i="1"/>
  <c r="AA350" i="1"/>
  <c r="AB350" i="1" s="1"/>
  <c r="X350" i="1"/>
  <c r="V350" i="1" s="1"/>
  <c r="T350" i="1"/>
  <c r="D350" i="1"/>
  <c r="C350" i="1"/>
  <c r="AB349" i="1"/>
  <c r="AA349" i="1"/>
  <c r="X349" i="1"/>
  <c r="V349" i="1"/>
  <c r="T349" i="1"/>
  <c r="D349" i="1"/>
  <c r="C349" i="1"/>
  <c r="AB348" i="1"/>
  <c r="AA348" i="1"/>
  <c r="V348" i="1"/>
  <c r="T348" i="1"/>
  <c r="X348" i="1" s="1"/>
  <c r="D348" i="1"/>
  <c r="C348" i="1"/>
  <c r="AB347" i="1"/>
  <c r="AA347" i="1"/>
  <c r="T347" i="1"/>
  <c r="D347" i="1"/>
  <c r="C347" i="1"/>
  <c r="AA346" i="1"/>
  <c r="AB346" i="1" s="1"/>
  <c r="X346" i="1"/>
  <c r="V346" i="1" s="1"/>
  <c r="T346" i="1"/>
  <c r="D346" i="1"/>
  <c r="C346" i="1"/>
  <c r="AB345" i="1"/>
  <c r="AA345" i="1"/>
  <c r="X345" i="1"/>
  <c r="V345" i="1" s="1"/>
  <c r="T345" i="1"/>
  <c r="D345" i="1"/>
  <c r="C345" i="1"/>
  <c r="AB344" i="1"/>
  <c r="AA344" i="1"/>
  <c r="T344" i="1"/>
  <c r="X344" i="1" s="1"/>
  <c r="D344" i="1"/>
  <c r="C344" i="1"/>
  <c r="AA343" i="1"/>
  <c r="AB343" i="1" s="1"/>
  <c r="T343" i="1"/>
  <c r="D343" i="1"/>
  <c r="C343" i="1"/>
  <c r="AA342" i="1"/>
  <c r="AB342" i="1" s="1"/>
  <c r="X342" i="1"/>
  <c r="V342" i="1" s="1"/>
  <c r="T342" i="1"/>
  <c r="D342" i="1"/>
  <c r="C342" i="1"/>
  <c r="AB341" i="1"/>
  <c r="AA341" i="1"/>
  <c r="X341" i="1"/>
  <c r="V341" i="1"/>
  <c r="T341" i="1"/>
  <c r="D341" i="1"/>
  <c r="C341" i="1"/>
  <c r="AB340" i="1"/>
  <c r="AA340" i="1"/>
  <c r="T340" i="1"/>
  <c r="D340" i="1"/>
  <c r="C340" i="1"/>
  <c r="AA339" i="1"/>
  <c r="AB339" i="1" s="1"/>
  <c r="T339" i="1"/>
  <c r="D339" i="1"/>
  <c r="C339" i="1"/>
  <c r="AA338" i="1"/>
  <c r="AB338" i="1" s="1"/>
  <c r="X338" i="1"/>
  <c r="V338" i="1" s="1"/>
  <c r="T338" i="1"/>
  <c r="D338" i="1"/>
  <c r="C338" i="1"/>
  <c r="AB337" i="1"/>
  <c r="AA337" i="1"/>
  <c r="X337" i="1"/>
  <c r="V337" i="1"/>
  <c r="T337" i="1"/>
  <c r="D337" i="1"/>
  <c r="C337" i="1"/>
  <c r="AB336" i="1"/>
  <c r="AA336" i="1"/>
  <c r="T336" i="1"/>
  <c r="X336" i="1" s="1"/>
  <c r="D336" i="1"/>
  <c r="C336" i="1"/>
  <c r="AA335" i="1"/>
  <c r="AB335" i="1" s="1"/>
  <c r="T335" i="1"/>
  <c r="D335" i="1"/>
  <c r="C335" i="1"/>
  <c r="AA334" i="1"/>
  <c r="AB334" i="1" s="1"/>
  <c r="X334" i="1"/>
  <c r="V334" i="1" s="1"/>
  <c r="T334" i="1"/>
  <c r="D334" i="1"/>
  <c r="C334" i="1"/>
  <c r="AB333" i="1"/>
  <c r="AA333" i="1"/>
  <c r="X333" i="1"/>
  <c r="V333" i="1"/>
  <c r="T333" i="1"/>
  <c r="D333" i="1"/>
  <c r="C333" i="1"/>
  <c r="AB332" i="1"/>
  <c r="AA332" i="1"/>
  <c r="V332" i="1"/>
  <c r="T332" i="1"/>
  <c r="X332" i="1" s="1"/>
  <c r="D332" i="1"/>
  <c r="C332" i="1"/>
  <c r="AB331" i="1"/>
  <c r="AA331" i="1"/>
  <c r="T331" i="1"/>
  <c r="D331" i="1"/>
  <c r="C331" i="1"/>
  <c r="AA330" i="1"/>
  <c r="AB330" i="1" s="1"/>
  <c r="X330" i="1"/>
  <c r="V330" i="1" s="1"/>
  <c r="T330" i="1"/>
  <c r="D330" i="1"/>
  <c r="C330" i="1"/>
  <c r="AB329" i="1"/>
  <c r="AA329" i="1"/>
  <c r="X329" i="1"/>
  <c r="V329" i="1" s="1"/>
  <c r="T329" i="1"/>
  <c r="D329" i="1"/>
  <c r="C329" i="1"/>
  <c r="AB328" i="1"/>
  <c r="AA328" i="1"/>
  <c r="V328" i="1"/>
  <c r="T328" i="1"/>
  <c r="X328" i="1" s="1"/>
  <c r="D328" i="1"/>
  <c r="C328" i="1"/>
  <c r="AB327" i="1"/>
  <c r="AA327" i="1"/>
  <c r="T327" i="1"/>
  <c r="D327" i="1"/>
  <c r="C327" i="1"/>
  <c r="AA326" i="1"/>
  <c r="AB326" i="1" s="1"/>
  <c r="X326" i="1"/>
  <c r="V326" i="1" s="1"/>
  <c r="T326" i="1"/>
  <c r="D326" i="1"/>
  <c r="C326" i="1"/>
  <c r="AB325" i="1"/>
  <c r="AA325" i="1"/>
  <c r="X325" i="1"/>
  <c r="V325" i="1" s="1"/>
  <c r="T325" i="1"/>
  <c r="D325" i="1"/>
  <c r="C325" i="1"/>
  <c r="AB324" i="1"/>
  <c r="AA324" i="1"/>
  <c r="T324" i="1"/>
  <c r="D324" i="1"/>
  <c r="C324" i="1"/>
  <c r="AA323" i="1"/>
  <c r="AB323" i="1" s="1"/>
  <c r="T323" i="1"/>
  <c r="D323" i="1"/>
  <c r="C323" i="1"/>
  <c r="AA322" i="1"/>
  <c r="AB322" i="1" s="1"/>
  <c r="X322" i="1"/>
  <c r="V322" i="1" s="1"/>
  <c r="T322" i="1"/>
  <c r="D322" i="1"/>
  <c r="C322" i="1"/>
  <c r="AB321" i="1"/>
  <c r="AA321" i="1"/>
  <c r="X321" i="1"/>
  <c r="V321" i="1"/>
  <c r="T321" i="1"/>
  <c r="D321" i="1"/>
  <c r="C321" i="1"/>
  <c r="AB320" i="1"/>
  <c r="AA320" i="1"/>
  <c r="T320" i="1"/>
  <c r="X320" i="1" s="1"/>
  <c r="D320" i="1"/>
  <c r="C320" i="1"/>
  <c r="AA319" i="1"/>
  <c r="AB319" i="1" s="1"/>
  <c r="T319" i="1"/>
  <c r="D319" i="1"/>
  <c r="C319" i="1"/>
  <c r="AA318" i="1"/>
  <c r="AB318" i="1" s="1"/>
  <c r="X318" i="1"/>
  <c r="V318" i="1" s="1"/>
  <c r="T318" i="1"/>
  <c r="D318" i="1"/>
  <c r="C318" i="1"/>
  <c r="AB317" i="1"/>
  <c r="AA317" i="1"/>
  <c r="X317" i="1"/>
  <c r="V317" i="1"/>
  <c r="T317" i="1"/>
  <c r="D317" i="1"/>
  <c r="C317" i="1"/>
  <c r="AB316" i="1"/>
  <c r="AA316" i="1"/>
  <c r="V316" i="1"/>
  <c r="T316" i="1"/>
  <c r="X316" i="1" s="1"/>
  <c r="D316" i="1"/>
  <c r="C316" i="1"/>
  <c r="AB315" i="1"/>
  <c r="AA315" i="1"/>
  <c r="T315" i="1"/>
  <c r="D315" i="1"/>
  <c r="C315" i="1"/>
  <c r="AA314" i="1"/>
  <c r="AB314" i="1" s="1"/>
  <c r="X314" i="1"/>
  <c r="V314" i="1" s="1"/>
  <c r="T314" i="1"/>
  <c r="D314" i="1"/>
  <c r="C314" i="1"/>
  <c r="AB313" i="1"/>
  <c r="AA313" i="1"/>
  <c r="X313" i="1"/>
  <c r="V313" i="1" s="1"/>
  <c r="T313" i="1"/>
  <c r="D313" i="1"/>
  <c r="C313" i="1"/>
  <c r="AB312" i="1"/>
  <c r="AA312" i="1"/>
  <c r="T312" i="1"/>
  <c r="D312" i="1"/>
  <c r="C312" i="1"/>
  <c r="AA311" i="1"/>
  <c r="AB311" i="1" s="1"/>
  <c r="T311" i="1"/>
  <c r="D311" i="1"/>
  <c r="C311" i="1"/>
  <c r="AA310" i="1"/>
  <c r="AB310" i="1" s="1"/>
  <c r="X310" i="1"/>
  <c r="V310" i="1" s="1"/>
  <c r="T310" i="1"/>
  <c r="D310" i="1"/>
  <c r="C310" i="1"/>
  <c r="AB309" i="1"/>
  <c r="AA309" i="1"/>
  <c r="X309" i="1"/>
  <c r="V309" i="1"/>
  <c r="T309" i="1"/>
  <c r="D309" i="1"/>
  <c r="C309" i="1"/>
  <c r="AB308" i="1"/>
  <c r="AA308" i="1"/>
  <c r="T308" i="1"/>
  <c r="D308" i="1"/>
  <c r="C308" i="1"/>
  <c r="AA307" i="1"/>
  <c r="AB307" i="1" s="1"/>
  <c r="T307" i="1"/>
  <c r="D307" i="1"/>
  <c r="C307" i="1"/>
  <c r="AA306" i="1"/>
  <c r="AB306" i="1" s="1"/>
  <c r="X306" i="1"/>
  <c r="V306" i="1" s="1"/>
  <c r="T306" i="1"/>
  <c r="D306" i="1"/>
  <c r="C306" i="1"/>
  <c r="AB305" i="1"/>
  <c r="AA305" i="1"/>
  <c r="X305" i="1"/>
  <c r="V305" i="1"/>
  <c r="T305" i="1"/>
  <c r="D305" i="1"/>
  <c r="C305" i="1"/>
  <c r="AB304" i="1"/>
  <c r="AA304" i="1"/>
  <c r="T304" i="1"/>
  <c r="X304" i="1" s="1"/>
  <c r="D304" i="1"/>
  <c r="C304" i="1"/>
  <c r="AA303" i="1"/>
  <c r="AB303" i="1" s="1"/>
  <c r="T303" i="1"/>
  <c r="D303" i="1"/>
  <c r="C303" i="1"/>
  <c r="AA302" i="1"/>
  <c r="AB302" i="1" s="1"/>
  <c r="X302" i="1"/>
  <c r="V302" i="1" s="1"/>
  <c r="T302" i="1"/>
  <c r="D302" i="1"/>
  <c r="C302" i="1"/>
  <c r="AB301" i="1"/>
  <c r="AA301" i="1"/>
  <c r="T301" i="1"/>
  <c r="D301" i="1"/>
  <c r="C301" i="1"/>
  <c r="AA300" i="1"/>
  <c r="AB300" i="1" s="1"/>
  <c r="V300" i="1"/>
  <c r="T300" i="1"/>
  <c r="X300" i="1" s="1"/>
  <c r="D300" i="1"/>
  <c r="C300" i="1"/>
  <c r="AB299" i="1"/>
  <c r="AA299" i="1"/>
  <c r="T299" i="1"/>
  <c r="D299" i="1"/>
  <c r="C299" i="1"/>
  <c r="AA298" i="1"/>
  <c r="AB298" i="1" s="1"/>
  <c r="X298" i="1"/>
  <c r="V298" i="1"/>
  <c r="T298" i="1"/>
  <c r="D298" i="1"/>
  <c r="C298" i="1"/>
  <c r="AB297" i="1"/>
  <c r="AA297" i="1"/>
  <c r="T297" i="1"/>
  <c r="X297" i="1" s="1"/>
  <c r="D297" i="1"/>
  <c r="C297" i="1"/>
  <c r="AA296" i="1"/>
  <c r="AB296" i="1" s="1"/>
  <c r="T296" i="1"/>
  <c r="X296" i="1" s="1"/>
  <c r="D296" i="1"/>
  <c r="C296" i="1"/>
  <c r="AA295" i="1"/>
  <c r="AB295" i="1" s="1"/>
  <c r="X295" i="1"/>
  <c r="T295" i="1"/>
  <c r="D295" i="1"/>
  <c r="C295" i="1"/>
  <c r="AA294" i="1"/>
  <c r="AB294" i="1" s="1"/>
  <c r="X294" i="1"/>
  <c r="V294" i="1" s="1"/>
  <c r="T294" i="1"/>
  <c r="D294" i="1"/>
  <c r="C294" i="1"/>
  <c r="AB293" i="1"/>
  <c r="AA293" i="1"/>
  <c r="X293" i="1"/>
  <c r="V293" i="1"/>
  <c r="T293" i="1"/>
  <c r="D293" i="1"/>
  <c r="C293" i="1"/>
  <c r="AB292" i="1"/>
  <c r="AA292" i="1"/>
  <c r="T292" i="1"/>
  <c r="D292" i="1"/>
  <c r="C292" i="1"/>
  <c r="AA291" i="1"/>
  <c r="AB291" i="1" s="1"/>
  <c r="X291" i="1"/>
  <c r="T291" i="1"/>
  <c r="D291" i="1"/>
  <c r="C291" i="1"/>
  <c r="AA290" i="1"/>
  <c r="AB290" i="1" s="1"/>
  <c r="X290" i="1"/>
  <c r="V290" i="1"/>
  <c r="T290" i="1"/>
  <c r="D290" i="1"/>
  <c r="C290" i="1"/>
  <c r="AB289" i="1"/>
  <c r="AA289" i="1"/>
  <c r="X289" i="1"/>
  <c r="T289" i="1"/>
  <c r="V289" i="1" s="1"/>
  <c r="D289" i="1"/>
  <c r="C289" i="1"/>
  <c r="AA288" i="1"/>
  <c r="AB288" i="1" s="1"/>
  <c r="T288" i="1"/>
  <c r="D288" i="1"/>
  <c r="C288" i="1"/>
  <c r="AA287" i="1"/>
  <c r="AB287" i="1" s="1"/>
  <c r="T287" i="1"/>
  <c r="D287" i="1"/>
  <c r="C287" i="1"/>
  <c r="AA286" i="1"/>
  <c r="AB286" i="1" s="1"/>
  <c r="X286" i="1"/>
  <c r="T286" i="1"/>
  <c r="V286" i="1" s="1"/>
  <c r="D286" i="1"/>
  <c r="C286" i="1"/>
  <c r="AA285" i="1"/>
  <c r="AB285" i="1" s="1"/>
  <c r="X285" i="1"/>
  <c r="V285" i="1"/>
  <c r="T285" i="1"/>
  <c r="D285" i="1"/>
  <c r="C285" i="1"/>
  <c r="AB284" i="1"/>
  <c r="AA284" i="1"/>
  <c r="T284" i="1"/>
  <c r="X284" i="1" s="1"/>
  <c r="D284" i="1"/>
  <c r="C284" i="1"/>
  <c r="AA283" i="1"/>
  <c r="AB283" i="1" s="1"/>
  <c r="T283" i="1"/>
  <c r="D283" i="1"/>
  <c r="C283" i="1"/>
  <c r="AA282" i="1"/>
  <c r="AB282" i="1" s="1"/>
  <c r="X282" i="1"/>
  <c r="T282" i="1"/>
  <c r="V282" i="1" s="1"/>
  <c r="D282" i="1"/>
  <c r="C282" i="1"/>
  <c r="AA281" i="1"/>
  <c r="AB281" i="1" s="1"/>
  <c r="X281" i="1"/>
  <c r="V281" i="1" s="1"/>
  <c r="T281" i="1"/>
  <c r="D281" i="1"/>
  <c r="C281" i="1"/>
  <c r="AB280" i="1"/>
  <c r="AA280" i="1"/>
  <c r="T280" i="1"/>
  <c r="D280" i="1"/>
  <c r="C280" i="1"/>
  <c r="AA279" i="1"/>
  <c r="AB279" i="1" s="1"/>
  <c r="T279" i="1"/>
  <c r="D279" i="1"/>
  <c r="C279" i="1"/>
  <c r="AA278" i="1"/>
  <c r="T278" i="1"/>
  <c r="D278" i="1"/>
  <c r="C278" i="1"/>
  <c r="AA277" i="1"/>
  <c r="AB277" i="1" s="1"/>
  <c r="X277" i="1"/>
  <c r="T277" i="1"/>
  <c r="V277" i="1" s="1"/>
  <c r="D277" i="1"/>
  <c r="C277" i="1"/>
  <c r="AA276" i="1"/>
  <c r="AB276" i="1" s="1"/>
  <c r="X276" i="1"/>
  <c r="V276" i="1"/>
  <c r="T276" i="1"/>
  <c r="D276" i="1"/>
  <c r="C276" i="1"/>
  <c r="AB275" i="1"/>
  <c r="AA275" i="1"/>
  <c r="T275" i="1"/>
  <c r="X275" i="1" s="1"/>
  <c r="D275" i="1"/>
  <c r="C275" i="1"/>
  <c r="AA274" i="1"/>
  <c r="AB274" i="1" s="1"/>
  <c r="T274" i="1"/>
  <c r="D274" i="1"/>
  <c r="C274" i="1"/>
  <c r="AA273" i="1"/>
  <c r="AB273" i="1" s="1"/>
  <c r="X273" i="1"/>
  <c r="T273" i="1"/>
  <c r="V273" i="1" s="1"/>
  <c r="D273" i="1"/>
  <c r="C273" i="1"/>
  <c r="AA272" i="1"/>
  <c r="AB272" i="1" s="1"/>
  <c r="X272" i="1"/>
  <c r="V272" i="1" s="1"/>
  <c r="T272" i="1"/>
  <c r="D272" i="1"/>
  <c r="C272" i="1"/>
  <c r="AB271" i="1"/>
  <c r="AA271" i="1"/>
  <c r="T271" i="1"/>
  <c r="D271" i="1"/>
  <c r="C271" i="1"/>
  <c r="AA270" i="1"/>
  <c r="AB270" i="1" s="1"/>
  <c r="T270" i="1"/>
  <c r="D270" i="1"/>
  <c r="C270" i="1"/>
  <c r="AA269" i="1"/>
  <c r="AB269" i="1" s="1"/>
  <c r="X269" i="1"/>
  <c r="T269" i="1"/>
  <c r="V269" i="1" s="1"/>
  <c r="D269" i="1"/>
  <c r="C269" i="1"/>
  <c r="AA268" i="1"/>
  <c r="AB268" i="1" s="1"/>
  <c r="X268" i="1"/>
  <c r="V268" i="1"/>
  <c r="T268" i="1"/>
  <c r="D268" i="1"/>
  <c r="C268" i="1"/>
  <c r="AB267" i="1"/>
  <c r="AA267" i="1"/>
  <c r="T267" i="1"/>
  <c r="X267" i="1" s="1"/>
  <c r="D267" i="1"/>
  <c r="C267" i="1"/>
  <c r="AA266" i="1"/>
  <c r="AB266" i="1" s="1"/>
  <c r="T266" i="1"/>
  <c r="D266" i="1"/>
  <c r="C266" i="1"/>
  <c r="AA265" i="1"/>
  <c r="AB265" i="1" s="1"/>
  <c r="X265" i="1"/>
  <c r="T265" i="1"/>
  <c r="V265" i="1" s="1"/>
  <c r="D265" i="1"/>
  <c r="C265" i="1"/>
  <c r="AA264" i="1"/>
  <c r="AB264" i="1" s="1"/>
  <c r="X264" i="1"/>
  <c r="V264" i="1" s="1"/>
  <c r="T264" i="1"/>
  <c r="D264" i="1"/>
  <c r="C264" i="1"/>
  <c r="AB263" i="1"/>
  <c r="AA263" i="1"/>
  <c r="T263" i="1"/>
  <c r="D263" i="1"/>
  <c r="C263" i="1"/>
  <c r="AA262" i="1"/>
  <c r="AB262" i="1" s="1"/>
  <c r="T262" i="1"/>
  <c r="D262" i="1"/>
  <c r="C262" i="1"/>
  <c r="AA261" i="1"/>
  <c r="AB261" i="1" s="1"/>
  <c r="X261" i="1"/>
  <c r="T261" i="1"/>
  <c r="V261" i="1" s="1"/>
  <c r="D261" i="1"/>
  <c r="C261" i="1"/>
  <c r="AA260" i="1"/>
  <c r="AB260" i="1" s="1"/>
  <c r="X260" i="1"/>
  <c r="V260" i="1"/>
  <c r="T260" i="1"/>
  <c r="D260" i="1"/>
  <c r="C260" i="1"/>
  <c r="AB259" i="1"/>
  <c r="AA259" i="1"/>
  <c r="T259" i="1"/>
  <c r="X259" i="1" s="1"/>
  <c r="D259" i="1"/>
  <c r="C259" i="1"/>
  <c r="AA258" i="1"/>
  <c r="AB258" i="1" s="1"/>
  <c r="T258" i="1"/>
  <c r="D258" i="1"/>
  <c r="C258" i="1"/>
  <c r="AA257" i="1"/>
  <c r="AB257" i="1" s="1"/>
  <c r="X257" i="1"/>
  <c r="T257" i="1"/>
  <c r="V257" i="1" s="1"/>
  <c r="D257" i="1"/>
  <c r="C257" i="1"/>
  <c r="AA256" i="1"/>
  <c r="AB256" i="1" s="1"/>
  <c r="X256" i="1"/>
  <c r="V256" i="1" s="1"/>
  <c r="T256" i="1"/>
  <c r="D256" i="1"/>
  <c r="C256" i="1"/>
  <c r="AB255" i="1"/>
  <c r="AA255" i="1"/>
  <c r="T255" i="1"/>
  <c r="D255" i="1"/>
  <c r="C255" i="1"/>
  <c r="AA254" i="1"/>
  <c r="AB254" i="1" s="1"/>
  <c r="T254" i="1"/>
  <c r="D254" i="1"/>
  <c r="C254" i="1"/>
  <c r="AA253" i="1"/>
  <c r="AB253" i="1" s="1"/>
  <c r="X253" i="1"/>
  <c r="T253" i="1"/>
  <c r="V253" i="1" s="1"/>
  <c r="D253" i="1"/>
  <c r="C253" i="1"/>
  <c r="AA252" i="1"/>
  <c r="AB252" i="1" s="1"/>
  <c r="X252" i="1"/>
  <c r="V252" i="1"/>
  <c r="T252" i="1"/>
  <c r="D252" i="1"/>
  <c r="C252" i="1"/>
  <c r="AB251" i="1"/>
  <c r="AA251" i="1"/>
  <c r="T251" i="1"/>
  <c r="X251" i="1" s="1"/>
  <c r="D251" i="1"/>
  <c r="C251" i="1"/>
  <c r="AA250" i="1"/>
  <c r="AB250" i="1" s="1"/>
  <c r="T250" i="1"/>
  <c r="D250" i="1"/>
  <c r="C250" i="1"/>
  <c r="AA249" i="1"/>
  <c r="AB249" i="1" s="1"/>
  <c r="X249" i="1"/>
  <c r="T249" i="1"/>
  <c r="V249" i="1" s="1"/>
  <c r="D249" i="1"/>
  <c r="C249" i="1"/>
  <c r="AA248" i="1"/>
  <c r="AB248" i="1" s="1"/>
  <c r="X248" i="1"/>
  <c r="V248" i="1" s="1"/>
  <c r="T248" i="1"/>
  <c r="D248" i="1"/>
  <c r="C248" i="1"/>
  <c r="AB247" i="1"/>
  <c r="AA247" i="1"/>
  <c r="T247" i="1"/>
  <c r="D247" i="1"/>
  <c r="C247" i="1"/>
  <c r="AA246" i="1"/>
  <c r="AB246" i="1" s="1"/>
  <c r="T246" i="1"/>
  <c r="D246" i="1"/>
  <c r="C246" i="1"/>
  <c r="AA245" i="1"/>
  <c r="X245" i="1"/>
  <c r="V245" i="1"/>
  <c r="T245" i="1"/>
  <c r="D245" i="1"/>
  <c r="C245" i="1"/>
  <c r="AB244" i="1"/>
  <c r="AA244" i="1"/>
  <c r="V244" i="1"/>
  <c r="T244" i="1"/>
  <c r="X244" i="1" s="1"/>
  <c r="D244" i="1"/>
  <c r="C244" i="1"/>
  <c r="AB243" i="1"/>
  <c r="AA243" i="1"/>
  <c r="T243" i="1"/>
  <c r="D243" i="1"/>
  <c r="C243" i="1"/>
  <c r="AA242" i="1"/>
  <c r="AB242" i="1" s="1"/>
  <c r="X242" i="1"/>
  <c r="T242" i="1"/>
  <c r="V242" i="1" s="1"/>
  <c r="D242" i="1"/>
  <c r="C242" i="1"/>
  <c r="AA241" i="1"/>
  <c r="AB241" i="1" s="1"/>
  <c r="X241" i="1"/>
  <c r="V241" i="1"/>
  <c r="T241" i="1"/>
  <c r="D241" i="1"/>
  <c r="C241" i="1"/>
  <c r="AB240" i="1"/>
  <c r="AA240" i="1"/>
  <c r="T240" i="1"/>
  <c r="X240" i="1" s="1"/>
  <c r="D240" i="1"/>
  <c r="C240" i="1"/>
  <c r="AA239" i="1"/>
  <c r="AB239" i="1" s="1"/>
  <c r="T239" i="1"/>
  <c r="D239" i="1"/>
  <c r="C239" i="1"/>
  <c r="AA238" i="1"/>
  <c r="AB238" i="1" s="1"/>
  <c r="X238" i="1"/>
  <c r="T238" i="1"/>
  <c r="D238" i="1"/>
  <c r="C238" i="1"/>
  <c r="AA237" i="1"/>
  <c r="AB237" i="1" s="1"/>
  <c r="X237" i="1"/>
  <c r="V237" i="1"/>
  <c r="T237" i="1"/>
  <c r="D237" i="1"/>
  <c r="C237" i="1"/>
  <c r="AB236" i="1"/>
  <c r="AA236" i="1"/>
  <c r="V236" i="1"/>
  <c r="T236" i="1"/>
  <c r="X236" i="1" s="1"/>
  <c r="D236" i="1"/>
  <c r="C236" i="1"/>
  <c r="AB235" i="1"/>
  <c r="AA235" i="1"/>
  <c r="T235" i="1"/>
  <c r="D235" i="1"/>
  <c r="C235" i="1"/>
  <c r="AA234" i="1"/>
  <c r="AB234" i="1" s="1"/>
  <c r="X234" i="1"/>
  <c r="T234" i="1"/>
  <c r="V234" i="1" s="1"/>
  <c r="D234" i="1"/>
  <c r="C234" i="1"/>
  <c r="AA233" i="1"/>
  <c r="AB233" i="1" s="1"/>
  <c r="X233" i="1"/>
  <c r="V233" i="1"/>
  <c r="T233" i="1"/>
  <c r="D233" i="1"/>
  <c r="C233" i="1"/>
  <c r="AB232" i="1"/>
  <c r="AA232" i="1"/>
  <c r="T232" i="1"/>
  <c r="X232" i="1" s="1"/>
  <c r="D232" i="1"/>
  <c r="C232" i="1"/>
  <c r="AA231" i="1"/>
  <c r="AB231" i="1" s="1"/>
  <c r="T231" i="1"/>
  <c r="D231" i="1"/>
  <c r="C231" i="1"/>
  <c r="AA230" i="1"/>
  <c r="AB230" i="1" s="1"/>
  <c r="X230" i="1"/>
  <c r="T230" i="1"/>
  <c r="D230" i="1"/>
  <c r="C230" i="1"/>
  <c r="AA229" i="1"/>
  <c r="AB229" i="1" s="1"/>
  <c r="X229" i="1"/>
  <c r="V229" i="1"/>
  <c r="T229" i="1"/>
  <c r="D229" i="1"/>
  <c r="C229" i="1"/>
  <c r="AA228" i="1"/>
  <c r="T228" i="1"/>
  <c r="D228" i="1"/>
  <c r="C228" i="1"/>
  <c r="AA227" i="1"/>
  <c r="AB227" i="1" s="1"/>
  <c r="X227" i="1"/>
  <c r="T227" i="1"/>
  <c r="V227" i="1" s="1"/>
  <c r="D227" i="1"/>
  <c r="C227" i="1"/>
  <c r="AA226" i="1"/>
  <c r="AB226" i="1" s="1"/>
  <c r="X226" i="1"/>
  <c r="V226" i="1" s="1"/>
  <c r="T226" i="1"/>
  <c r="D226" i="1"/>
  <c r="C226" i="1"/>
  <c r="AB225" i="1"/>
  <c r="AA225" i="1"/>
  <c r="T225" i="1"/>
  <c r="D225" i="1"/>
  <c r="C225" i="1"/>
  <c r="AA224" i="1"/>
  <c r="AB224" i="1" s="1"/>
  <c r="T224" i="1"/>
  <c r="D224" i="1"/>
  <c r="C224" i="1"/>
  <c r="AA223" i="1"/>
  <c r="AB223" i="1" s="1"/>
  <c r="X223" i="1"/>
  <c r="T223" i="1"/>
  <c r="V223" i="1" s="1"/>
  <c r="D223" i="1"/>
  <c r="C223" i="1"/>
  <c r="AA222" i="1"/>
  <c r="AB222" i="1" s="1"/>
  <c r="X222" i="1"/>
  <c r="V222" i="1"/>
  <c r="T222" i="1"/>
  <c r="D222" i="1"/>
  <c r="C222" i="1"/>
  <c r="AB221" i="1"/>
  <c r="AA221" i="1"/>
  <c r="T221" i="1"/>
  <c r="X221" i="1" s="1"/>
  <c r="D221" i="1"/>
  <c r="C221" i="1"/>
  <c r="AA220" i="1"/>
  <c r="AB220" i="1" s="1"/>
  <c r="T220" i="1"/>
  <c r="D220" i="1"/>
  <c r="C220" i="1"/>
  <c r="AA219" i="1"/>
  <c r="AB219" i="1" s="1"/>
  <c r="X219" i="1"/>
  <c r="T219" i="1"/>
  <c r="V219" i="1" s="1"/>
  <c r="D219" i="1"/>
  <c r="C219" i="1"/>
  <c r="AA218" i="1"/>
  <c r="AB218" i="1" s="1"/>
  <c r="X218" i="1"/>
  <c r="V218" i="1" s="1"/>
  <c r="T218" i="1"/>
  <c r="D218" i="1"/>
  <c r="C218" i="1"/>
  <c r="AB217" i="1"/>
  <c r="AA217" i="1"/>
  <c r="T217" i="1"/>
  <c r="D217" i="1"/>
  <c r="C217" i="1"/>
  <c r="AA216" i="1"/>
  <c r="AB216" i="1" s="1"/>
  <c r="T216" i="1"/>
  <c r="D216" i="1"/>
  <c r="C216" i="1"/>
  <c r="AA215" i="1"/>
  <c r="AB215" i="1" s="1"/>
  <c r="X215" i="1"/>
  <c r="T215" i="1"/>
  <c r="V215" i="1" s="1"/>
  <c r="D215" i="1"/>
  <c r="C215" i="1"/>
  <c r="AA214" i="1"/>
  <c r="AB214" i="1" s="1"/>
  <c r="X214" i="1"/>
  <c r="V214" i="1"/>
  <c r="T214" i="1"/>
  <c r="D214" i="1"/>
  <c r="C214" i="1"/>
  <c r="AB213" i="1"/>
  <c r="AA213" i="1"/>
  <c r="T213" i="1"/>
  <c r="X213" i="1" s="1"/>
  <c r="D213" i="1"/>
  <c r="C213" i="1"/>
  <c r="AA212" i="1"/>
  <c r="AB212" i="1" s="1"/>
  <c r="T212" i="1"/>
  <c r="D212" i="1"/>
  <c r="C212" i="1"/>
  <c r="AA211" i="1"/>
  <c r="AB211" i="1" s="1"/>
  <c r="X211" i="1"/>
  <c r="T211" i="1"/>
  <c r="V211" i="1" s="1"/>
  <c r="D211" i="1"/>
  <c r="C211" i="1"/>
  <c r="AA210" i="1"/>
  <c r="AB210" i="1" s="1"/>
  <c r="X210" i="1"/>
  <c r="V210" i="1" s="1"/>
  <c r="T210" i="1"/>
  <c r="D210" i="1"/>
  <c r="C210" i="1"/>
  <c r="AB209" i="1"/>
  <c r="AA209" i="1"/>
  <c r="T209" i="1"/>
  <c r="D209" i="1"/>
  <c r="C209" i="1"/>
  <c r="AA208" i="1"/>
  <c r="AB208" i="1" s="1"/>
  <c r="T208" i="1"/>
  <c r="D208" i="1"/>
  <c r="C208" i="1"/>
  <c r="AA207" i="1"/>
  <c r="AB207" i="1" s="1"/>
  <c r="X207" i="1"/>
  <c r="T207" i="1"/>
  <c r="V207" i="1" s="1"/>
  <c r="D207" i="1"/>
  <c r="C207" i="1"/>
  <c r="AA206" i="1"/>
  <c r="AB206" i="1" s="1"/>
  <c r="X206" i="1"/>
  <c r="V206" i="1"/>
  <c r="T206" i="1"/>
  <c r="D206" i="1"/>
  <c r="C206" i="1"/>
  <c r="AB205" i="1"/>
  <c r="AA205" i="1"/>
  <c r="T205" i="1"/>
  <c r="X205" i="1" s="1"/>
  <c r="D205" i="1"/>
  <c r="C205" i="1"/>
  <c r="AA204" i="1"/>
  <c r="AB204" i="1" s="1"/>
  <c r="T204" i="1"/>
  <c r="D204" i="1"/>
  <c r="C204" i="1"/>
  <c r="AA203" i="1"/>
  <c r="AB203" i="1" s="1"/>
  <c r="T203" i="1"/>
  <c r="D203" i="1"/>
  <c r="C203" i="1"/>
  <c r="AA202" i="1"/>
  <c r="AB202" i="1" s="1"/>
  <c r="T202" i="1"/>
  <c r="D202" i="1"/>
  <c r="C202" i="1"/>
  <c r="AA201" i="1"/>
  <c r="AB201" i="1" s="1"/>
  <c r="X201" i="1"/>
  <c r="T201" i="1"/>
  <c r="D201" i="1"/>
  <c r="C201" i="1"/>
  <c r="AA200" i="1"/>
  <c r="AB200" i="1" s="1"/>
  <c r="X200" i="1"/>
  <c r="V200" i="1"/>
  <c r="T200" i="1"/>
  <c r="D200" i="1"/>
  <c r="C200" i="1"/>
  <c r="AB199" i="1"/>
  <c r="AA199" i="1"/>
  <c r="V199" i="1"/>
  <c r="T199" i="1"/>
  <c r="X199" i="1" s="1"/>
  <c r="D199" i="1"/>
  <c r="C199" i="1"/>
  <c r="AB198" i="1"/>
  <c r="AA198" i="1"/>
  <c r="T198" i="1"/>
  <c r="D198" i="1"/>
  <c r="C198" i="1"/>
  <c r="AA197" i="1"/>
  <c r="AB197" i="1" s="1"/>
  <c r="X197" i="1"/>
  <c r="T197" i="1"/>
  <c r="V197" i="1" s="1"/>
  <c r="D197" i="1"/>
  <c r="C197" i="1"/>
  <c r="AA196" i="1"/>
  <c r="AB196" i="1" s="1"/>
  <c r="X196" i="1"/>
  <c r="V196" i="1"/>
  <c r="T196" i="1"/>
  <c r="D196" i="1"/>
  <c r="C196" i="1"/>
  <c r="AB195" i="1"/>
  <c r="AA195" i="1"/>
  <c r="T195" i="1"/>
  <c r="X195" i="1" s="1"/>
  <c r="D195" i="1"/>
  <c r="C195" i="1"/>
  <c r="AA194" i="1"/>
  <c r="AB194" i="1" s="1"/>
  <c r="T194" i="1"/>
  <c r="D194" i="1"/>
  <c r="C194" i="1"/>
  <c r="AA193" i="1"/>
  <c r="AB193" i="1" s="1"/>
  <c r="X193" i="1"/>
  <c r="T193" i="1"/>
  <c r="D193" i="1"/>
  <c r="C193" i="1"/>
  <c r="AA192" i="1"/>
  <c r="AB192" i="1" s="1"/>
  <c r="X192" i="1"/>
  <c r="V192" i="1"/>
  <c r="T192" i="1"/>
  <c r="D192" i="1"/>
  <c r="C192" i="1"/>
  <c r="AB191" i="1"/>
  <c r="AA191" i="1"/>
  <c r="V191" i="1"/>
  <c r="T191" i="1"/>
  <c r="X191" i="1" s="1"/>
  <c r="D191" i="1"/>
  <c r="C191" i="1"/>
  <c r="AB190" i="1"/>
  <c r="AA190" i="1"/>
  <c r="T190" i="1"/>
  <c r="D190" i="1"/>
  <c r="C190" i="1"/>
  <c r="AA189" i="1"/>
  <c r="AB189" i="1" s="1"/>
  <c r="X189" i="1"/>
  <c r="T189" i="1"/>
  <c r="V189" i="1" s="1"/>
  <c r="D189" i="1"/>
  <c r="C189" i="1"/>
  <c r="AA188" i="1"/>
  <c r="AB188" i="1" s="1"/>
  <c r="X188" i="1"/>
  <c r="V188" i="1"/>
  <c r="T188" i="1"/>
  <c r="D188" i="1"/>
  <c r="C188" i="1"/>
  <c r="AB187" i="1"/>
  <c r="AA187" i="1"/>
  <c r="T187" i="1"/>
  <c r="X187" i="1" s="1"/>
  <c r="D187" i="1"/>
  <c r="C187" i="1"/>
  <c r="AA186" i="1"/>
  <c r="AB186" i="1" s="1"/>
  <c r="T186" i="1"/>
  <c r="D186" i="1"/>
  <c r="C186" i="1"/>
  <c r="AA185" i="1"/>
  <c r="AB185" i="1" s="1"/>
  <c r="X185" i="1"/>
  <c r="T185" i="1"/>
  <c r="D185" i="1"/>
  <c r="C185" i="1"/>
  <c r="AA184" i="1"/>
  <c r="AB184" i="1" s="1"/>
  <c r="X184" i="1"/>
  <c r="V184" i="1"/>
  <c r="T184" i="1"/>
  <c r="D184" i="1"/>
  <c r="C184" i="1"/>
  <c r="AB183" i="1"/>
  <c r="AA183" i="1"/>
  <c r="V183" i="1"/>
  <c r="T183" i="1"/>
  <c r="X183" i="1" s="1"/>
  <c r="D183" i="1"/>
  <c r="C183" i="1"/>
  <c r="AB182" i="1"/>
  <c r="AA182" i="1"/>
  <c r="T182" i="1"/>
  <c r="D182" i="1"/>
  <c r="C182" i="1"/>
  <c r="AA181" i="1"/>
  <c r="AB181" i="1" s="1"/>
  <c r="X181" i="1"/>
  <c r="T181" i="1"/>
  <c r="V181" i="1" s="1"/>
  <c r="D181" i="1"/>
  <c r="C181" i="1"/>
  <c r="AA180" i="1"/>
  <c r="AB180" i="1" s="1"/>
  <c r="X180" i="1"/>
  <c r="V180" i="1"/>
  <c r="T180" i="1"/>
  <c r="D180" i="1"/>
  <c r="C180" i="1"/>
  <c r="AB179" i="1"/>
  <c r="AA179" i="1"/>
  <c r="T179" i="1"/>
  <c r="X179" i="1" s="1"/>
  <c r="D179" i="1"/>
  <c r="C179" i="1"/>
  <c r="AA178" i="1"/>
  <c r="AB178" i="1" s="1"/>
  <c r="T178" i="1"/>
  <c r="D178" i="1"/>
  <c r="C178" i="1"/>
  <c r="AA177" i="1"/>
  <c r="AB177" i="1" s="1"/>
  <c r="X177" i="1"/>
  <c r="T177" i="1"/>
  <c r="D177" i="1"/>
  <c r="C177" i="1"/>
  <c r="AA176" i="1"/>
  <c r="AB176" i="1" s="1"/>
  <c r="X176" i="1"/>
  <c r="V176" i="1"/>
  <c r="T176" i="1"/>
  <c r="D176" i="1"/>
  <c r="C176" i="1"/>
  <c r="AB175" i="1"/>
  <c r="AA175" i="1"/>
  <c r="V175" i="1"/>
  <c r="T175" i="1"/>
  <c r="X175" i="1" s="1"/>
  <c r="D175" i="1"/>
  <c r="C175" i="1"/>
  <c r="AB174" i="1"/>
  <c r="AA174" i="1"/>
  <c r="T174" i="1"/>
  <c r="D174" i="1"/>
  <c r="C174" i="1"/>
  <c r="AA173" i="1"/>
  <c r="AB173" i="1" s="1"/>
  <c r="X173" i="1"/>
  <c r="T173" i="1"/>
  <c r="V173" i="1" s="1"/>
  <c r="D173" i="1"/>
  <c r="C173" i="1"/>
  <c r="AA172" i="1"/>
  <c r="AB172" i="1" s="1"/>
  <c r="X172" i="1"/>
  <c r="V172" i="1"/>
  <c r="T172" i="1"/>
  <c r="D172" i="1"/>
  <c r="C172" i="1"/>
  <c r="AB171" i="1"/>
  <c r="AA171" i="1"/>
  <c r="T171" i="1"/>
  <c r="X171" i="1" s="1"/>
  <c r="D171" i="1"/>
  <c r="C171" i="1"/>
  <c r="AA170" i="1"/>
  <c r="AB170" i="1" s="1"/>
  <c r="T170" i="1"/>
  <c r="D170" i="1"/>
  <c r="C170" i="1"/>
  <c r="AA169" i="1"/>
  <c r="AB169" i="1" s="1"/>
  <c r="X169" i="1"/>
  <c r="T169" i="1"/>
  <c r="D169" i="1"/>
  <c r="C169" i="1"/>
  <c r="AA168" i="1"/>
  <c r="AB168" i="1" s="1"/>
  <c r="X168" i="1"/>
  <c r="V168" i="1"/>
  <c r="T168" i="1"/>
  <c r="D168" i="1"/>
  <c r="C168" i="1"/>
  <c r="AB167" i="1"/>
  <c r="AA167" i="1"/>
  <c r="V167" i="1"/>
  <c r="T167" i="1"/>
  <c r="X167" i="1" s="1"/>
  <c r="D167" i="1"/>
  <c r="C167" i="1"/>
  <c r="AB166" i="1"/>
  <c r="AA166" i="1"/>
  <c r="T166" i="1"/>
  <c r="D166" i="1"/>
  <c r="C166" i="1"/>
  <c r="AA165" i="1"/>
  <c r="AB165" i="1" s="1"/>
  <c r="X165" i="1"/>
  <c r="T165" i="1"/>
  <c r="V165" i="1" s="1"/>
  <c r="D165" i="1"/>
  <c r="C165" i="1"/>
  <c r="AA164" i="1"/>
  <c r="AB164" i="1" s="1"/>
  <c r="X164" i="1"/>
  <c r="V164" i="1"/>
  <c r="T164" i="1"/>
  <c r="D164" i="1"/>
  <c r="C164" i="1"/>
  <c r="AB163" i="1"/>
  <c r="AA163" i="1"/>
  <c r="T163" i="1"/>
  <c r="X163" i="1" s="1"/>
  <c r="D163" i="1"/>
  <c r="C163" i="1"/>
  <c r="AA162" i="1"/>
  <c r="AB162" i="1" s="1"/>
  <c r="T162" i="1"/>
  <c r="D162" i="1"/>
  <c r="C162" i="1"/>
  <c r="AA161" i="1"/>
  <c r="AB161" i="1" s="1"/>
  <c r="X161" i="1"/>
  <c r="T161" i="1"/>
  <c r="D161" i="1"/>
  <c r="C161" i="1"/>
  <c r="AA160" i="1"/>
  <c r="AB160" i="1" s="1"/>
  <c r="X160" i="1"/>
  <c r="V160" i="1"/>
  <c r="T160" i="1"/>
  <c r="D160" i="1"/>
  <c r="C160" i="1"/>
  <c r="AB159" i="1"/>
  <c r="AA159" i="1"/>
  <c r="V159" i="1"/>
  <c r="T159" i="1"/>
  <c r="X159" i="1" s="1"/>
  <c r="D159" i="1"/>
  <c r="C159" i="1"/>
  <c r="AB158" i="1"/>
  <c r="AA158" i="1"/>
  <c r="T158" i="1"/>
  <c r="D158" i="1"/>
  <c r="C158" i="1"/>
  <c r="AA157" i="1"/>
  <c r="AB157" i="1" s="1"/>
  <c r="X157" i="1"/>
  <c r="T157" i="1"/>
  <c r="V157" i="1" s="1"/>
  <c r="D157" i="1"/>
  <c r="C157" i="1"/>
  <c r="AA156" i="1"/>
  <c r="AB156" i="1" s="1"/>
  <c r="X156" i="1"/>
  <c r="V156" i="1"/>
  <c r="T156" i="1"/>
  <c r="D156" i="1"/>
  <c r="C156" i="1"/>
  <c r="AB155" i="1"/>
  <c r="AA155" i="1"/>
  <c r="T155" i="1"/>
  <c r="X155" i="1" s="1"/>
  <c r="D155" i="1"/>
  <c r="C155" i="1"/>
  <c r="AA154" i="1"/>
  <c r="AB154" i="1" s="1"/>
  <c r="T154" i="1"/>
  <c r="D154" i="1"/>
  <c r="C154" i="1"/>
  <c r="AA153" i="1"/>
  <c r="AB153" i="1" s="1"/>
  <c r="X153" i="1"/>
  <c r="T153" i="1"/>
  <c r="D153" i="1"/>
  <c r="C153" i="1"/>
  <c r="AA152" i="1"/>
  <c r="AB152" i="1" s="1"/>
  <c r="X152" i="1"/>
  <c r="V152" i="1"/>
  <c r="T152" i="1"/>
  <c r="D152" i="1"/>
  <c r="C152" i="1"/>
  <c r="AB151" i="1"/>
  <c r="AA151" i="1"/>
  <c r="V151" i="1"/>
  <c r="T151" i="1"/>
  <c r="X151" i="1" s="1"/>
  <c r="D151" i="1"/>
  <c r="C151" i="1"/>
  <c r="AA150" i="1"/>
  <c r="X150" i="1"/>
  <c r="T150" i="1"/>
  <c r="V150" i="1" s="1"/>
  <c r="D150" i="1"/>
  <c r="C150" i="1"/>
  <c r="AA149" i="1"/>
  <c r="AB149" i="1" s="1"/>
  <c r="X149" i="1"/>
  <c r="V149" i="1"/>
  <c r="T149" i="1"/>
  <c r="D149" i="1"/>
  <c r="C149" i="1"/>
  <c r="AB148" i="1"/>
  <c r="AA148" i="1"/>
  <c r="T148" i="1"/>
  <c r="X148" i="1" s="1"/>
  <c r="D148" i="1"/>
  <c r="C148" i="1"/>
  <c r="AA147" i="1"/>
  <c r="AB147" i="1" s="1"/>
  <c r="T147" i="1"/>
  <c r="D147" i="1"/>
  <c r="C147" i="1"/>
  <c r="AA146" i="1"/>
  <c r="AB146" i="1" s="1"/>
  <c r="X146" i="1"/>
  <c r="T146" i="1"/>
  <c r="V146" i="1" s="1"/>
  <c r="D146" i="1"/>
  <c r="C146" i="1"/>
  <c r="AA145" i="1"/>
  <c r="AB145" i="1" s="1"/>
  <c r="X145" i="1"/>
  <c r="V145" i="1" s="1"/>
  <c r="T145" i="1"/>
  <c r="D145" i="1"/>
  <c r="C145" i="1"/>
  <c r="AB144" i="1"/>
  <c r="AA144" i="1"/>
  <c r="T144" i="1"/>
  <c r="D144" i="1"/>
  <c r="C144" i="1"/>
  <c r="AA143" i="1"/>
  <c r="AB143" i="1" s="1"/>
  <c r="T143" i="1"/>
  <c r="D143" i="1"/>
  <c r="C143" i="1"/>
  <c r="AA142" i="1"/>
  <c r="AB142" i="1" s="1"/>
  <c r="X142" i="1"/>
  <c r="T142" i="1"/>
  <c r="V142" i="1" s="1"/>
  <c r="D142" i="1"/>
  <c r="C142" i="1"/>
  <c r="AA141" i="1"/>
  <c r="AB141" i="1" s="1"/>
  <c r="X141" i="1"/>
  <c r="V141" i="1"/>
  <c r="T141" i="1"/>
  <c r="D141" i="1"/>
  <c r="C141" i="1"/>
  <c r="AB140" i="1"/>
  <c r="AA140" i="1"/>
  <c r="T140" i="1"/>
  <c r="X140" i="1" s="1"/>
  <c r="D140" i="1"/>
  <c r="C140" i="1"/>
  <c r="AA139" i="1"/>
  <c r="AB139" i="1" s="1"/>
  <c r="T139" i="1"/>
  <c r="D139" i="1"/>
  <c r="C139" i="1"/>
  <c r="AA138" i="1"/>
  <c r="AB138" i="1" s="1"/>
  <c r="X138" i="1"/>
  <c r="T138" i="1"/>
  <c r="V138" i="1" s="1"/>
  <c r="D138" i="1"/>
  <c r="C138" i="1"/>
  <c r="AA137" i="1"/>
  <c r="AB137" i="1" s="1"/>
  <c r="X137" i="1"/>
  <c r="V137" i="1" s="1"/>
  <c r="T137" i="1"/>
  <c r="D137" i="1"/>
  <c r="C137" i="1"/>
  <c r="AB136" i="1"/>
  <c r="AA136" i="1"/>
  <c r="X136" i="1"/>
  <c r="V136" i="1"/>
  <c r="T136" i="1"/>
  <c r="D136" i="1"/>
  <c r="C136" i="1"/>
  <c r="AB135" i="1"/>
  <c r="AA135" i="1"/>
  <c r="T135" i="1"/>
  <c r="X135" i="1" s="1"/>
  <c r="D135" i="1"/>
  <c r="C135" i="1"/>
  <c r="AA134" i="1"/>
  <c r="AB134" i="1" s="1"/>
  <c r="X134" i="1"/>
  <c r="T134" i="1"/>
  <c r="D134" i="1"/>
  <c r="C134" i="1"/>
  <c r="AA133" i="1"/>
  <c r="AB133" i="1" s="1"/>
  <c r="X133" i="1"/>
  <c r="V133" i="1"/>
  <c r="T133" i="1"/>
  <c r="D133" i="1"/>
  <c r="C133" i="1"/>
  <c r="AB132" i="1"/>
  <c r="AA132" i="1"/>
  <c r="X132" i="1"/>
  <c r="T132" i="1"/>
  <c r="D132" i="1"/>
  <c r="C132" i="1"/>
  <c r="AA131" i="1"/>
  <c r="AB131" i="1" s="1"/>
  <c r="T131" i="1"/>
  <c r="D131" i="1"/>
  <c r="C131" i="1"/>
  <c r="AA130" i="1"/>
  <c r="AB130" i="1" s="1"/>
  <c r="T130" i="1"/>
  <c r="D130" i="1"/>
  <c r="C130" i="1"/>
  <c r="AA129" i="1"/>
  <c r="AB129" i="1" s="1"/>
  <c r="X129" i="1"/>
  <c r="V129" i="1"/>
  <c r="T129" i="1"/>
  <c r="D129" i="1"/>
  <c r="C129" i="1"/>
  <c r="AB128" i="1"/>
  <c r="AA128" i="1"/>
  <c r="T128" i="1"/>
  <c r="X128" i="1" s="1"/>
  <c r="D128" i="1"/>
  <c r="C128" i="1"/>
  <c r="AA127" i="1"/>
  <c r="AB127" i="1" s="1"/>
  <c r="V127" i="1"/>
  <c r="T127" i="1"/>
  <c r="X127" i="1" s="1"/>
  <c r="D127" i="1"/>
  <c r="C127" i="1"/>
  <c r="AB126" i="1"/>
  <c r="AA126" i="1"/>
  <c r="T126" i="1"/>
  <c r="D126" i="1"/>
  <c r="C126" i="1"/>
  <c r="AA125" i="1"/>
  <c r="AB125" i="1" s="1"/>
  <c r="T125" i="1"/>
  <c r="D125" i="1"/>
  <c r="C125" i="1"/>
  <c r="AA124" i="1"/>
  <c r="AB124" i="1" s="1"/>
  <c r="T124" i="1"/>
  <c r="D124" i="1"/>
  <c r="C124" i="1"/>
  <c r="AA123" i="1"/>
  <c r="AB123" i="1" s="1"/>
  <c r="X123" i="1"/>
  <c r="V123" i="1"/>
  <c r="T123" i="1"/>
  <c r="D123" i="1"/>
  <c r="C123" i="1"/>
  <c r="AB122" i="1"/>
  <c r="AA122" i="1"/>
  <c r="T122" i="1"/>
  <c r="X122" i="1" s="1"/>
  <c r="D122" i="1"/>
  <c r="C122" i="1"/>
  <c r="AA121" i="1"/>
  <c r="AB121" i="1" s="1"/>
  <c r="V121" i="1"/>
  <c r="T121" i="1"/>
  <c r="X121" i="1" s="1"/>
  <c r="D121" i="1"/>
  <c r="C121" i="1"/>
  <c r="AB120" i="1"/>
  <c r="AA120" i="1"/>
  <c r="T120" i="1"/>
  <c r="X120" i="1" s="1"/>
  <c r="D120" i="1"/>
  <c r="C120" i="1"/>
  <c r="AA119" i="1"/>
  <c r="AB119" i="1" s="1"/>
  <c r="X119" i="1"/>
  <c r="V119" i="1"/>
  <c r="T119" i="1"/>
  <c r="D119" i="1"/>
  <c r="C119" i="1"/>
  <c r="AB118" i="1"/>
  <c r="AA118" i="1"/>
  <c r="T118" i="1"/>
  <c r="D118" i="1"/>
  <c r="C118" i="1"/>
  <c r="AA117" i="1"/>
  <c r="AB117" i="1" s="1"/>
  <c r="T117" i="1"/>
  <c r="X117" i="1" s="1"/>
  <c r="D117" i="1"/>
  <c r="C117" i="1"/>
  <c r="AA116" i="1"/>
  <c r="AB116" i="1" s="1"/>
  <c r="T116" i="1"/>
  <c r="D116" i="1"/>
  <c r="C116" i="1"/>
  <c r="AA115" i="1"/>
  <c r="AB115" i="1" s="1"/>
  <c r="T115" i="1"/>
  <c r="X115" i="1" s="1"/>
  <c r="D115" i="1"/>
  <c r="C115" i="1"/>
  <c r="AA114" i="1"/>
  <c r="X114" i="1"/>
  <c r="V114" i="1"/>
  <c r="T114" i="1"/>
  <c r="D114" i="1"/>
  <c r="C114" i="1"/>
  <c r="AB113" i="1"/>
  <c r="AA113" i="1"/>
  <c r="T113" i="1"/>
  <c r="D113" i="1"/>
  <c r="C113" i="1"/>
  <c r="AA112" i="1"/>
  <c r="AB112" i="1" s="1"/>
  <c r="T112" i="1"/>
  <c r="X112" i="1" s="1"/>
  <c r="D112" i="1"/>
  <c r="C112" i="1"/>
  <c r="AA111" i="1"/>
  <c r="AB111" i="1" s="1"/>
  <c r="X111" i="1"/>
  <c r="T111" i="1"/>
  <c r="V111" i="1" s="1"/>
  <c r="D111" i="1"/>
  <c r="C111" i="1"/>
  <c r="AA110" i="1"/>
  <c r="AB110" i="1" s="1"/>
  <c r="X110" i="1"/>
  <c r="V110" i="1"/>
  <c r="T110" i="1"/>
  <c r="D110" i="1"/>
  <c r="C110" i="1"/>
  <c r="AB109" i="1"/>
  <c r="AA109" i="1"/>
  <c r="T109" i="1"/>
  <c r="D109" i="1"/>
  <c r="C109" i="1"/>
  <c r="AA108" i="1"/>
  <c r="AB108" i="1" s="1"/>
  <c r="T108" i="1"/>
  <c r="X108" i="1" s="1"/>
  <c r="D108" i="1"/>
  <c r="C108" i="1"/>
  <c r="AA107" i="1"/>
  <c r="AB107" i="1" s="1"/>
  <c r="X107" i="1"/>
  <c r="T107" i="1"/>
  <c r="V107" i="1" s="1"/>
  <c r="D107" i="1"/>
  <c r="C107" i="1"/>
  <c r="AA106" i="1"/>
  <c r="AB106" i="1" s="1"/>
  <c r="X106" i="1"/>
  <c r="V106" i="1"/>
  <c r="T106" i="1"/>
  <c r="D106" i="1"/>
  <c r="C106" i="1"/>
  <c r="AB105" i="1"/>
  <c r="AA105" i="1"/>
  <c r="T105" i="1"/>
  <c r="D105" i="1"/>
  <c r="C105" i="1"/>
  <c r="AA104" i="1"/>
  <c r="AB104" i="1" s="1"/>
  <c r="T104" i="1"/>
  <c r="X104" i="1" s="1"/>
  <c r="D104" i="1"/>
  <c r="C104" i="1"/>
  <c r="AA103" i="1"/>
  <c r="AB103" i="1" s="1"/>
  <c r="X103" i="1"/>
  <c r="T103" i="1"/>
  <c r="V103" i="1" s="1"/>
  <c r="D103" i="1"/>
  <c r="C103" i="1"/>
  <c r="AA102" i="1"/>
  <c r="AB102" i="1" s="1"/>
  <c r="X102" i="1"/>
  <c r="V102" i="1"/>
  <c r="T102" i="1"/>
  <c r="D102" i="1"/>
  <c r="C102" i="1"/>
  <c r="AB101" i="1"/>
  <c r="AA101" i="1"/>
  <c r="T101" i="1"/>
  <c r="D101" i="1"/>
  <c r="C101" i="1"/>
  <c r="AA100" i="1"/>
  <c r="AB100" i="1" s="1"/>
  <c r="T100" i="1"/>
  <c r="X100" i="1" s="1"/>
  <c r="D100" i="1"/>
  <c r="C100" i="1"/>
  <c r="AA99" i="1"/>
  <c r="AB99" i="1" s="1"/>
  <c r="X99" i="1"/>
  <c r="T99" i="1"/>
  <c r="V99" i="1" s="1"/>
  <c r="D99" i="1"/>
  <c r="C99" i="1"/>
  <c r="AA98" i="1"/>
  <c r="AB98" i="1" s="1"/>
  <c r="X98" i="1"/>
  <c r="V98" i="1"/>
  <c r="T98" i="1"/>
  <c r="D98" i="1"/>
  <c r="C98" i="1"/>
  <c r="AB97" i="1"/>
  <c r="AA97" i="1"/>
  <c r="T97" i="1"/>
  <c r="D97" i="1"/>
  <c r="C97" i="1"/>
  <c r="AA96" i="1"/>
  <c r="AB96" i="1" s="1"/>
  <c r="T96" i="1"/>
  <c r="X96" i="1" s="1"/>
  <c r="D96" i="1"/>
  <c r="C96" i="1"/>
  <c r="AA95" i="1"/>
  <c r="AB95" i="1" s="1"/>
  <c r="T95" i="1"/>
  <c r="D95" i="1"/>
  <c r="C95" i="1"/>
  <c r="AA94" i="1"/>
  <c r="AB94" i="1" s="1"/>
  <c r="T94" i="1"/>
  <c r="X94" i="1" s="1"/>
  <c r="D94" i="1"/>
  <c r="C94" i="1"/>
  <c r="AA93" i="1"/>
  <c r="AB93" i="1" s="1"/>
  <c r="X93" i="1"/>
  <c r="T93" i="1"/>
  <c r="V93" i="1" s="1"/>
  <c r="D93" i="1"/>
  <c r="C93" i="1"/>
  <c r="AA92" i="1"/>
  <c r="AB92" i="1" s="1"/>
  <c r="X92" i="1"/>
  <c r="V92" i="1"/>
  <c r="T92" i="1"/>
  <c r="D92" i="1"/>
  <c r="C92" i="1"/>
  <c r="AB91" i="1"/>
  <c r="AA91" i="1"/>
  <c r="T91" i="1"/>
  <c r="D91" i="1"/>
  <c r="C91" i="1"/>
  <c r="AA90" i="1"/>
  <c r="AB90" i="1" s="1"/>
  <c r="T90" i="1"/>
  <c r="X90" i="1" s="1"/>
  <c r="D90" i="1"/>
  <c r="C90" i="1"/>
  <c r="AA89" i="1"/>
  <c r="AB89" i="1" s="1"/>
  <c r="X89" i="1"/>
  <c r="T89" i="1"/>
  <c r="V89" i="1" s="1"/>
  <c r="D89" i="1"/>
  <c r="C89" i="1"/>
  <c r="AA88" i="1"/>
  <c r="AB88" i="1" s="1"/>
  <c r="X88" i="1"/>
  <c r="V88" i="1"/>
  <c r="T88" i="1"/>
  <c r="D88" i="1"/>
  <c r="C88" i="1"/>
  <c r="AB87" i="1"/>
  <c r="AA87" i="1"/>
  <c r="T87" i="1"/>
  <c r="D87" i="1"/>
  <c r="C87" i="1"/>
  <c r="AA86" i="1"/>
  <c r="AB86" i="1" s="1"/>
  <c r="T86" i="1"/>
  <c r="X86" i="1" s="1"/>
  <c r="D86" i="1"/>
  <c r="C86" i="1"/>
  <c r="AA85" i="1"/>
  <c r="AB85" i="1" s="1"/>
  <c r="X85" i="1"/>
  <c r="T85" i="1"/>
  <c r="V85" i="1" s="1"/>
  <c r="D85" i="1"/>
  <c r="C85" i="1"/>
  <c r="AA84" i="1"/>
  <c r="AB84" i="1" s="1"/>
  <c r="X84" i="1"/>
  <c r="V84" i="1"/>
  <c r="T84" i="1"/>
  <c r="D84" i="1"/>
  <c r="C84" i="1"/>
  <c r="AB83" i="1"/>
  <c r="AA83" i="1"/>
  <c r="T83" i="1"/>
  <c r="D83" i="1"/>
  <c r="C83" i="1"/>
  <c r="AA82" i="1"/>
  <c r="AB82" i="1" s="1"/>
  <c r="T82" i="1"/>
  <c r="X82" i="1" s="1"/>
  <c r="D82" i="1"/>
  <c r="C82" i="1"/>
  <c r="AA81" i="1"/>
  <c r="AB81" i="1" s="1"/>
  <c r="X81" i="1"/>
  <c r="T81" i="1"/>
  <c r="V81" i="1" s="1"/>
  <c r="D81" i="1"/>
  <c r="C81" i="1"/>
  <c r="AA80" i="1"/>
  <c r="AB80" i="1" s="1"/>
  <c r="X80" i="1"/>
  <c r="V80" i="1"/>
  <c r="T80" i="1"/>
  <c r="D80" i="1"/>
  <c r="C80" i="1"/>
  <c r="AB79" i="1"/>
  <c r="AA79" i="1"/>
  <c r="T79" i="1"/>
  <c r="D79" i="1"/>
  <c r="C79" i="1"/>
  <c r="AA78" i="1"/>
  <c r="AB78" i="1" s="1"/>
  <c r="T78" i="1"/>
  <c r="X78" i="1" s="1"/>
  <c r="D78" i="1"/>
  <c r="C78" i="1"/>
  <c r="AA77" i="1"/>
  <c r="AB77" i="1" s="1"/>
  <c r="X77" i="1"/>
  <c r="T77" i="1"/>
  <c r="V77" i="1" s="1"/>
  <c r="D77" i="1"/>
  <c r="C77" i="1"/>
  <c r="AA76" i="1"/>
  <c r="AB76" i="1" s="1"/>
  <c r="X76" i="1"/>
  <c r="V76" i="1"/>
  <c r="T76" i="1"/>
  <c r="D76" i="1"/>
  <c r="C76" i="1"/>
  <c r="AB75" i="1"/>
  <c r="AA75" i="1"/>
  <c r="T75" i="1"/>
  <c r="D75" i="1"/>
  <c r="C75" i="1"/>
  <c r="AA74" i="1"/>
  <c r="AB74" i="1" s="1"/>
  <c r="T74" i="1"/>
  <c r="X74" i="1" s="1"/>
  <c r="D74" i="1"/>
  <c r="C74" i="1"/>
  <c r="AA73" i="1"/>
  <c r="AB73" i="1" s="1"/>
  <c r="X73" i="1"/>
  <c r="T73" i="1"/>
  <c r="V73" i="1" s="1"/>
  <c r="D73" i="1"/>
  <c r="C73" i="1"/>
  <c r="AA72" i="1"/>
  <c r="AB72" i="1" s="1"/>
  <c r="X72" i="1"/>
  <c r="V72" i="1"/>
  <c r="T72" i="1"/>
  <c r="D72" i="1"/>
  <c r="C72" i="1"/>
  <c r="AB71" i="1"/>
  <c r="AA71" i="1"/>
  <c r="T71" i="1"/>
  <c r="D71" i="1"/>
  <c r="C71" i="1"/>
  <c r="AA70" i="1"/>
  <c r="AB70" i="1" s="1"/>
  <c r="T70" i="1"/>
  <c r="X70" i="1" s="1"/>
  <c r="D70" i="1"/>
  <c r="C70" i="1"/>
  <c r="AA69" i="1"/>
  <c r="AB69" i="1" s="1"/>
  <c r="X69" i="1"/>
  <c r="T69" i="1"/>
  <c r="V69" i="1" s="1"/>
  <c r="D69" i="1"/>
  <c r="C69" i="1"/>
  <c r="AA68" i="1"/>
  <c r="AB68" i="1" s="1"/>
  <c r="X68" i="1"/>
  <c r="V68" i="1"/>
  <c r="T68" i="1"/>
  <c r="D68" i="1"/>
  <c r="C68" i="1"/>
  <c r="AB67" i="1"/>
  <c r="AA67" i="1"/>
  <c r="T67" i="1"/>
  <c r="D67" i="1"/>
  <c r="C67" i="1"/>
  <c r="AA66" i="1"/>
  <c r="AB66" i="1" s="1"/>
  <c r="T66" i="1"/>
  <c r="X66" i="1" s="1"/>
  <c r="D66" i="1"/>
  <c r="C66" i="1"/>
  <c r="AA65" i="1"/>
  <c r="AB65" i="1" s="1"/>
  <c r="X65" i="1"/>
  <c r="T65" i="1"/>
  <c r="V65" i="1" s="1"/>
  <c r="D65" i="1"/>
  <c r="C65" i="1"/>
  <c r="AA64" i="1"/>
  <c r="AB64" i="1" s="1"/>
  <c r="X64" i="1"/>
  <c r="V64" i="1"/>
  <c r="T64" i="1"/>
  <c r="D64" i="1"/>
  <c r="C64" i="1"/>
  <c r="AB63" i="1"/>
  <c r="AA63" i="1"/>
  <c r="T63" i="1"/>
  <c r="D63" i="1"/>
  <c r="C63" i="1"/>
  <c r="AA62" i="1"/>
  <c r="AB62" i="1" s="1"/>
  <c r="T62" i="1"/>
  <c r="X62" i="1" s="1"/>
  <c r="D62" i="1"/>
  <c r="C62" i="1"/>
  <c r="AA61" i="1"/>
  <c r="AB61" i="1" s="1"/>
  <c r="X61" i="1"/>
  <c r="T61" i="1"/>
  <c r="V61" i="1" s="1"/>
  <c r="D61" i="1"/>
  <c r="C61" i="1"/>
  <c r="AA60" i="1"/>
  <c r="AB60" i="1" s="1"/>
  <c r="X60" i="1"/>
  <c r="V60" i="1"/>
  <c r="T60" i="1"/>
  <c r="D60" i="1"/>
  <c r="C60" i="1"/>
  <c r="AB59" i="1"/>
  <c r="AA59" i="1"/>
  <c r="T59" i="1"/>
  <c r="D59" i="1"/>
  <c r="C59" i="1"/>
  <c r="AA58" i="1"/>
  <c r="AB58" i="1" s="1"/>
  <c r="T58" i="1"/>
  <c r="X58" i="1" s="1"/>
  <c r="D58" i="1"/>
  <c r="C58" i="1"/>
  <c r="AA57" i="1"/>
  <c r="AB57" i="1" s="1"/>
  <c r="X57" i="1"/>
  <c r="T57" i="1"/>
  <c r="V57" i="1" s="1"/>
  <c r="D57" i="1"/>
  <c r="C57" i="1"/>
  <c r="AA56" i="1"/>
  <c r="AB56" i="1" s="1"/>
  <c r="X56" i="1"/>
  <c r="V56" i="1"/>
  <c r="T56" i="1"/>
  <c r="D56" i="1"/>
  <c r="C56" i="1"/>
  <c r="AB55" i="1"/>
  <c r="AA55" i="1"/>
  <c r="T55" i="1"/>
  <c r="D55" i="1"/>
  <c r="C55" i="1"/>
  <c r="AA54" i="1"/>
  <c r="AB54" i="1" s="1"/>
  <c r="T54" i="1"/>
  <c r="X54" i="1" s="1"/>
  <c r="D54" i="1"/>
  <c r="C54" i="1"/>
  <c r="AA53" i="1"/>
  <c r="AB53" i="1" s="1"/>
  <c r="X53" i="1"/>
  <c r="T53" i="1"/>
  <c r="V53" i="1" s="1"/>
  <c r="D53" i="1"/>
  <c r="C53" i="1"/>
  <c r="AA52" i="1"/>
  <c r="AB52" i="1" s="1"/>
  <c r="X52" i="1"/>
  <c r="V52" i="1"/>
  <c r="T52" i="1"/>
  <c r="D52" i="1"/>
  <c r="C52" i="1"/>
  <c r="AB51" i="1"/>
  <c r="AA51" i="1"/>
  <c r="T51" i="1"/>
  <c r="D51" i="1"/>
  <c r="C51" i="1"/>
  <c r="AA50" i="1"/>
  <c r="AB50" i="1" s="1"/>
  <c r="T50" i="1"/>
  <c r="X50" i="1" s="1"/>
  <c r="D50" i="1"/>
  <c r="C50" i="1"/>
  <c r="AA49" i="1"/>
  <c r="AB49" i="1" s="1"/>
  <c r="X49" i="1"/>
  <c r="T49" i="1"/>
  <c r="V49" i="1" s="1"/>
  <c r="D49" i="1"/>
  <c r="C49" i="1"/>
  <c r="AA48" i="1"/>
  <c r="AB48" i="1" s="1"/>
  <c r="X48" i="1"/>
  <c r="V48" i="1"/>
  <c r="T48" i="1"/>
  <c r="D48" i="1"/>
  <c r="C48" i="1"/>
  <c r="AB47" i="1"/>
  <c r="AA47" i="1"/>
  <c r="T47" i="1"/>
  <c r="D47" i="1"/>
  <c r="C47" i="1"/>
  <c r="AA46" i="1"/>
  <c r="AB46" i="1" s="1"/>
  <c r="T46" i="1"/>
  <c r="X46" i="1" s="1"/>
  <c r="D46" i="1"/>
  <c r="C46" i="1"/>
  <c r="AA45" i="1"/>
  <c r="AB45" i="1" s="1"/>
  <c r="X45" i="1"/>
  <c r="T45" i="1"/>
  <c r="V45" i="1" s="1"/>
  <c r="D45" i="1"/>
  <c r="C45" i="1"/>
  <c r="AA44" i="1"/>
  <c r="AB44" i="1" s="1"/>
  <c r="X44" i="1"/>
  <c r="V44" i="1"/>
  <c r="T44" i="1"/>
  <c r="D44" i="1"/>
  <c r="C44" i="1"/>
  <c r="AB43" i="1"/>
  <c r="AA43" i="1"/>
  <c r="T43" i="1"/>
  <c r="D43" i="1"/>
  <c r="C43" i="1"/>
  <c r="AA42" i="1"/>
  <c r="AB42" i="1" s="1"/>
  <c r="T42" i="1"/>
  <c r="X42" i="1" s="1"/>
  <c r="D42" i="1"/>
  <c r="C42" i="1"/>
  <c r="AA41" i="1"/>
  <c r="AB41" i="1" s="1"/>
  <c r="X41" i="1"/>
  <c r="T41" i="1"/>
  <c r="V41" i="1" s="1"/>
  <c r="D41" i="1"/>
  <c r="C41" i="1"/>
  <c r="AA40" i="1"/>
  <c r="AB40" i="1" s="1"/>
  <c r="X40" i="1"/>
  <c r="V40" i="1"/>
  <c r="T40" i="1"/>
  <c r="D40" i="1"/>
  <c r="C40" i="1"/>
  <c r="AB39" i="1"/>
  <c r="AA39" i="1"/>
  <c r="T39" i="1"/>
  <c r="D39" i="1"/>
  <c r="C39" i="1"/>
  <c r="AA38" i="1"/>
  <c r="AB38" i="1" s="1"/>
  <c r="T38" i="1"/>
  <c r="X38" i="1" s="1"/>
  <c r="D38" i="1"/>
  <c r="C38" i="1"/>
  <c r="AA37" i="1"/>
  <c r="AB37" i="1" s="1"/>
  <c r="X37" i="1"/>
  <c r="T37" i="1"/>
  <c r="V37" i="1" s="1"/>
  <c r="D37" i="1"/>
  <c r="C37" i="1"/>
  <c r="AA36" i="1"/>
  <c r="AB36" i="1" s="1"/>
  <c r="X36" i="1"/>
  <c r="V36" i="1"/>
  <c r="T36" i="1"/>
  <c r="D36" i="1"/>
  <c r="C36" i="1"/>
  <c r="AB35" i="1"/>
  <c r="AA35" i="1"/>
  <c r="T35" i="1"/>
  <c r="D35" i="1"/>
  <c r="C35" i="1"/>
  <c r="AA34" i="1"/>
  <c r="AB34" i="1" s="1"/>
  <c r="T34" i="1"/>
  <c r="X34" i="1" s="1"/>
  <c r="D34" i="1"/>
  <c r="C34" i="1"/>
  <c r="AA33" i="1"/>
  <c r="AB33" i="1" s="1"/>
  <c r="X33" i="1"/>
  <c r="T33" i="1"/>
  <c r="V33" i="1" s="1"/>
  <c r="D33" i="1"/>
  <c r="C33" i="1"/>
  <c r="AA32" i="1"/>
  <c r="AB32" i="1" s="1"/>
  <c r="X32" i="1"/>
  <c r="V32" i="1"/>
  <c r="T32" i="1"/>
  <c r="D32" i="1"/>
  <c r="C32" i="1"/>
  <c r="AB31" i="1"/>
  <c r="AA31" i="1"/>
  <c r="T31" i="1"/>
  <c r="D31" i="1"/>
  <c r="C31" i="1"/>
  <c r="AA30" i="1"/>
  <c r="AB30" i="1" s="1"/>
  <c r="T30" i="1"/>
  <c r="D30" i="1"/>
  <c r="C30" i="1"/>
  <c r="AA29" i="1"/>
  <c r="AB29" i="1" s="1"/>
  <c r="X29" i="1"/>
  <c r="T29" i="1"/>
  <c r="V29" i="1" s="1"/>
  <c r="D29" i="1"/>
  <c r="C29" i="1"/>
  <c r="AA28" i="1"/>
  <c r="AB28" i="1" s="1"/>
  <c r="X28" i="1"/>
  <c r="V28" i="1"/>
  <c r="T28" i="1"/>
  <c r="D28" i="1"/>
  <c r="C28" i="1"/>
  <c r="AB27" i="1"/>
  <c r="AA27" i="1"/>
  <c r="T27" i="1"/>
  <c r="X27" i="1" s="1"/>
  <c r="D27" i="1"/>
  <c r="C27" i="1"/>
  <c r="AA26" i="1"/>
  <c r="AB26" i="1" s="1"/>
  <c r="T26" i="1"/>
  <c r="D26" i="1"/>
  <c r="C26" i="1"/>
  <c r="AA25" i="1"/>
  <c r="AB25" i="1" s="1"/>
  <c r="X25" i="1"/>
  <c r="T25" i="1"/>
  <c r="D25" i="1"/>
  <c r="C25" i="1"/>
  <c r="AA24" i="1"/>
  <c r="AB24" i="1" s="1"/>
  <c r="X24" i="1"/>
  <c r="V24" i="1" s="1"/>
  <c r="T24" i="1"/>
  <c r="D24" i="1"/>
  <c r="C24" i="1"/>
  <c r="AB23" i="1"/>
  <c r="AA23" i="1"/>
  <c r="T23" i="1"/>
  <c r="D23" i="1"/>
  <c r="C23" i="1"/>
  <c r="AA22" i="1"/>
  <c r="AB22" i="1" s="1"/>
  <c r="X22" i="1"/>
  <c r="V22" i="1" s="1"/>
  <c r="T22" i="1"/>
  <c r="D22" i="1"/>
  <c r="C22" i="1"/>
  <c r="AB21" i="1"/>
  <c r="AA21" i="1"/>
  <c r="T21" i="1"/>
  <c r="D21" i="1"/>
  <c r="C21" i="1"/>
  <c r="AA20" i="1"/>
  <c r="AB20" i="1" s="1"/>
  <c r="X20" i="1"/>
  <c r="V20" i="1"/>
  <c r="T20" i="1"/>
  <c r="D20" i="1"/>
  <c r="C20" i="1"/>
  <c r="AB19" i="1"/>
  <c r="AA19" i="1"/>
  <c r="T19" i="1"/>
  <c r="X19" i="1" s="1"/>
  <c r="D19" i="1"/>
  <c r="C19" i="1"/>
  <c r="AA18" i="1"/>
  <c r="AB18" i="1" s="1"/>
  <c r="T18" i="1"/>
  <c r="D18" i="1"/>
  <c r="C18" i="1"/>
  <c r="AA17" i="1"/>
  <c r="AB17" i="1" s="1"/>
  <c r="X17" i="1"/>
  <c r="T17" i="1"/>
  <c r="D17" i="1"/>
  <c r="C17" i="1"/>
  <c r="AA16" i="1"/>
  <c r="AB16" i="1" s="1"/>
  <c r="X16" i="1"/>
  <c r="V16" i="1"/>
  <c r="T16" i="1"/>
  <c r="D16" i="1"/>
  <c r="C16" i="1"/>
  <c r="AB15" i="1"/>
  <c r="AA15" i="1"/>
  <c r="V15" i="1"/>
  <c r="T15" i="1"/>
  <c r="X15" i="1" s="1"/>
  <c r="D15" i="1"/>
  <c r="C15" i="1"/>
  <c r="AB14" i="1"/>
  <c r="AA14" i="1"/>
  <c r="T14" i="1"/>
  <c r="D14" i="1"/>
  <c r="C14" i="1"/>
  <c r="AA13" i="1"/>
  <c r="AB13" i="1" s="1"/>
  <c r="X13" i="1"/>
  <c r="T13" i="1"/>
  <c r="V13" i="1" s="1"/>
  <c r="D13" i="1"/>
  <c r="C13" i="1"/>
  <c r="AA12" i="1"/>
  <c r="AB12" i="1" s="1"/>
  <c r="X12" i="1"/>
  <c r="V12" i="1"/>
  <c r="T12" i="1"/>
  <c r="D12" i="1"/>
  <c r="C12" i="1"/>
  <c r="AB11" i="1"/>
  <c r="AA11" i="1"/>
  <c r="T11" i="1"/>
  <c r="X11" i="1" s="1"/>
  <c r="D11" i="1"/>
  <c r="C11" i="1"/>
  <c r="AA10" i="1"/>
  <c r="AB10" i="1" s="1"/>
  <c r="T10" i="1"/>
  <c r="D10" i="1"/>
  <c r="C10" i="1"/>
  <c r="AA9" i="1"/>
  <c r="AB9" i="1" s="1"/>
  <c r="X9" i="1"/>
  <c r="T9" i="1"/>
  <c r="D9" i="1"/>
  <c r="C9" i="1"/>
  <c r="AA8" i="1"/>
  <c r="AB8" i="1" s="1"/>
  <c r="X8" i="1"/>
  <c r="V8" i="1" s="1"/>
  <c r="T8" i="1"/>
  <c r="D8" i="1"/>
  <c r="C8" i="1"/>
  <c r="AB7" i="1"/>
  <c r="AA7" i="1"/>
  <c r="V7" i="1"/>
  <c r="T7" i="1"/>
  <c r="X7" i="1" s="1"/>
  <c r="D7" i="1"/>
  <c r="C7" i="1"/>
  <c r="AB6" i="1"/>
  <c r="AA6" i="1"/>
  <c r="T6" i="1"/>
  <c r="D6" i="1"/>
  <c r="C6" i="1"/>
  <c r="AA5" i="1"/>
  <c r="AB5" i="1" s="1"/>
  <c r="X5" i="1"/>
  <c r="T5" i="1"/>
  <c r="V5" i="1" s="1"/>
  <c r="D5" i="1"/>
  <c r="C5" i="1"/>
  <c r="AA4" i="1"/>
  <c r="AB4" i="1" s="1"/>
  <c r="X4" i="1"/>
  <c r="V4" i="1"/>
  <c r="T4" i="1"/>
  <c r="D4" i="1"/>
  <c r="C4" i="1"/>
  <c r="AB3" i="1"/>
  <c r="AA3" i="1"/>
  <c r="T3" i="1"/>
  <c r="X3" i="1" s="1"/>
  <c r="D3" i="1"/>
  <c r="C3" i="1"/>
  <c r="AA2" i="1"/>
  <c r="AB2" i="1" s="1"/>
  <c r="T2" i="1"/>
  <c r="D2" i="1"/>
  <c r="C2" i="1"/>
  <c r="X10" i="1" l="1"/>
  <c r="V10" i="1"/>
  <c r="X217" i="1"/>
  <c r="V217" i="1"/>
  <c r="X280" i="1"/>
  <c r="V280" i="1"/>
  <c r="X615" i="1"/>
  <c r="V615" i="1"/>
  <c r="X744" i="1"/>
  <c r="V744" i="1"/>
  <c r="X776" i="1"/>
  <c r="V776" i="1"/>
  <c r="X118" i="1"/>
  <c r="V118" i="1" s="1"/>
  <c r="X125" i="1"/>
  <c r="V125" i="1"/>
  <c r="X144" i="1"/>
  <c r="V144" i="1"/>
  <c r="X186" i="1"/>
  <c r="V186" i="1"/>
  <c r="X231" i="1"/>
  <c r="V231" i="1"/>
  <c r="X508" i="1"/>
  <c r="V508" i="1"/>
  <c r="X518" i="1"/>
  <c r="V518" i="1"/>
  <c r="X2" i="1"/>
  <c r="V2" i="1"/>
  <c r="X26" i="1"/>
  <c r="V26" i="1"/>
  <c r="X555" i="1"/>
  <c r="V555" i="1"/>
  <c r="X566" i="1"/>
  <c r="V566" i="1"/>
  <c r="X810" i="1"/>
  <c r="V810" i="1" s="1"/>
  <c r="X170" i="1"/>
  <c r="V170" i="1"/>
  <c r="X202" i="1"/>
  <c r="V202" i="1"/>
  <c r="X209" i="1"/>
  <c r="V209" i="1"/>
  <c r="X271" i="1"/>
  <c r="V271" i="1"/>
  <c r="X423" i="1"/>
  <c r="V423" i="1"/>
  <c r="V3" i="1"/>
  <c r="X6" i="1"/>
  <c r="V6" i="1" s="1"/>
  <c r="V11" i="1"/>
  <c r="X14" i="1"/>
  <c r="V14" i="1"/>
  <c r="V19" i="1"/>
  <c r="V27" i="1"/>
  <c r="X30" i="1"/>
  <c r="V30" i="1"/>
  <c r="X31" i="1"/>
  <c r="V31" i="1"/>
  <c r="X35" i="1"/>
  <c r="V35" i="1"/>
  <c r="X39" i="1"/>
  <c r="V39" i="1" s="1"/>
  <c r="X43" i="1"/>
  <c r="V43" i="1"/>
  <c r="X47" i="1"/>
  <c r="V47" i="1" s="1"/>
  <c r="X51" i="1"/>
  <c r="V51" i="1"/>
  <c r="X55" i="1"/>
  <c r="V55" i="1"/>
  <c r="X59" i="1"/>
  <c r="V59" i="1" s="1"/>
  <c r="X63" i="1"/>
  <c r="V63" i="1"/>
  <c r="X67" i="1"/>
  <c r="V67" i="1" s="1"/>
  <c r="X71" i="1"/>
  <c r="V71" i="1"/>
  <c r="X75" i="1"/>
  <c r="V75" i="1"/>
  <c r="X79" i="1"/>
  <c r="V79" i="1" s="1"/>
  <c r="X83" i="1"/>
  <c r="V83" i="1"/>
  <c r="X87" i="1"/>
  <c r="V87" i="1" s="1"/>
  <c r="X91" i="1"/>
  <c r="V91" i="1"/>
  <c r="X97" i="1"/>
  <c r="V97" i="1" s="1"/>
  <c r="X101" i="1"/>
  <c r="V101" i="1"/>
  <c r="X105" i="1"/>
  <c r="V105" i="1"/>
  <c r="X109" i="1"/>
  <c r="V109" i="1" s="1"/>
  <c r="X113" i="1"/>
  <c r="V113" i="1"/>
  <c r="X131" i="1"/>
  <c r="V131" i="1"/>
  <c r="V132" i="1"/>
  <c r="X263" i="1"/>
  <c r="V263" i="1" s="1"/>
  <c r="X319" i="1"/>
  <c r="V319" i="1" s="1"/>
  <c r="X455" i="1"/>
  <c r="V455" i="1" s="1"/>
  <c r="X18" i="1"/>
  <c r="V18" i="1" s="1"/>
  <c r="X247" i="1"/>
  <c r="V247" i="1" s="1"/>
  <c r="V116" i="1"/>
  <c r="X116" i="1"/>
  <c r="X154" i="1"/>
  <c r="V154" i="1" s="1"/>
  <c r="X339" i="1"/>
  <c r="V339" i="1" s="1"/>
  <c r="X340" i="1"/>
  <c r="V340" i="1" s="1"/>
  <c r="X478" i="1"/>
  <c r="V478" i="1" s="1"/>
  <c r="V9" i="1"/>
  <c r="V17" i="1"/>
  <c r="V25" i="1"/>
  <c r="X162" i="1"/>
  <c r="V162" i="1" s="1"/>
  <c r="X178" i="1"/>
  <c r="V178" i="1"/>
  <c r="X194" i="1"/>
  <c r="V194" i="1" s="1"/>
  <c r="X225" i="1"/>
  <c r="V225" i="1"/>
  <c r="X239" i="1"/>
  <c r="V239" i="1" s="1"/>
  <c r="X255" i="1"/>
  <c r="V255" i="1"/>
  <c r="X288" i="1"/>
  <c r="V288" i="1" s="1"/>
  <c r="X312" i="1"/>
  <c r="V312" i="1"/>
  <c r="X361" i="1"/>
  <c r="V361" i="1" s="1"/>
  <c r="X362" i="1"/>
  <c r="V362" i="1"/>
  <c r="X381" i="1"/>
  <c r="V381" i="1"/>
  <c r="X139" i="1"/>
  <c r="V139" i="1"/>
  <c r="X147" i="1"/>
  <c r="V147" i="1"/>
  <c r="X204" i="1"/>
  <c r="V204" i="1"/>
  <c r="X228" i="1"/>
  <c r="V228" i="1"/>
  <c r="X250" i="1"/>
  <c r="V250" i="1"/>
  <c r="X258" i="1"/>
  <c r="V258" i="1"/>
  <c r="X266" i="1"/>
  <c r="V266" i="1"/>
  <c r="X274" i="1"/>
  <c r="V274" i="1"/>
  <c r="X299" i="1"/>
  <c r="V299" i="1" s="1"/>
  <c r="X303" i="1"/>
  <c r="V303" i="1"/>
  <c r="X324" i="1"/>
  <c r="V324" i="1"/>
  <c r="X415" i="1"/>
  <c r="V415" i="1"/>
  <c r="X447" i="1"/>
  <c r="V447" i="1"/>
  <c r="X470" i="1"/>
  <c r="V470" i="1"/>
  <c r="X546" i="1"/>
  <c r="V546" i="1" s="1"/>
  <c r="V34" i="1"/>
  <c r="V38" i="1"/>
  <c r="V42" i="1"/>
  <c r="V46" i="1"/>
  <c r="V50" i="1"/>
  <c r="V54" i="1"/>
  <c r="V58" i="1"/>
  <c r="V62" i="1"/>
  <c r="V66" i="1"/>
  <c r="V70" i="1"/>
  <c r="V74" i="1"/>
  <c r="V78" i="1"/>
  <c r="V82" i="1"/>
  <c r="V86" i="1"/>
  <c r="V90" i="1"/>
  <c r="V94" i="1"/>
  <c r="V96" i="1"/>
  <c r="V100" i="1"/>
  <c r="V104" i="1"/>
  <c r="V108" i="1"/>
  <c r="V112" i="1"/>
  <c r="V115" i="1"/>
  <c r="V122" i="1"/>
  <c r="V124" i="1"/>
  <c r="V128" i="1"/>
  <c r="V135" i="1"/>
  <c r="V155" i="1"/>
  <c r="X158" i="1"/>
  <c r="V158" i="1" s="1"/>
  <c r="V163" i="1"/>
  <c r="X166" i="1"/>
  <c r="V166" i="1" s="1"/>
  <c r="V171" i="1"/>
  <c r="X174" i="1"/>
  <c r="V174" i="1"/>
  <c r="V179" i="1"/>
  <c r="X182" i="1"/>
  <c r="V182" i="1" s="1"/>
  <c r="V187" i="1"/>
  <c r="X190" i="1"/>
  <c r="V190" i="1" s="1"/>
  <c r="V195" i="1"/>
  <c r="X198" i="1"/>
  <c r="V198" i="1" s="1"/>
  <c r="V232" i="1"/>
  <c r="X235" i="1"/>
  <c r="V235" i="1"/>
  <c r="V240" i="1"/>
  <c r="X243" i="1"/>
  <c r="V243" i="1" s="1"/>
  <c r="X292" i="1"/>
  <c r="V292" i="1" s="1"/>
  <c r="V297" i="1"/>
  <c r="X307" i="1"/>
  <c r="V307" i="1"/>
  <c r="X308" i="1"/>
  <c r="V308" i="1" s="1"/>
  <c r="X351" i="1"/>
  <c r="V351" i="1"/>
  <c r="X365" i="1"/>
  <c r="V365" i="1" s="1"/>
  <c r="X397" i="1"/>
  <c r="V397" i="1"/>
  <c r="X407" i="1"/>
  <c r="V407" i="1" s="1"/>
  <c r="X439" i="1"/>
  <c r="V439" i="1"/>
  <c r="X494" i="1"/>
  <c r="V494" i="1" s="1"/>
  <c r="V120" i="1"/>
  <c r="X212" i="1"/>
  <c r="V212" i="1" s="1"/>
  <c r="X220" i="1"/>
  <c r="V220" i="1" s="1"/>
  <c r="X283" i="1"/>
  <c r="V283" i="1" s="1"/>
  <c r="X323" i="1"/>
  <c r="V323" i="1" s="1"/>
  <c r="X373" i="1"/>
  <c r="V373" i="1" s="1"/>
  <c r="X500" i="1"/>
  <c r="V500" i="1" s="1"/>
  <c r="X548" i="1"/>
  <c r="V548" i="1" s="1"/>
  <c r="V557" i="1"/>
  <c r="X557" i="1"/>
  <c r="X559" i="1"/>
  <c r="V559" i="1" s="1"/>
  <c r="V581" i="1"/>
  <c r="X581" i="1"/>
  <c r="V117" i="1"/>
  <c r="X124" i="1"/>
  <c r="X130" i="1"/>
  <c r="V130" i="1" s="1"/>
  <c r="V134" i="1"/>
  <c r="V140" i="1"/>
  <c r="X143" i="1"/>
  <c r="V143" i="1" s="1"/>
  <c r="V148" i="1"/>
  <c r="V153" i="1"/>
  <c r="V161" i="1"/>
  <c r="V169" i="1"/>
  <c r="V177" i="1"/>
  <c r="V185" i="1"/>
  <c r="V193" i="1"/>
  <c r="V201" i="1"/>
  <c r="V205" i="1"/>
  <c r="X208" i="1"/>
  <c r="V208" i="1" s="1"/>
  <c r="V213" i="1"/>
  <c r="X216" i="1"/>
  <c r="V216" i="1"/>
  <c r="V221" i="1"/>
  <c r="X224" i="1"/>
  <c r="V224" i="1" s="1"/>
  <c r="V230" i="1"/>
  <c r="V238" i="1"/>
  <c r="X246" i="1"/>
  <c r="V246" i="1" s="1"/>
  <c r="V251" i="1"/>
  <c r="X254" i="1"/>
  <c r="V254" i="1" s="1"/>
  <c r="V259" i="1"/>
  <c r="X262" i="1"/>
  <c r="V262" i="1" s="1"/>
  <c r="V267" i="1"/>
  <c r="X270" i="1"/>
  <c r="V270" i="1"/>
  <c r="V275" i="1"/>
  <c r="X279" i="1"/>
  <c r="V279" i="1" s="1"/>
  <c r="V284" i="1"/>
  <c r="X287" i="1"/>
  <c r="V287" i="1" s="1"/>
  <c r="V295" i="1"/>
  <c r="X301" i="1"/>
  <c r="V301" i="1" s="1"/>
  <c r="X335" i="1"/>
  <c r="V335" i="1" s="1"/>
  <c r="V344" i="1"/>
  <c r="X355" i="1"/>
  <c r="V355" i="1" s="1"/>
  <c r="X357" i="1"/>
  <c r="V357" i="1"/>
  <c r="V387" i="1"/>
  <c r="X389" i="1"/>
  <c r="V389" i="1" s="1"/>
  <c r="X431" i="1"/>
  <c r="V431" i="1" s="1"/>
  <c r="V484" i="1"/>
  <c r="X486" i="1"/>
  <c r="V486" i="1"/>
  <c r="V514" i="1"/>
  <c r="X516" i="1"/>
  <c r="V516" i="1" s="1"/>
  <c r="X526" i="1"/>
  <c r="V526" i="1" s="1"/>
  <c r="X315" i="1"/>
  <c r="V315" i="1" s="1"/>
  <c r="X331" i="1"/>
  <c r="V331" i="1" s="1"/>
  <c r="X347" i="1"/>
  <c r="V347" i="1" s="1"/>
  <c r="X369" i="1"/>
  <c r="V369" i="1" s="1"/>
  <c r="X377" i="1"/>
  <c r="V377" i="1" s="1"/>
  <c r="X385" i="1"/>
  <c r="V385" i="1" s="1"/>
  <c r="X393" i="1"/>
  <c r="V393" i="1" s="1"/>
  <c r="X401" i="1"/>
  <c r="V401" i="1" s="1"/>
  <c r="X466" i="1"/>
  <c r="V466" i="1" s="1"/>
  <c r="X474" i="1"/>
  <c r="V474" i="1" s="1"/>
  <c r="X482" i="1"/>
  <c r="V482" i="1" s="1"/>
  <c r="X490" i="1"/>
  <c r="V490" i="1" s="1"/>
  <c r="X504" i="1"/>
  <c r="V504" i="1" s="1"/>
  <c r="X512" i="1"/>
  <c r="V512" i="1" s="1"/>
  <c r="X539" i="1"/>
  <c r="V539" i="1" s="1"/>
  <c r="V579" i="1"/>
  <c r="X579" i="1"/>
  <c r="V291" i="1"/>
  <c r="V296" i="1"/>
  <c r="V304" i="1"/>
  <c r="X311" i="1"/>
  <c r="V311" i="1" s="1"/>
  <c r="V320" i="1"/>
  <c r="X327" i="1"/>
  <c r="V327" i="1" s="1"/>
  <c r="V336" i="1"/>
  <c r="X343" i="1"/>
  <c r="V343" i="1"/>
  <c r="V352" i="1"/>
  <c r="V358" i="1"/>
  <c r="X403" i="1"/>
  <c r="V403" i="1"/>
  <c r="V409" i="1"/>
  <c r="X411" i="1"/>
  <c r="V411" i="1" s="1"/>
  <c r="V417" i="1"/>
  <c r="X419" i="1"/>
  <c r="V419" i="1" s="1"/>
  <c r="V425" i="1"/>
  <c r="X427" i="1"/>
  <c r="V427" i="1" s="1"/>
  <c r="V433" i="1"/>
  <c r="X435" i="1"/>
  <c r="V435" i="1"/>
  <c r="V441" i="1"/>
  <c r="X443" i="1"/>
  <c r="V443" i="1" s="1"/>
  <c r="V449" i="1"/>
  <c r="X451" i="1"/>
  <c r="V451" i="1" s="1"/>
  <c r="V457" i="1"/>
  <c r="X459" i="1"/>
  <c r="V459" i="1" s="1"/>
  <c r="V520" i="1"/>
  <c r="X522" i="1"/>
  <c r="V522" i="1"/>
  <c r="V528" i="1"/>
  <c r="V530" i="1"/>
  <c r="X530" i="1"/>
  <c r="X532" i="1"/>
  <c r="V532" i="1" s="1"/>
  <c r="V534" i="1"/>
  <c r="V550" i="1"/>
  <c r="V561" i="1"/>
  <c r="V575" i="1"/>
  <c r="V577" i="1"/>
  <c r="V585" i="1"/>
  <c r="X622" i="1"/>
  <c r="V622" i="1" s="1"/>
  <c r="V623" i="1"/>
  <c r="X629" i="1"/>
  <c r="V629" i="1" s="1"/>
  <c r="X631" i="1"/>
  <c r="V631" i="1" s="1"/>
  <c r="X736" i="1"/>
  <c r="V736" i="1"/>
  <c r="X768" i="1"/>
  <c r="V768" i="1" s="1"/>
  <c r="V565" i="1"/>
  <c r="X583" i="1"/>
  <c r="V583" i="1" s="1"/>
  <c r="X595" i="1"/>
  <c r="V595" i="1" s="1"/>
  <c r="V602" i="1"/>
  <c r="X602" i="1"/>
  <c r="X604" i="1"/>
  <c r="V604" i="1" s="1"/>
  <c r="X638" i="1"/>
  <c r="V638" i="1" s="1"/>
  <c r="V645" i="1"/>
  <c r="X645" i="1"/>
  <c r="X647" i="1"/>
  <c r="V647" i="1" s="1"/>
  <c r="X680" i="1"/>
  <c r="V680" i="1" s="1"/>
  <c r="X688" i="1"/>
  <c r="V688" i="1" s="1"/>
  <c r="X696" i="1"/>
  <c r="V696" i="1" s="1"/>
  <c r="X704" i="1"/>
  <c r="V704" i="1" s="1"/>
  <c r="X712" i="1"/>
  <c r="V712" i="1" s="1"/>
  <c r="X720" i="1"/>
  <c r="V720" i="1" s="1"/>
  <c r="X728" i="1"/>
  <c r="V728" i="1" s="1"/>
  <c r="X760" i="1"/>
  <c r="V760" i="1" s="1"/>
  <c r="X792" i="1"/>
  <c r="V792" i="1" s="1"/>
  <c r="V531" i="1"/>
  <c r="X538" i="1"/>
  <c r="V538" i="1" s="1"/>
  <c r="V542" i="1"/>
  <c r="V547" i="1"/>
  <c r="X554" i="1"/>
  <c r="V554" i="1" s="1"/>
  <c r="V558" i="1"/>
  <c r="X565" i="1"/>
  <c r="V569" i="1"/>
  <c r="X571" i="1"/>
  <c r="V571" i="1" s="1"/>
  <c r="X573" i="1"/>
  <c r="V573" i="1" s="1"/>
  <c r="X587" i="1"/>
  <c r="V587" i="1" s="1"/>
  <c r="X611" i="1"/>
  <c r="V611" i="1" s="1"/>
  <c r="V612" i="1"/>
  <c r="X654" i="1"/>
  <c r="V654" i="1"/>
  <c r="V655" i="1"/>
  <c r="V678" i="1"/>
  <c r="X678" i="1"/>
  <c r="X752" i="1"/>
  <c r="V752" i="1" s="1"/>
  <c r="X784" i="1"/>
  <c r="V784" i="1" s="1"/>
  <c r="V590" i="1"/>
  <c r="V606" i="1"/>
  <c r="V617" i="1"/>
  <c r="V633" i="1"/>
  <c r="V649" i="1"/>
  <c r="V659" i="1"/>
  <c r="V664" i="1"/>
  <c r="V674" i="1"/>
  <c r="V676" i="1"/>
  <c r="V808" i="1"/>
  <c r="X808" i="1"/>
  <c r="X849" i="1"/>
  <c r="V849" i="1"/>
  <c r="X857" i="1"/>
  <c r="V857" i="1" s="1"/>
  <c r="X890" i="1"/>
  <c r="V890" i="1"/>
  <c r="X898" i="1"/>
  <c r="V898" i="1" s="1"/>
  <c r="X906" i="1"/>
  <c r="V906" i="1"/>
  <c r="V594" i="1"/>
  <c r="V637" i="1"/>
  <c r="V653" i="1"/>
  <c r="X684" i="1"/>
  <c r="V684" i="1" s="1"/>
  <c r="X692" i="1"/>
  <c r="V692" i="1"/>
  <c r="X700" i="1"/>
  <c r="V700" i="1" s="1"/>
  <c r="X708" i="1"/>
  <c r="V708" i="1"/>
  <c r="X716" i="1"/>
  <c r="V716" i="1" s="1"/>
  <c r="X724" i="1"/>
  <c r="V724" i="1"/>
  <c r="X732" i="1"/>
  <c r="V732" i="1" s="1"/>
  <c r="X740" i="1"/>
  <c r="V740" i="1"/>
  <c r="X748" i="1"/>
  <c r="V748" i="1" s="1"/>
  <c r="X756" i="1"/>
  <c r="V756" i="1"/>
  <c r="X764" i="1"/>
  <c r="V764" i="1" s="1"/>
  <c r="X772" i="1"/>
  <c r="V772" i="1"/>
  <c r="X780" i="1"/>
  <c r="V780" i="1" s="1"/>
  <c r="X788" i="1"/>
  <c r="V788" i="1"/>
  <c r="X796" i="1"/>
  <c r="V796" i="1" s="1"/>
  <c r="X828" i="1"/>
  <c r="V828" i="1"/>
  <c r="X839" i="1"/>
  <c r="V839" i="1" s="1"/>
  <c r="X594" i="1"/>
  <c r="V598" i="1"/>
  <c r="V603" i="1"/>
  <c r="X610" i="1"/>
  <c r="V610" i="1" s="1"/>
  <c r="V614" i="1"/>
  <c r="X621" i="1"/>
  <c r="V621" i="1" s="1"/>
  <c r="V625" i="1"/>
  <c r="V630" i="1"/>
  <c r="X637" i="1"/>
  <c r="V641" i="1"/>
  <c r="V646" i="1"/>
  <c r="X653" i="1"/>
  <c r="V657" i="1"/>
  <c r="X662" i="1"/>
  <c r="V662" i="1" s="1"/>
  <c r="V666" i="1"/>
  <c r="V668" i="1"/>
  <c r="X670" i="1"/>
  <c r="V670" i="1" s="1"/>
  <c r="X672" i="1"/>
  <c r="V672" i="1" s="1"/>
  <c r="V802" i="1"/>
  <c r="X802" i="1"/>
  <c r="X804" i="1"/>
  <c r="V804" i="1"/>
  <c r="V806" i="1"/>
  <c r="X859" i="1"/>
  <c r="V859" i="1" s="1"/>
  <c r="X867" i="1"/>
  <c r="V867" i="1" s="1"/>
  <c r="X875" i="1"/>
  <c r="V875" i="1" s="1"/>
  <c r="V912" i="1"/>
  <c r="X818" i="1"/>
  <c r="V818" i="1" s="1"/>
  <c r="X824" i="1"/>
  <c r="V824" i="1"/>
  <c r="V830" i="1"/>
  <c r="X832" i="1"/>
  <c r="V832" i="1" s="1"/>
  <c r="X835" i="1"/>
  <c r="V835" i="1" s="1"/>
  <c r="X853" i="1"/>
  <c r="V853" i="1" s="1"/>
  <c r="X886" i="1"/>
  <c r="V886" i="1" s="1"/>
  <c r="X894" i="1"/>
  <c r="V894" i="1" s="1"/>
  <c r="X902" i="1"/>
  <c r="V902" i="1" s="1"/>
  <c r="X913" i="1"/>
  <c r="V913" i="1" s="1"/>
  <c r="V803" i="1"/>
  <c r="V812" i="1"/>
  <c r="V814" i="1"/>
  <c r="X843" i="1"/>
  <c r="V843" i="1"/>
  <c r="X863" i="1"/>
  <c r="V863" i="1" s="1"/>
  <c r="X871" i="1"/>
  <c r="V871" i="1"/>
  <c r="X879" i="1"/>
  <c r="V879" i="1" s="1"/>
  <c r="X910" i="1"/>
  <c r="V910" i="1"/>
</calcChain>
</file>

<file path=xl/sharedStrings.xml><?xml version="1.0" encoding="utf-8"?>
<sst xmlns="http://schemas.openxmlformats.org/spreadsheetml/2006/main" count="12031" uniqueCount="2815">
  <si>
    <t>order_id</t>
  </si>
  <si>
    <t>order_date</t>
  </si>
  <si>
    <t>order_month</t>
  </si>
  <si>
    <t>order_year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</si>
  <si>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</si>
  <si>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</si>
  <si>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</si>
  <si>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</si>
  <si>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</si>
  <si>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</si>
  <si>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</si>
  <si>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</si>
  <si>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</si>
  <si>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</si>
  <si>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</si>
  <si>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</si>
  <si>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</si>
  <si>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</si>
  <si>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</si>
  <si>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calculated_sales</t>
  </si>
  <si>
    <t>cost</t>
  </si>
  <si>
    <t>profit_margin</t>
  </si>
  <si>
    <t>profit</t>
  </si>
  <si>
    <t>calculated_profit</t>
  </si>
  <si>
    <t>payment_status</t>
  </si>
  <si>
    <t>order_status</t>
  </si>
  <si>
    <t>shipping_delay_days</t>
  </si>
  <si>
    <t>data_quality_flag</t>
  </si>
  <si>
    <t>duplicate_flag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</si>
  <si>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</si>
  <si>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</si>
  <si>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</si>
  <si>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</si>
  <si>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</si>
  <si>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</si>
  <si>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</si>
  <si>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</si>
  <si>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</si>
  <si>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</si>
  <si>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</si>
  <si>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</si>
  <si>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</si>
  <si>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</si>
  <si>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</si>
  <si>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</si>
  <si>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</si>
  <si>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</si>
  <si>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</si>
  <si>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</si>
  <si>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</si>
  <si>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</si>
  <si>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</si>
  <si>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</si>
  <si>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</si>
  <si>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</si>
  <si>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</si>
  <si>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</si>
  <si>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</si>
  <si>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</si>
  <si>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</si>
  <si>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</si>
  <si>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</si>
  <si>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</si>
  <si>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</si>
  <si>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</si>
  <si>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</si>
  <si>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</si>
  <si>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</si>
  <si>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</si>
  <si>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</si>
  <si>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</si>
  <si>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</si>
  <si>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</si>
  <si>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</si>
  <si>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</si>
  <si>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</si>
  <si>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</si>
  <si>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</si>
  <si>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</si>
  <si>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</si>
  <si>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</si>
  <si>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</si>
  <si>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</si>
  <si>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</si>
  <si>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</si>
  <si>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</si>
  <si>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</si>
  <si>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</si>
  <si>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</si>
  <si>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</si>
  <si>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</si>
  <si>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</si>
  <si>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</si>
  <si>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</si>
  <si>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</si>
  <si>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</si>
  <si>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</si>
  <si>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</si>
  <si>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</si>
  <si>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</si>
  <si>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</si>
  <si>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</si>
  <si>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</si>
  <si>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</si>
  <si>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</si>
  <si>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</si>
  <si>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</si>
  <si>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</si>
  <si>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</si>
  <si>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</si>
  <si>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</si>
  <si>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</si>
  <si>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</si>
  <si>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</si>
  <si>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</si>
  <si>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</si>
  <si>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</si>
  <si>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</si>
  <si>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</si>
  <si>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</si>
  <si>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</si>
  <si>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</si>
  <si>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</si>
  <si>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</si>
  <si>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</si>
  <si>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</si>
  <si>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</si>
  <si>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</si>
  <si>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</si>
  <si>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</si>
  <si>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</si>
  <si>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</si>
  <si>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</si>
  <si>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</si>
  <si>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</si>
  <si>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</si>
  <si>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</si>
  <si>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</si>
  <si>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</si>
  <si>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</si>
  <si>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</si>
  <si>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</si>
  <si>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</si>
  <si>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</si>
  <si>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</si>
  <si>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</si>
  <si>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</si>
  <si>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</si>
  <si>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</si>
  <si>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</si>
  <si>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</si>
  <si>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</si>
  <si>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</si>
  <si>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</si>
  <si>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</si>
  <si>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</si>
  <si>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</si>
  <si>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</si>
  <si>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</si>
  <si>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</si>
  <si>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</si>
  <si>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</si>
  <si>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</si>
  <si>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</si>
  <si>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</si>
  <si>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</si>
  <si>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</si>
  <si>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</si>
  <si>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</si>
  <si>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</si>
  <si>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</si>
  <si>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</si>
  <si>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</si>
  <si>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</si>
  <si>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</si>
  <si>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</si>
  <si>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</si>
  <si>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</si>
  <si>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</si>
  <si>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</si>
  <si>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</si>
  <si>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</si>
  <si>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</si>
  <si>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</si>
  <si>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</si>
  <si>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</si>
  <si>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</si>
  <si>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</si>
  <si>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</si>
  <si>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</si>
  <si>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</si>
  <si>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</si>
  <si>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</si>
  <si>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</si>
  <si>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</si>
  <si>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</si>
  <si>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</si>
  <si>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</si>
  <si>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</si>
  <si>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</si>
  <si>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</si>
  <si>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</si>
  <si>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</si>
  <si>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</si>
  <si>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</si>
  <si>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</si>
  <si>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</si>
  <si>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</si>
  <si>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</si>
  <si>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</si>
  <si>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</si>
  <si>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</si>
  <si>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</si>
  <si>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Unknown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</si>
  <si>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</si>
  <si>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</si>
  <si>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</si>
  <si>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</si>
  <si>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</si>
  <si>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</si>
  <si>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</si>
  <si>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</si>
  <si>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</si>
  <si>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</si>
  <si>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</si>
  <si>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</si>
  <si>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</si>
  <si>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</si>
  <si>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</si>
  <si>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</si>
  <si>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</si>
  <si>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</si>
  <si>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</si>
  <si>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</si>
  <si>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</si>
  <si>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</si>
  <si>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</si>
  <si>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</si>
  <si>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</si>
  <si>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</si>
  <si>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</si>
  <si>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</si>
  <si>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</si>
  <si>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</si>
  <si>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</si>
  <si>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</si>
  <si>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</si>
  <si>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</si>
  <si>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</si>
  <si>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</si>
  <si>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</si>
  <si>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</si>
  <si>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</si>
  <si>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</si>
  <si>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</si>
  <si>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</si>
  <si>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</si>
  <si>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</si>
  <si>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</si>
  <si>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</si>
  <si>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</si>
  <si>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</si>
  <si>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</si>
  <si>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</si>
  <si>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</si>
  <si>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</si>
  <si>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</si>
  <si>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</si>
  <si>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</si>
  <si>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</si>
  <si>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</si>
  <si>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</si>
  <si>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</si>
  <si>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</si>
  <si>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</si>
  <si>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</si>
  <si>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</si>
  <si>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</si>
  <si>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</si>
  <si>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</si>
  <si>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</si>
  <si>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</si>
  <si>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</si>
  <si>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</si>
  <si>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</si>
  <si>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</si>
  <si>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</si>
  <si>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</si>
  <si>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</si>
  <si>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</si>
  <si>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</si>
  <si>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</si>
  <si>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</si>
  <si>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</si>
  <si>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</si>
  <si>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</si>
  <si>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</si>
  <si>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</si>
  <si>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</si>
  <si>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</si>
  <si>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</si>
  <si>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</si>
  <si>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</si>
  <si>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</si>
  <si>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</si>
  <si>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</si>
  <si>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</si>
  <si>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</si>
  <si>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</si>
  <si>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</si>
  <si>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</si>
  <si>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</si>
  <si>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</si>
  <si>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</si>
  <si>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</si>
  <si>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</si>
  <si>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</si>
  <si>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</si>
  <si>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</si>
  <si>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</si>
  <si>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</si>
  <si>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</si>
  <si>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</si>
  <si>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</si>
  <si>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</si>
  <si>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</si>
  <si>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</si>
  <si>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</si>
  <si>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</si>
  <si>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</si>
  <si>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</si>
  <si>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</si>
  <si>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</si>
  <si>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</si>
  <si>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</si>
  <si>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</si>
  <si>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</si>
  <si>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</si>
  <si>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</si>
  <si>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</si>
  <si>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</si>
  <si>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</si>
  <si>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</si>
  <si>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</si>
  <si>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</si>
  <si>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</si>
  <si>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</si>
  <si>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</si>
  <si>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</si>
  <si>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</si>
  <si>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</si>
  <si>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</si>
  <si>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</si>
  <si>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</si>
  <si>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</si>
  <si>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</si>
  <si>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</si>
  <si>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</si>
  <si>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</si>
  <si>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</si>
  <si>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</si>
  <si>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</si>
  <si>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</si>
  <si>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</si>
  <si>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</si>
  <si>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</si>
  <si>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</si>
  <si>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</si>
  <si>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</si>
  <si>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</si>
  <si>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</si>
  <si>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</si>
  <si>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</si>
  <si>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</si>
  <si>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</si>
  <si>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</si>
  <si>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</si>
  <si>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</si>
  <si>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</si>
  <si>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</si>
  <si>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</si>
  <si>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</si>
  <si>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</si>
  <si>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</si>
  <si>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</si>
  <si>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</si>
  <si>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</si>
  <si>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</si>
  <si>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</si>
  <si>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ORD-2024-10124</t>
  </si>
  <si>
    <t>CUST-1007</t>
  </si>
  <si>
    <t>Max Copiers 970</t>
  </si>
  <si>
    <t>conflicting duplicate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</si>
  <si>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</si>
  <si>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</si>
  <si>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</si>
  <si>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</si>
  <si>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</si>
  <si>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</si>
  <si>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</si>
  <si>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</si>
  <si>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</si>
  <si>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</si>
  <si>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</si>
  <si>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</si>
  <si>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</si>
  <si>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</si>
  <si>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</si>
  <si>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</si>
  <si>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</si>
  <si>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</si>
  <si>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</si>
  <si>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</si>
  <si>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</si>
  <si>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</si>
  <si>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</si>
  <si>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</si>
  <si>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</si>
  <si>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</si>
  <si>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</si>
  <si>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</si>
  <si>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</si>
  <si>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</si>
  <si>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</si>
  <si>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</si>
  <si>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</si>
  <si>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</si>
  <si>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</si>
  <si>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</si>
  <si>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</si>
  <si>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</si>
  <si>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</si>
  <si>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</si>
  <si>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</si>
  <si>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</si>
  <si>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</si>
  <si>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</si>
  <si>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</si>
  <si>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</si>
  <si>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</si>
  <si>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</si>
  <si>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</si>
  <si>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</si>
  <si>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</si>
  <si>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</si>
  <si>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</si>
  <si>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</si>
  <si>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</si>
  <si>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</si>
  <si>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</si>
  <si>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</si>
  <si>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</si>
  <si>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</si>
  <si>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</si>
  <si>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</si>
  <si>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</si>
  <si>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</si>
  <si>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</si>
  <si>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</si>
  <si>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Invalid/Warning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</si>
  <si>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</si>
  <si>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</si>
  <si>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</si>
  <si>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</si>
  <si>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</si>
  <si>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</si>
  <si>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</si>
  <si>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</si>
  <si>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</si>
  <si>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</si>
  <si>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</si>
  <si>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</si>
  <si>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</si>
  <si>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</si>
  <si>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</si>
  <si>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</si>
  <si>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</si>
  <si>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</si>
  <si>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</si>
  <si>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</si>
  <si>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</si>
  <si>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</si>
  <si>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</si>
  <si>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</si>
  <si>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</si>
  <si>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</si>
  <si>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</si>
  <si>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</si>
  <si>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</si>
  <si>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</si>
  <si>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</si>
  <si>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</si>
  <si>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</si>
  <si>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</si>
  <si>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</si>
  <si>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</si>
  <si>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</si>
  <si>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</si>
  <si>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</si>
  <si>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</si>
  <si>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</si>
  <si>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</si>
  <si>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</si>
  <si>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</si>
  <si>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</si>
  <si>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</si>
  <si>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</si>
  <si>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</si>
  <si>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</si>
  <si>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</si>
  <si>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</si>
  <si>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</si>
  <si>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</si>
  <si>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</si>
  <si>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</si>
  <si>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</si>
  <si>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</si>
  <si>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</si>
  <si>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</si>
  <si>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</si>
  <si>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</si>
  <si>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</si>
  <si>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</si>
  <si>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</si>
  <si>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</si>
  <si>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</si>
  <si>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</si>
  <si>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</si>
  <si>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</si>
  <si>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</si>
  <si>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</si>
  <si>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</si>
  <si>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</si>
  <si>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</si>
  <si>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</si>
  <si>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</si>
  <si>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</si>
  <si>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</si>
  <si>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</si>
  <si>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</si>
  <si>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</si>
  <si>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</si>
  <si>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</si>
  <si>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</si>
  <si>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</si>
  <si>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</si>
  <si>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</si>
  <si>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</si>
  <si>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</si>
  <si>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</si>
  <si>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</si>
  <si>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</si>
  <si>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</si>
  <si>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</si>
  <si>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</si>
  <si>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</si>
  <si>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</si>
  <si>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</si>
  <si>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</si>
  <si>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</si>
  <si>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</si>
  <si>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</si>
  <si>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</si>
  <si>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</si>
  <si>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</si>
  <si>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</si>
  <si>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</si>
  <si>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</si>
  <si>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</si>
  <si>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</si>
  <si>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</si>
  <si>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</si>
  <si>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</si>
  <si>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</si>
  <si>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</si>
  <si>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</si>
  <si>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</si>
  <si>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</si>
  <si>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</si>
  <si>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</si>
  <si>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</si>
  <si>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</si>
  <si>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</si>
  <si>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</si>
  <si>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</si>
  <si>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</si>
  <si>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</si>
  <si>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</si>
  <si>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</si>
  <si>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</si>
  <si>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</si>
  <si>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</si>
  <si>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</si>
  <si>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</si>
  <si>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</si>
  <si>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</si>
  <si>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</si>
  <si>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</si>
  <si>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</si>
  <si>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</si>
  <si>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</si>
  <si>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</si>
  <si>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</si>
  <si>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</si>
  <si>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</si>
  <si>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</si>
  <si>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</si>
  <si>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</si>
  <si>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</si>
  <si>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</si>
  <si>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</si>
  <si>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</si>
  <si>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</si>
  <si>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</si>
  <si>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</si>
  <si>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</si>
  <si>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</si>
  <si>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</si>
  <si>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</si>
  <si>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</si>
  <si>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</si>
  <si>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</si>
  <si>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</si>
  <si>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</si>
  <si>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</si>
  <si>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</si>
  <si>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</si>
  <si>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</si>
  <si>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</si>
  <si>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</si>
  <si>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</si>
  <si>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</si>
  <si>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</si>
  <si>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</si>
  <si>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</si>
  <si>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</si>
  <si>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</si>
  <si>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</si>
  <si>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</si>
  <si>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</si>
  <si>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</si>
  <si>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</si>
  <si>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</si>
  <si>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</si>
  <si>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</si>
  <si>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</si>
  <si>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</si>
  <si>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</si>
  <si>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</si>
  <si>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</si>
  <si>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</si>
  <si>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</si>
  <si>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</si>
  <si>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</si>
  <si>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</si>
  <si>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</si>
  <si>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</si>
  <si>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</si>
  <si>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</si>
  <si>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</si>
  <si>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</si>
  <si>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</si>
  <si>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</si>
  <si>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</si>
  <si>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</si>
  <si>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</si>
  <si>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</si>
  <si>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</si>
  <si>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</si>
  <si>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</si>
  <si>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</si>
  <si>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</si>
  <si>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</si>
  <si>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</si>
  <si>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</si>
  <si>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</si>
  <si>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</si>
  <si>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</si>
  <si>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</si>
  <si>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</si>
  <si>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</si>
  <si>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</si>
  <si>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completed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</si>
  <si>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</si>
  <si>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</si>
  <si>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</si>
  <si>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</si>
  <si>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</si>
  <si>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</si>
  <si>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</si>
  <si>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</si>
  <si>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</si>
  <si>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</si>
  <si>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</si>
  <si>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</si>
  <si>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</si>
  <si>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</si>
  <si>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</si>
  <si>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</si>
  <si>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</si>
  <si>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</si>
  <si>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</si>
  <si>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</si>
  <si>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</si>
  <si>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</si>
  <si>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</si>
  <si>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</si>
  <si>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</si>
  <si>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</si>
  <si>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</si>
  <si>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</si>
  <si>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</si>
  <si>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</si>
  <si>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</si>
  <si>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</si>
  <si>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</si>
  <si>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</si>
  <si>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</si>
  <si>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</si>
  <si>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</si>
  <si>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</si>
  <si>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</si>
  <si>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</si>
  <si>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</si>
  <si>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</si>
  <si>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</si>
  <si>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</si>
  <si>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</si>
  <si>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</si>
  <si>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</si>
  <si>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</si>
  <si>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</si>
  <si>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</si>
  <si>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</si>
  <si>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</si>
  <si>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</si>
  <si>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</si>
  <si>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</si>
  <si>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</si>
  <si>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</si>
  <si>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</si>
  <si>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</si>
  <si>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</si>
  <si>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</si>
  <si>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</si>
  <si>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</si>
  <si>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</si>
  <si>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</si>
  <si>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</si>
  <si>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</si>
  <si>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</si>
  <si>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</si>
  <si>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</si>
  <si>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</si>
  <si>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</si>
  <si>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</si>
  <si>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</si>
  <si>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</si>
  <si>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</si>
  <si>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</si>
  <si>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</si>
  <si>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</si>
  <si>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</si>
  <si>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</si>
  <si>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</si>
  <si>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</si>
  <si>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</si>
  <si>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</si>
  <si>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</si>
  <si>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</si>
  <si>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</si>
  <si>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</si>
  <si>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</si>
  <si>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</si>
  <si>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</si>
  <si>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</si>
  <si>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</si>
  <si>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</si>
  <si>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</si>
  <si>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</si>
  <si>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</si>
  <si>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</si>
  <si>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</si>
  <si>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</si>
  <si>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ORD-2024-10273</t>
  </si>
  <si>
    <t>CUST-7389</t>
  </si>
  <si>
    <t>Eco Chairs 314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</si>
  <si>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</si>
  <si>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</si>
  <si>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</si>
  <si>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</si>
  <si>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</si>
  <si>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</si>
  <si>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</si>
  <si>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</si>
  <si>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</si>
  <si>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</si>
  <si>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</si>
  <si>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</si>
  <si>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</si>
  <si>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</si>
  <si>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</si>
  <si>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</si>
  <si>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</si>
  <si>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</si>
  <si>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</si>
  <si>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</si>
  <si>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</si>
  <si>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</si>
  <si>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</si>
  <si>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</si>
  <si>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</si>
  <si>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</si>
  <si>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</si>
  <si>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</si>
  <si>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</si>
  <si>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</si>
  <si>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</si>
  <si>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</si>
  <si>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</si>
  <si>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</si>
  <si>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</si>
  <si>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</si>
  <si>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</si>
  <si>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</si>
  <si>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</si>
  <si>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</si>
  <si>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</si>
  <si>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</si>
  <si>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</si>
  <si>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</si>
  <si>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</si>
  <si>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</si>
  <si>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</si>
  <si>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</si>
  <si>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</si>
  <si>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</si>
  <si>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</si>
  <si>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</si>
  <si>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</si>
  <si>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</si>
  <si>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</si>
  <si>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</si>
  <si>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</si>
  <si>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</si>
  <si>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</si>
  <si>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</si>
  <si>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</si>
  <si>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</si>
  <si>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</si>
  <si>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</si>
  <si>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</si>
  <si>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</si>
  <si>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</si>
  <si>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</si>
  <si>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</si>
  <si>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</si>
  <si>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</si>
  <si>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</si>
  <si>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</si>
  <si>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</si>
  <si>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</si>
  <si>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</si>
  <si>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</si>
  <si>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</si>
  <si>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</si>
  <si>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</si>
  <si>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</si>
  <si>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</si>
  <si>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</si>
  <si>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</si>
  <si>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</si>
  <si>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</si>
  <si>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</si>
  <si>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</si>
  <si>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</si>
  <si>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</si>
  <si>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</si>
  <si>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</si>
  <si>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</si>
  <si>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</si>
  <si>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</si>
  <si>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</si>
  <si>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</si>
  <si>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</si>
  <si>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</si>
  <si>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</si>
  <si>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</si>
  <si>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</si>
  <si>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</si>
  <si>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</si>
  <si>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</si>
  <si>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</si>
  <si>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</si>
  <si>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</si>
  <si>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</si>
  <si>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</si>
  <si>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</si>
  <si>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</si>
  <si>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</si>
  <si>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</si>
  <si>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</si>
  <si>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</si>
  <si>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</si>
  <si>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</si>
  <si>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</si>
  <si>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</si>
  <si>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</si>
  <si>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</si>
  <si>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</si>
  <si>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</si>
  <si>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</si>
  <si>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</si>
  <si>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</si>
  <si>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</si>
  <si>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</si>
  <si>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</si>
  <si>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</si>
  <si>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</si>
  <si>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</si>
  <si>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</si>
  <si>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</si>
  <si>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</si>
  <si>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</si>
  <si>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</si>
  <si>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</si>
  <si>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</si>
  <si>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</si>
  <si>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</si>
  <si>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</si>
  <si>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</si>
  <si>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</si>
  <si>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</si>
  <si>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</si>
  <si>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</si>
  <si>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</si>
  <si>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</si>
  <si>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</si>
  <si>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</si>
  <si>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</si>
  <si>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</si>
  <si>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</si>
  <si>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</si>
  <si>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</si>
  <si>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</si>
  <si>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</si>
  <si>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</si>
  <si>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</si>
  <si>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</si>
  <si>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</si>
  <si>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</si>
  <si>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</si>
  <si>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</si>
  <si>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</si>
  <si>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</si>
  <si>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</si>
  <si>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</si>
  <si>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</si>
  <si>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</si>
  <si>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</si>
  <si>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</si>
  <si>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</si>
  <si>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</si>
  <si>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</si>
  <si>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</si>
  <si>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</si>
  <si>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</si>
  <si>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</si>
  <si>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</si>
  <si>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</si>
  <si>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</si>
  <si>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</si>
  <si>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</si>
  <si>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</si>
  <si>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</si>
  <si>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</si>
  <si>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</si>
  <si>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</si>
  <si>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</si>
  <si>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</si>
  <si>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</si>
  <si>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</si>
  <si>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</si>
  <si>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</si>
  <si>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</si>
  <si>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</si>
  <si>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</si>
  <si>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</si>
  <si>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</si>
  <si>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</si>
  <si>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</si>
  <si>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</si>
  <si>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</si>
  <si>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</si>
  <si>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</si>
  <si>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</si>
  <si>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</si>
  <si>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</si>
  <si>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</si>
  <si>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</si>
  <si>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</si>
  <si>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</si>
  <si>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</si>
  <si>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</si>
  <si>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</si>
  <si>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</si>
  <si>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</si>
  <si>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</si>
  <si>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</si>
  <si>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</si>
  <si>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</si>
  <si>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</si>
  <si>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</si>
  <si>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</si>
  <si>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</si>
  <si>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</si>
  <si>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</si>
  <si>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</si>
  <si>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</si>
  <si>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</si>
  <si>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</si>
  <si>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</si>
  <si>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</si>
  <si>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</si>
  <si>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</si>
  <si>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</si>
  <si>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</si>
  <si>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</si>
  <si>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</si>
  <si>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</si>
  <si>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</si>
  <si>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PENDING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</si>
  <si>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</si>
  <si>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</si>
  <si>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</si>
  <si>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</si>
  <si>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</si>
  <si>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</si>
  <si>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</si>
  <si>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</si>
  <si>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</si>
  <si>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</si>
  <si>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</si>
  <si>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</si>
  <si>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</si>
  <si>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</si>
  <si>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</si>
  <si>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</si>
  <si>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</si>
  <si>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</si>
  <si>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ORD-2024-10332</t>
  </si>
  <si>
    <t>CUST-9346</t>
  </si>
  <si>
    <t>Smart Binders 939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</si>
  <si>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</si>
  <si>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</si>
  <si>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</si>
  <si>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</si>
  <si>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</si>
  <si>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</si>
  <si>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</si>
  <si>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</si>
  <si>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</si>
  <si>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</si>
  <si>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</si>
  <si>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</si>
  <si>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</si>
  <si>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</si>
  <si>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</si>
  <si>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</si>
  <si>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</si>
  <si>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</si>
  <si>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</si>
  <si>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</si>
  <si>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</si>
  <si>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</si>
  <si>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</si>
  <si>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</si>
  <si>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</si>
  <si>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</si>
  <si>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</si>
  <si>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</si>
  <si>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</si>
  <si>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</si>
  <si>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</si>
  <si>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</si>
  <si>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</si>
  <si>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</si>
  <si>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</si>
  <si>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</si>
  <si>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</si>
  <si>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</si>
  <si>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</si>
  <si>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</si>
  <si>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</si>
  <si>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</si>
  <si>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</si>
  <si>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</si>
  <si>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</si>
  <si>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</si>
  <si>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</si>
  <si>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</si>
  <si>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</si>
  <si>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</si>
  <si>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</si>
  <si>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</si>
  <si>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</si>
  <si>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</si>
  <si>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</si>
  <si>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</si>
  <si>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ORD-2024-10424</t>
  </si>
  <si>
    <t>CUST-6169</t>
  </si>
  <si>
    <t>Prime Accessories 236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</si>
  <si>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</si>
  <si>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</si>
  <si>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</si>
  <si>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</si>
  <si>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</si>
  <si>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</si>
  <si>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</si>
  <si>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</si>
  <si>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</si>
  <si>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</si>
  <si>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</si>
  <si>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</si>
  <si>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</si>
  <si>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</si>
  <si>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</si>
  <si>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</si>
  <si>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</si>
  <si>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</si>
  <si>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</si>
  <si>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</si>
  <si>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</si>
  <si>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</si>
  <si>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</si>
  <si>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</si>
  <si>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</si>
  <si>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</si>
  <si>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</si>
  <si>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</si>
  <si>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</si>
  <si>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</si>
  <si>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</si>
  <si>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</si>
  <si>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</si>
  <si>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</si>
  <si>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</si>
  <si>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</si>
  <si>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</si>
  <si>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</si>
  <si>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</si>
  <si>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</si>
  <si>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</si>
  <si>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</si>
  <si>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</si>
  <si>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</si>
  <si>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</si>
  <si>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</si>
  <si>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</si>
  <si>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</si>
  <si>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</si>
  <si>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</si>
  <si>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</si>
  <si>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</si>
  <si>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</si>
  <si>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</si>
  <si>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</si>
  <si>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</si>
  <si>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</si>
  <si>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</si>
  <si>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</si>
  <si>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</si>
  <si>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</si>
  <si>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</si>
  <si>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</si>
  <si>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</si>
  <si>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</si>
  <si>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</si>
  <si>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</si>
  <si>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</si>
  <si>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</si>
  <si>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</si>
  <si>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</si>
  <si>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</si>
  <si>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</si>
  <si>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</si>
  <si>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</si>
  <si>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</si>
  <si>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</si>
  <si>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</si>
  <si>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</si>
  <si>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</si>
  <si>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</si>
  <si>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</si>
  <si>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</si>
  <si>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</si>
  <si>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</si>
  <si>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</si>
  <si>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</si>
  <si>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</si>
  <si>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</si>
  <si>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</si>
  <si>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</si>
  <si>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</si>
  <si>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</si>
  <si>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</si>
  <si>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</si>
  <si>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</si>
  <si>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</si>
  <si>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</si>
  <si>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</si>
  <si>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</si>
  <si>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</si>
  <si>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</si>
  <si>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</si>
  <si>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</si>
  <si>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</si>
  <si>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</si>
  <si>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</si>
  <si>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</si>
  <si>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</si>
  <si>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</si>
  <si>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</si>
  <si>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</si>
  <si>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</si>
  <si>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</si>
  <si>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</si>
  <si>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</si>
  <si>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</si>
  <si>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</si>
  <si>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</si>
  <si>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</si>
  <si>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</si>
  <si>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</si>
  <si>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</si>
  <si>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</si>
  <si>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</si>
  <si>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</si>
  <si>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</si>
  <si>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</si>
  <si>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</si>
  <si>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</si>
  <si>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</si>
  <si>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</si>
  <si>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</si>
  <si>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</si>
  <si>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</si>
  <si>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</si>
  <si>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</si>
  <si>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</si>
  <si>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</si>
  <si>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</si>
  <si>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</si>
  <si>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</si>
  <si>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</si>
  <si>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</si>
  <si>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</si>
  <si>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</si>
  <si>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</si>
  <si>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</si>
  <si>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</si>
  <si>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</si>
  <si>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</si>
  <si>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</si>
  <si>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</si>
  <si>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</si>
  <si>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</si>
  <si>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</si>
  <si>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</si>
  <si>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</si>
  <si>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</si>
  <si>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</si>
  <si>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</si>
  <si>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</si>
  <si>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</si>
  <si>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</si>
  <si>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</si>
  <si>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</si>
  <si>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</si>
  <si>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</si>
  <si>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</si>
  <si>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</si>
  <si>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</si>
  <si>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</si>
  <si>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</si>
  <si>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</si>
  <si>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</si>
  <si>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</si>
  <si>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</si>
  <si>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</si>
  <si>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</si>
  <si>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</si>
  <si>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</si>
  <si>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</si>
  <si>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</si>
  <si>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</si>
  <si>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</si>
  <si>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</si>
  <si>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</si>
  <si>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</si>
  <si>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</si>
  <si>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</si>
  <si>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</si>
  <si>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</si>
  <si>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</si>
  <si>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</si>
  <si>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</si>
  <si>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</si>
  <si>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</si>
  <si>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</si>
  <si>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</si>
  <si>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</si>
  <si>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</si>
  <si>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</si>
  <si>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</si>
  <si>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</si>
  <si>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</si>
  <si>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</si>
  <si>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</si>
  <si>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</si>
  <si>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</si>
  <si>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</si>
  <si>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</si>
  <si>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</si>
  <si>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</si>
  <si>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</si>
  <si>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</si>
  <si>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</si>
  <si>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</si>
  <si>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</si>
  <si>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</si>
  <si>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</si>
  <si>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</si>
  <si>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</si>
  <si>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</si>
  <si>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</si>
  <si>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</si>
  <si>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</si>
  <si>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</si>
  <si>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</si>
  <si>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</si>
  <si>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</si>
  <si>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</si>
  <si>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</si>
  <si>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</si>
  <si>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</si>
  <si>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</si>
  <si>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</si>
  <si>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</si>
  <si>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</si>
  <si>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</si>
  <si>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</si>
  <si>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</si>
  <si>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</si>
  <si>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</si>
  <si>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</si>
  <si>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</si>
  <si>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</si>
  <si>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</si>
  <si>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</si>
  <si>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</si>
  <si>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</si>
  <si>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</si>
  <si>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</si>
  <si>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</si>
  <si>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</si>
  <si>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</si>
  <si>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ORD-2025-10091</t>
  </si>
  <si>
    <t>CUST-5909</t>
  </si>
  <si>
    <t>Smart Copiers 556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</si>
  <si>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</si>
  <si>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</si>
  <si>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</si>
  <si>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</si>
  <si>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</si>
  <si>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</si>
  <si>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</si>
  <si>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</si>
  <si>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</si>
  <si>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</si>
  <si>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</si>
  <si>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</si>
  <si>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</si>
  <si>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</si>
  <si>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</si>
  <si>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</si>
  <si>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</si>
  <si>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</si>
  <si>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</si>
  <si>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</si>
  <si>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</si>
  <si>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</si>
  <si>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</si>
  <si>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</si>
  <si>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</si>
  <si>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</si>
  <si>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</si>
  <si>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</si>
  <si>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</si>
  <si>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</si>
  <si>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</si>
  <si>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</si>
  <si>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</si>
  <si>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</si>
  <si>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</si>
  <si>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</si>
  <si>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</si>
  <si>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</si>
  <si>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</si>
  <si>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</si>
  <si>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</si>
  <si>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</si>
  <si>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</si>
  <si>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</si>
  <si>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</si>
  <si>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</si>
  <si>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</si>
  <si>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</si>
  <si>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</si>
  <si>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</si>
  <si>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</si>
  <si>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</si>
  <si>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</si>
  <si>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</si>
  <si>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</si>
  <si>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</si>
  <si>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</si>
  <si>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</si>
  <si>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</si>
  <si>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</si>
  <si>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</si>
  <si>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</si>
  <si>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</si>
  <si>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</si>
  <si>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</si>
  <si>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</si>
  <si>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</si>
  <si>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</si>
  <si>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</si>
  <si>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</si>
  <si>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</si>
  <si>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</si>
  <si>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</si>
  <si>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</si>
  <si>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</si>
  <si>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</si>
  <si>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</si>
  <si>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</si>
  <si>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</si>
  <si>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</si>
  <si>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</si>
  <si>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</si>
  <si>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</si>
  <si>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</si>
  <si>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</si>
  <si>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</si>
  <si>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</si>
  <si>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</si>
  <si>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</si>
  <si>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</si>
  <si>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</si>
  <si>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</si>
  <si>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</si>
  <si>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</si>
  <si>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</si>
  <si>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</si>
  <si>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</si>
  <si>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</si>
  <si>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</si>
  <si>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</si>
  <si>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</si>
  <si>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</si>
  <si>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</si>
  <si>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</si>
  <si>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</si>
  <si>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</si>
  <si>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</si>
  <si>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</si>
  <si>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</si>
  <si>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</si>
  <si>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</si>
  <si>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</si>
  <si>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</si>
  <si>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</si>
  <si>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</si>
  <si>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</si>
  <si>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</si>
  <si>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</si>
  <si>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</si>
  <si>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</si>
  <si>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</si>
  <si>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</si>
  <si>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</si>
  <si>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</si>
  <si>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</si>
  <si>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</si>
  <si>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</si>
  <si>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</si>
  <si>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</si>
  <si>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</si>
  <si>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</si>
  <si>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</si>
  <si>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</si>
  <si>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</si>
  <si>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</si>
  <si>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</si>
  <si>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</si>
  <si>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</si>
  <si>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</si>
  <si>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</si>
  <si>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</si>
  <si>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</si>
  <si>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</si>
  <si>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</si>
  <si>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</si>
  <si>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</si>
  <si>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</si>
  <si>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</si>
  <si>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</si>
  <si>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</si>
  <si>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</si>
  <si>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</si>
  <si>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</si>
  <si>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</si>
  <si>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</si>
  <si>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</si>
  <si>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</si>
  <si>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</si>
  <si>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</si>
  <si>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</si>
  <si>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</si>
  <si>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</si>
  <si>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</si>
  <si>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</si>
  <si>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</si>
  <si>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</si>
  <si>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</si>
  <si>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</si>
  <si>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</si>
  <si>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</si>
  <si>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</si>
  <si>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</si>
  <si>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</si>
  <si>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</si>
  <si>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</si>
  <si>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</si>
  <si>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</si>
  <si>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</si>
  <si>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</si>
  <si>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</si>
  <si>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</si>
  <si>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</si>
  <si>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</si>
  <si>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</si>
  <si>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</si>
  <si>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</si>
  <si>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</si>
  <si>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</si>
  <si>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</si>
  <si>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</si>
  <si>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</si>
  <si>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</si>
  <si>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</si>
  <si>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</si>
  <si>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</si>
  <si>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</si>
  <si>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</si>
  <si>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</si>
  <si>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</si>
  <si>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</si>
  <si>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</si>
  <si>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</si>
  <si>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</si>
  <si>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</si>
  <si>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</si>
  <si>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</si>
  <si>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</si>
  <si>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</si>
  <si>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COMPLETED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</si>
  <si>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</si>
  <si>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</si>
  <si>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</si>
  <si>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</si>
  <si>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</si>
  <si>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</si>
  <si>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</si>
  <si>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</si>
  <si>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</si>
  <si>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</si>
  <si>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</si>
  <si>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</si>
  <si>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</si>
  <si>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</si>
  <si>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</si>
  <si>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cancelled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</si>
  <si>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</si>
  <si>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</si>
  <si>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</si>
  <si>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</si>
  <si>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</si>
  <si>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</si>
  <si>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</si>
  <si>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</si>
  <si>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</si>
  <si>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</si>
  <si>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</si>
  <si>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</si>
  <si>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</si>
  <si>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</si>
  <si>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</si>
  <si>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</si>
  <si>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</si>
  <si>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</si>
  <si>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</si>
  <si>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</si>
  <si>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</si>
  <si>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</si>
  <si>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</si>
  <si>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</si>
  <si>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</si>
  <si>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</si>
  <si>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</si>
  <si>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</si>
  <si>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</si>
  <si>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</si>
  <si>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</si>
  <si>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</si>
  <si>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</si>
  <si>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</si>
  <si>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</si>
  <si>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</si>
  <si>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</si>
  <si>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</si>
  <si>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</si>
  <si>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</si>
  <si>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</si>
  <si>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</si>
  <si>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</si>
  <si>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</si>
  <si>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</si>
  <si>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</si>
  <si>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</si>
  <si>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</si>
  <si>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</si>
  <si>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</si>
  <si>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</si>
  <si>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</si>
  <si>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</si>
  <si>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</si>
  <si>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</si>
  <si>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</si>
  <si>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</si>
  <si>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</si>
  <si>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</si>
  <si>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</si>
  <si>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</si>
  <si>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</si>
  <si>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</si>
  <si>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</si>
  <si>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</si>
  <si>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</si>
  <si>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</si>
  <si>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</si>
  <si>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</si>
  <si>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</si>
  <si>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</si>
  <si>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</si>
  <si>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</si>
  <si>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</si>
  <si>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</si>
  <si>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</si>
  <si>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</si>
  <si>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</si>
  <si>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</si>
  <si>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</si>
  <si>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</si>
  <si>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</si>
  <si>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</si>
  <si>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</si>
  <si>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</si>
  <si>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</si>
  <si>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</si>
  <si>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</si>
  <si>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</si>
  <si>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</si>
  <si>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</si>
  <si>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</si>
  <si>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</si>
  <si>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</si>
  <si>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</si>
  <si>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</si>
  <si>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</si>
  <si>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</si>
  <si>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</si>
  <si>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</si>
  <si>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</si>
  <si>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</si>
  <si>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</si>
  <si>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</si>
  <si>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</si>
  <si>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</si>
  <si>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</si>
  <si>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</si>
  <si>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</si>
  <si>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</si>
  <si>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</si>
  <si>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</si>
  <si>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</si>
  <si>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</si>
  <si>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</si>
  <si>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</si>
  <si>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</si>
  <si>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</si>
  <si>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</si>
  <si>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</si>
  <si>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</si>
  <si>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</si>
  <si>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</si>
  <si>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</si>
  <si>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</si>
  <si>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</si>
  <si>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</si>
  <si>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</si>
  <si>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</si>
  <si>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CANCELLED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</si>
  <si>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</si>
  <si>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</si>
  <si>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</si>
  <si>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</si>
  <si>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</si>
  <si>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</si>
  <si>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</si>
  <si>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</si>
  <si>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</si>
  <si>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</si>
  <si>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</si>
  <si>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</si>
  <si>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</si>
  <si>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</si>
  <si>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</si>
  <si>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</si>
  <si>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</si>
  <si>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</si>
  <si>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</si>
  <si>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</si>
  <si>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</si>
  <si>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</si>
  <si>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</si>
  <si>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</si>
  <si>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</si>
  <si>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</si>
  <si>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</si>
  <si>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</si>
  <si>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</si>
  <si>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</si>
  <si>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</si>
  <si>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</si>
  <si>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</si>
  <si>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</si>
  <si>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</si>
  <si>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</si>
  <si>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</si>
  <si>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</si>
  <si>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</si>
  <si>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</si>
  <si>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</si>
  <si>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</si>
  <si>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</si>
  <si>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</si>
  <si>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</si>
  <si>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</si>
  <si>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</si>
  <si>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</si>
  <si>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</si>
  <si>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</si>
  <si>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</si>
  <si>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</si>
  <si>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</si>
  <si>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</si>
  <si>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</si>
  <si>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</si>
  <si>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</si>
  <si>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</si>
  <si>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</si>
  <si>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</si>
  <si>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</si>
  <si>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</si>
  <si>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</si>
  <si>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</si>
  <si>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</si>
  <si>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</si>
  <si>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</si>
  <si>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</si>
  <si>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</si>
  <si>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</si>
  <si>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</si>
  <si>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</si>
  <si>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</si>
  <si>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</si>
  <si>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</si>
  <si>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</si>
  <si>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</si>
  <si>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</si>
  <si>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</si>
  <si>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</si>
  <si>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</si>
  <si>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</si>
  <si>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</si>
  <si>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</si>
  <si>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</si>
  <si>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</si>
  <si>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</si>
  <si>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</si>
  <si>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</si>
  <si>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</si>
  <si>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</si>
  <si>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</si>
  <si>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</si>
  <si>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</si>
  <si>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</si>
  <si>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</si>
  <si>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</si>
  <si>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</si>
  <si>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</si>
  <si>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</si>
  <si>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</si>
  <si>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</si>
  <si>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</si>
  <si>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</si>
  <si>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</si>
  <si>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</si>
  <si>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</si>
  <si>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</si>
  <si>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</si>
  <si>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</si>
  <si>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</si>
  <si>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</si>
  <si>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</si>
  <si>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</si>
  <si>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</si>
  <si>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</si>
  <si>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</si>
  <si>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</si>
  <si>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</si>
  <si>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</si>
  <si>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</si>
  <si>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</si>
  <si>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</si>
  <si>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</si>
  <si>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</si>
  <si>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</si>
  <si>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</si>
  <si>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</si>
  <si>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</si>
  <si>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</si>
  <si>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</si>
  <si>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</si>
  <si>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</si>
  <si>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</si>
  <si>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</si>
  <si>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</si>
  <si>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</si>
  <si>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</si>
  <si>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</si>
  <si>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</si>
  <si>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</si>
  <si>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</si>
  <si>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</si>
  <si>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</si>
  <si>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</si>
  <si>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</si>
  <si>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</si>
  <si>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</si>
  <si>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</si>
  <si>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</si>
  <si>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</si>
  <si>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</si>
  <si>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</si>
  <si>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</si>
  <si>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</si>
  <si>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</si>
  <si>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</si>
  <si>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</si>
  <si>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</si>
  <si>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</si>
  <si>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</si>
  <si>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</si>
  <si>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</si>
  <si>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</si>
  <si>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</si>
  <si>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</si>
  <si>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</si>
  <si>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</si>
  <si>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</si>
  <si>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</si>
  <si>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</si>
  <si>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</si>
  <si>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</si>
  <si>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</si>
  <si>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</si>
  <si>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</si>
  <si>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</si>
  <si>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</si>
  <si>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</si>
  <si>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</si>
  <si>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</si>
  <si>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</si>
  <si>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</si>
  <si>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</si>
  <si>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</si>
  <si>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</si>
  <si>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</si>
  <si>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</si>
  <si>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</si>
  <si>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</si>
  <si>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</si>
  <si>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</si>
  <si>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</si>
  <si>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</si>
  <si>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</si>
  <si>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</si>
  <si>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</si>
  <si>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</si>
  <si>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</si>
  <si>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</si>
  <si>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</si>
  <si>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</si>
  <si>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</si>
  <si>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</si>
  <si>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</si>
  <si>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</si>
  <si>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</si>
  <si>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</si>
  <si>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</si>
  <si>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</si>
  <si>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</si>
  <si>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</si>
  <si>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</si>
  <si>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</si>
  <si>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</si>
  <si>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</si>
  <si>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</si>
  <si>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</si>
  <si>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</si>
  <si>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</si>
  <si>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</si>
  <si>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</si>
  <si>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</si>
  <si>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</si>
  <si>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</si>
  <si>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</si>
  <si>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</si>
  <si>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</si>
  <si>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</si>
  <si>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</si>
  <si>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</si>
  <si>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</si>
  <si>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</si>
  <si>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</si>
  <si>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</si>
  <si>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</si>
  <si>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</si>
  <si>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</si>
  <si>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</si>
  <si>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</si>
  <si>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</si>
  <si>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</si>
  <si>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</si>
  <si>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</si>
  <si>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</si>
  <si>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</si>
  <si>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</si>
  <si>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</si>
  <si>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</si>
  <si>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</si>
  <si>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</si>
  <si>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</si>
  <si>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</si>
  <si>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</si>
  <si>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</si>
  <si>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</si>
  <si>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</si>
  <si>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</si>
  <si>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</si>
  <si>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</si>
  <si>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</si>
  <si>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</si>
  <si>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</si>
  <si>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</si>
  <si>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</si>
  <si>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</si>
  <si>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</si>
  <si>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</si>
  <si>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</si>
  <si>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</si>
  <si>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</si>
  <si>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</si>
  <si>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</si>
  <si>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</si>
  <si>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</si>
  <si>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</si>
  <si>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</si>
  <si>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</si>
  <si>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</si>
  <si>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</si>
  <si>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</si>
  <si>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</si>
  <si>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</si>
  <si>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</si>
  <si>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</si>
  <si>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</si>
  <si>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</si>
  <si>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</si>
  <si>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</si>
  <si>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</si>
  <si>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</si>
  <si>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</si>
  <si>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</si>
  <si>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</si>
  <si>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</si>
  <si>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</si>
  <si>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</si>
  <si>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</si>
  <si>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</si>
  <si>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</si>
  <si>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</si>
  <si>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</si>
  <si>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</si>
  <si>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</si>
  <si>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</si>
  <si>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</si>
  <si>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</si>
  <si>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</si>
  <si>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</si>
  <si>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</si>
  <si>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</si>
  <si>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</si>
  <si>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</si>
  <si>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</si>
  <si>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</si>
  <si>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</si>
  <si>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</si>
  <si>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</si>
  <si>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</si>
  <si>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</si>
  <si>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</si>
  <si>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</si>
  <si>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</si>
  <si>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</si>
  <si>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</si>
  <si>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</si>
  <si>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</si>
  <si>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</si>
  <si>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</si>
  <si>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</si>
  <si>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</si>
  <si>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</si>
  <si>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</si>
  <si>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</si>
  <si>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</si>
  <si>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</si>
  <si>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</si>
  <si>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</si>
  <si>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</si>
  <si>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</si>
  <si>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</si>
  <si>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</si>
  <si>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</si>
  <si>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</si>
  <si>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</si>
  <si>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</si>
  <si>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</si>
  <si>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</si>
  <si>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</si>
  <si>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</si>
  <si>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</si>
  <si>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</si>
  <si>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</si>
  <si>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</si>
  <si>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</si>
  <si>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</si>
  <si>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</si>
  <si>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</si>
  <si>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</si>
  <si>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</si>
  <si>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</si>
  <si>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</si>
  <si>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</si>
  <si>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</si>
  <si>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</si>
  <si>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</si>
  <si>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</si>
  <si>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</si>
  <si>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</si>
  <si>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</si>
  <si>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</si>
  <si>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</si>
  <si>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</si>
  <si>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</si>
  <si>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</si>
  <si>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</si>
  <si>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</si>
  <si>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</si>
  <si>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</si>
  <si>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</si>
  <si>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</si>
  <si>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</si>
  <si>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</si>
  <si>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</si>
  <si>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</si>
  <si>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</si>
  <si>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</si>
  <si>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</si>
  <si>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</si>
  <si>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</si>
  <si>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</si>
  <si>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</si>
  <si>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</si>
  <si>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</si>
  <si>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</si>
  <si>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</si>
  <si>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</si>
  <si>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</si>
  <si>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</si>
  <si>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</si>
  <si>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</si>
  <si>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</si>
  <si>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</si>
  <si>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</si>
  <si>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</si>
  <si>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</si>
  <si>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</si>
  <si>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</si>
  <si>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</si>
  <si>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</si>
  <si>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</si>
  <si>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</si>
  <si>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</si>
  <si>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</si>
  <si>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</si>
  <si>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</si>
  <si>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</si>
  <si>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</si>
  <si>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</si>
  <si>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</si>
  <si>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</si>
  <si>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</si>
  <si>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</si>
  <si>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</si>
  <si>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</si>
  <si>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</si>
  <si>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</si>
  <si>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</si>
  <si>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</si>
  <si>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</si>
  <si>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</si>
  <si>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</si>
  <si>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</si>
  <si>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</si>
  <si>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</si>
  <si>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</si>
  <si>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</si>
  <si>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</si>
  <si>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</si>
  <si>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</si>
  <si>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</si>
  <si>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</si>
  <si>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</si>
  <si>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</si>
  <si>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</si>
  <si>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</si>
  <si>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</si>
  <si>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</si>
  <si>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</si>
  <si>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</si>
  <si>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</si>
  <si>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</si>
  <si>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</si>
  <si>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</si>
  <si>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</si>
  <si>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</si>
  <si>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</si>
  <si>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</si>
  <si>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</si>
  <si>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</si>
  <si>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</si>
  <si>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</si>
  <si>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</si>
  <si>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</si>
  <si>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</si>
  <si>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</si>
  <si>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</si>
  <si>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</si>
  <si>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</si>
  <si>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</si>
  <si>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</si>
  <si>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</si>
  <si>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</si>
  <si>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</si>
  <si>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</si>
  <si>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</si>
  <si>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</si>
  <si>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</si>
  <si>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</si>
  <si>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</si>
  <si>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</si>
  <si>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</si>
  <si>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</si>
  <si>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</si>
  <si>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</si>
  <si>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</si>
  <si>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</si>
  <si>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</si>
  <si>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</si>
  <si>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</si>
  <si>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</si>
  <si>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</si>
  <si>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</si>
  <si>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</si>
  <si>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</si>
  <si>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</si>
  <si>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</si>
  <si>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</si>
  <si>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</si>
  <si>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</si>
  <si>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</si>
  <si>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</si>
  <si>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</si>
  <si>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</si>
  <si>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</si>
  <si>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</si>
  <si>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</si>
  <si>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</si>
  <si>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</si>
  <si>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</si>
  <si>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</si>
  <si>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</si>
  <si>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</si>
  <si>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</si>
  <si>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</si>
  <si>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</si>
  <si>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</si>
  <si>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</si>
  <si>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</si>
  <si>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</si>
  <si>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</si>
  <si>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</si>
  <si>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</si>
  <si>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</si>
  <si>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</si>
  <si>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</si>
  <si>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</si>
  <si>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</si>
  <si>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</si>
  <si>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</si>
  <si>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</si>
  <si>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</si>
  <si>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</si>
  <si>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</si>
  <si>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</si>
  <si>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</si>
  <si>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</si>
  <si>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</si>
  <si>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</si>
  <si>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</si>
  <si>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</si>
  <si>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</si>
  <si>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</si>
  <si>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</si>
  <si>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</si>
  <si>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</si>
  <si>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</si>
  <si>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</si>
  <si>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</si>
  <si>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</si>
  <si>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</si>
  <si>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</si>
  <si>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</si>
  <si>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</si>
  <si>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</si>
  <si>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</si>
  <si>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</si>
  <si>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</si>
  <si>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</si>
  <si>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</si>
  <si>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</si>
  <si>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</si>
  <si>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</si>
  <si>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</si>
  <si>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</si>
  <si>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</si>
  <si>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</si>
  <si>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</si>
  <si>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</si>
  <si>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</si>
  <si>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</si>
  <si>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</si>
  <si>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</si>
  <si>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</si>
  <si>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</si>
  <si>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</si>
  <si>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</si>
  <si>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</si>
  <si>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</si>
  <si>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</si>
  <si>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</si>
  <si>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</si>
  <si>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</si>
  <si>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</si>
  <si>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</si>
  <si>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</si>
  <si>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</si>
  <si>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</si>
  <si>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</si>
  <si>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</si>
  <si>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</si>
  <si>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</si>
  <si>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</si>
  <si>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</si>
  <si>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</si>
  <si>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</si>
  <si>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</si>
  <si>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</si>
  <si>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</si>
  <si>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</si>
  <si>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</si>
  <si>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</si>
  <si>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</si>
  <si>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</si>
  <si>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</si>
  <si>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</si>
  <si>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</si>
  <si>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</si>
  <si>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</si>
  <si>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</si>
  <si>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</si>
  <si>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</si>
  <si>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</si>
  <si>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</si>
  <si>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</si>
  <si>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</si>
  <si>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</si>
  <si>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</si>
  <si>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</si>
  <si>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</si>
  <si>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</si>
  <si>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</si>
  <si>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</si>
  <si>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</si>
  <si>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</si>
  <si>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</si>
  <si>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</si>
  <si>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</si>
  <si>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</si>
  <si>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</si>
  <si>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</si>
  <si>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</si>
  <si>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</si>
  <si>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</si>
  <si>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</si>
  <si>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</si>
  <si>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</si>
  <si>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</si>
  <si>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</si>
  <si>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</si>
  <si>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</si>
  <si>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</si>
  <si>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</si>
  <si>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</si>
  <si>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</si>
  <si>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</si>
  <si>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</si>
  <si>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</si>
  <si>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</si>
  <si>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</si>
  <si>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</si>
  <si>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</si>
  <si>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</si>
  <si>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</si>
  <si>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</si>
  <si>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</si>
  <si>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</si>
  <si>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</si>
  <si>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</si>
  <si>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</si>
  <si>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</si>
  <si>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</si>
  <si>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</si>
  <si>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</si>
  <si>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</si>
  <si>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</si>
  <si>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</si>
  <si>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</si>
  <si>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</si>
  <si>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</si>
  <si>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</si>
  <si>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</si>
  <si>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</si>
  <si>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</si>
  <si>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</si>
  <si>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</si>
  <si>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</si>
  <si>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</si>
  <si>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</si>
  <si>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</si>
  <si>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</si>
  <si>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</si>
  <si>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</si>
  <si>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</si>
  <si>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</si>
  <si>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</si>
  <si>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</si>
  <si>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</si>
  <si>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</si>
  <si>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</si>
  <si>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</si>
  <si>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</si>
  <si>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</si>
  <si>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</si>
  <si>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</si>
  <si>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</si>
  <si>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</si>
  <si>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</si>
  <si>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</si>
  <si>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</si>
  <si>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</si>
  <si>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</si>
  <si>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</si>
  <si>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</si>
  <si>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</si>
  <si>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</si>
  <si>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</si>
  <si>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</si>
  <si>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</si>
  <si>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</si>
  <si>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</si>
  <si>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</si>
  <si>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</si>
  <si>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</si>
  <si>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</si>
  <si>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</si>
  <si>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</si>
  <si>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</si>
  <si>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</si>
  <si>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</si>
  <si>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</si>
  <si>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</si>
  <si>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</si>
  <si>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</si>
  <si>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</si>
  <si>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</si>
  <si>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</si>
  <si>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</si>
  <si>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</si>
  <si>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</si>
  <si>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</si>
  <si>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</si>
  <si>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</si>
  <si>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</si>
  <si>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</si>
  <si>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</si>
  <si>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</si>
  <si>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</si>
  <si>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</si>
  <si>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</si>
  <si>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</si>
  <si>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</si>
  <si>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</si>
  <si>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</si>
  <si>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</si>
  <si>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</si>
  <si>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</si>
  <si>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</si>
  <si>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</si>
  <si>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</si>
  <si>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</si>
  <si>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</si>
  <si>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</si>
  <si>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</si>
  <si>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</si>
  <si>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failed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</si>
  <si>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</si>
  <si>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</si>
  <si>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</si>
  <si>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</si>
  <si>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</si>
  <si>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</si>
  <si>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</si>
  <si>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</si>
  <si>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</si>
  <si>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</si>
  <si>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</si>
  <si>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</si>
  <si>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</si>
  <si>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</si>
  <si>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</si>
  <si>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</si>
  <si>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</si>
  <si>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</si>
  <si>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</si>
  <si>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</si>
  <si>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</si>
  <si>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</si>
  <si>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</si>
  <si>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</si>
  <si>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</si>
  <si>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</si>
  <si>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</si>
  <si>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</si>
  <si>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</si>
  <si>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</si>
  <si>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</si>
  <si>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</si>
  <si>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</si>
  <si>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</si>
  <si>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</si>
  <si>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</si>
  <si>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</si>
  <si>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</si>
  <si>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</si>
  <si>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</si>
  <si>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</si>
  <si>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</si>
  <si>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</si>
  <si>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</si>
  <si>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</si>
  <si>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</si>
  <si>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</si>
  <si>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</si>
  <si>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</si>
  <si>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</si>
  <si>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</si>
  <si>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</si>
  <si>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</si>
  <si>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</si>
  <si>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</si>
  <si>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</si>
  <si>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</si>
  <si>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</si>
  <si>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</si>
  <si>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</si>
  <si>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</si>
  <si>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</si>
  <si>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</si>
  <si>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</si>
  <si>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</si>
  <si>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</si>
  <si>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</si>
  <si>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</si>
  <si>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</si>
  <si>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</si>
  <si>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</si>
  <si>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</si>
  <si>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</si>
  <si>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</si>
  <si>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</si>
  <si>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</si>
  <si>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</si>
  <si>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</si>
  <si>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</si>
  <si>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</si>
  <si>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</si>
  <si>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</si>
  <si>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</si>
  <si>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</si>
  <si>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</si>
  <si>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</si>
  <si>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</si>
  <si>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</si>
  <si>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</si>
  <si>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</si>
  <si>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</si>
  <si>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</si>
  <si>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</si>
  <si>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</si>
  <si>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</si>
  <si>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</si>
  <si>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</si>
  <si>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</si>
  <si>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</si>
  <si>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</si>
  <si>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</si>
  <si>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</si>
  <si>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</si>
  <si>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</si>
  <si>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</si>
  <si>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</si>
  <si>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</si>
  <si>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</si>
  <si>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</si>
  <si>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</si>
  <si>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</si>
  <si>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</si>
  <si>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</si>
  <si>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</si>
  <si>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</si>
  <si>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</si>
  <si>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</si>
  <si>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</si>
  <si>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</si>
  <si>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</si>
  <si>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</si>
  <si>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</si>
  <si>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</si>
  <si>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</si>
  <si>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</si>
  <si>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</si>
  <si>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</si>
  <si>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</si>
  <si>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</si>
  <si>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</si>
  <si>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</si>
  <si>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</si>
  <si>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</si>
  <si>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</si>
  <si>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</si>
  <si>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</si>
  <si>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</si>
  <si>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</si>
  <si>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</si>
  <si>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</si>
  <si>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</si>
  <si>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</si>
  <si>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</si>
  <si>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</si>
  <si>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</si>
  <si>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</si>
  <si>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</si>
  <si>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</si>
  <si>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</si>
  <si>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</si>
  <si>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</si>
  <si>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</si>
  <si>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</si>
  <si>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</si>
  <si>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</si>
  <si>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</si>
  <si>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</si>
  <si>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</si>
  <si>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</si>
  <si>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</si>
  <si>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</si>
  <si>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</si>
  <si>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</si>
  <si>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</si>
  <si>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</si>
  <si>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</si>
  <si>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</si>
  <si>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</si>
  <si>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</si>
  <si>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</si>
  <si>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</si>
  <si>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</si>
  <si>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</si>
  <si>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</si>
  <si>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</si>
  <si>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</si>
  <si>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</si>
  <si>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</si>
  <si>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</si>
  <si>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</si>
  <si>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</si>
  <si>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</si>
  <si>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</si>
  <si>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</si>
  <si>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</si>
  <si>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</si>
  <si>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</si>
  <si>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</si>
  <si>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</si>
  <si>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</si>
  <si>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</si>
  <si>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</si>
  <si>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</si>
  <si>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</si>
  <si>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</si>
  <si>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</si>
  <si>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</si>
  <si>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</si>
  <si>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</si>
  <si>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</si>
  <si>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</si>
  <si>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</si>
  <si>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</si>
  <si>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</si>
  <si>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</si>
  <si>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</si>
  <si>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</si>
  <si>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</si>
  <si>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</si>
  <si>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</si>
  <si>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</si>
  <si>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</si>
  <si>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</si>
  <si>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</si>
  <si>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</si>
  <si>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</si>
  <si>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</si>
  <si>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</si>
  <si>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</si>
  <si>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</si>
  <si>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</si>
  <si>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</si>
  <si>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</si>
  <si>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</si>
  <si>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</si>
  <si>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</si>
  <si>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</si>
  <si>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</si>
  <si>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</si>
  <si>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</si>
  <si>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</si>
  <si>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</si>
  <si>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</si>
  <si>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</si>
  <si>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</si>
  <si>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</si>
  <si>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</si>
  <si>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</si>
  <si>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</si>
  <si>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</si>
  <si>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</si>
  <si>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</si>
  <si>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</si>
  <si>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</si>
  <si>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</si>
  <si>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</si>
  <si>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</si>
  <si>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</si>
  <si>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</si>
  <si>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</si>
  <si>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</si>
  <si>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</si>
  <si>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</si>
  <si>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</si>
  <si>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</si>
  <si>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</si>
  <si>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</si>
  <si>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</si>
  <si>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</si>
  <si>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</si>
  <si>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</si>
  <si>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</si>
  <si>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</si>
  <si>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</si>
  <si>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</si>
  <si>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</si>
  <si>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</si>
  <si>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</si>
  <si>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</si>
  <si>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</si>
  <si>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</si>
  <si>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</si>
  <si>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</si>
  <si>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</si>
  <si>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</si>
  <si>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</si>
  <si>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</si>
  <si>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</si>
  <si>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ORD-2025-10171</t>
  </si>
  <si>
    <t>CUST-3734</t>
  </si>
  <si>
    <t>Eco Copiers 102</t>
  </si>
  <si>
    <t>ORD-2025-10225</t>
  </si>
  <si>
    <t>CUST-9871</t>
  </si>
  <si>
    <t>Classic Furnishings 109</t>
  </si>
  <si>
    <t>ORD-2025-10315</t>
  </si>
  <si>
    <t>CUST-1945</t>
  </si>
  <si>
    <t>Elite Labels 544</t>
  </si>
  <si>
    <t>ORD-2025-10336</t>
  </si>
  <si>
    <t>CUST-3621</t>
  </si>
  <si>
    <t>Prime Paper 559</t>
  </si>
  <si>
    <t>ORD-2025-10374</t>
  </si>
  <si>
    <t>CUST-8566</t>
  </si>
  <si>
    <t>Prime Storage 951</t>
  </si>
  <si>
    <t>ORD-2025-10572</t>
  </si>
  <si>
    <t>CUST-3425</t>
  </si>
  <si>
    <t>Prime Phones 895</t>
  </si>
  <si>
    <t>Row Labels</t>
  </si>
  <si>
    <t>Grand Total</t>
  </si>
  <si>
    <t>Sum of calculated_sales</t>
  </si>
  <si>
    <t>Sum of calculated_profit</t>
  </si>
  <si>
    <t>(Multiple Items)</t>
  </si>
  <si>
    <t>Count of order_id</t>
  </si>
  <si>
    <t>Average of profit_margin</t>
  </si>
  <si>
    <t>Column Labels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</si>
  <si>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</si>
  <si>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</si>
  <si>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</si>
  <si>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</si>
  <si>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</si>
  <si>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</si>
  <si>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</si>
  <si>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</si>
  <si>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</si>
  <si>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</si>
  <si>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</si>
  <si>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</si>
  <si>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Pivot</t>
  </si>
  <si>
    <t>Rows</t>
  </si>
  <si>
    <t>Values</t>
  </si>
  <si>
    <t>1. Sales &amp; Profit by Region</t>
  </si>
  <si>
    <t>Region</t>
  </si>
  <si>
    <r>
      <t>Sum</t>
    </r>
    <r>
      <rPr>
        <sz val="11"/>
        <color theme="1"/>
        <rFont val="Calibri"/>
        <family val="2"/>
        <scheme val="minor"/>
      </rPr>
      <t xml:space="preserve"> of Calculated Sales, </t>
    </r>
    <r>
      <rPr>
        <b/>
        <sz val="11"/>
        <color theme="1"/>
        <rFont val="Calibri"/>
        <family val="2"/>
        <scheme val="minor"/>
      </rPr>
      <t>Sum</t>
    </r>
    <r>
      <rPr>
        <sz val="11"/>
        <color theme="1"/>
        <rFont val="Calibri"/>
        <family val="2"/>
        <scheme val="minor"/>
      </rPr>
      <t xml:space="preserve"> of Calculated Profit</t>
    </r>
  </si>
  <si>
    <t>2. Sales &amp; Profit by Category &amp; Sub-category</t>
  </si>
  <si>
    <t>Category → Sub-category</t>
  </si>
  <si>
    <t>3. Order Count by Ship Mode</t>
  </si>
  <si>
    <t>Ship Mode</t>
  </si>
  <si>
    <r>
      <t>Count</t>
    </r>
    <r>
      <rPr>
        <sz val="11"/>
        <color theme="1"/>
        <rFont val="Calibri"/>
        <family val="2"/>
        <scheme val="minor"/>
      </rPr>
      <t xml:space="preserve"> of Order ID</t>
    </r>
  </si>
  <si>
    <t>4. Profit Margin by Customer Segment</t>
  </si>
  <si>
    <t>Segment</t>
  </si>
  <si>
    <r>
      <t>Average</t>
    </r>
    <r>
      <rPr>
        <sz val="11"/>
        <color theme="1"/>
        <rFont val="Calibri"/>
        <family val="2"/>
        <scheme val="minor"/>
      </rPr>
      <t xml:space="preserve"> of Profit Margin</t>
    </r>
  </si>
  <si>
    <t>5. Refunded/Cancelled/Failed Orders by Region</t>
  </si>
  <si>
    <t>6. Monthly Sales Trend</t>
  </si>
  <si>
    <t>Order Year → Order Month</t>
  </si>
  <si>
    <r>
      <t>Sum</t>
    </r>
    <r>
      <rPr>
        <sz val="11"/>
        <color theme="1"/>
        <rFont val="Calibri"/>
        <family val="2"/>
        <scheme val="minor"/>
      </rPr>
      <t xml:space="preserve"> of Calculated Sales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</si>
</sst>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0" fillId="0" borderId="0" xfId="0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0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yushi" refreshedDate="46199.751542245373" createdVersion="8" refreshedVersion="8" minRefreshableVersion="3" recordCount="912" xr:uid="{3A3BC94D-B675-489F-8794-ECC6A7F53ADA}">
  <cacheSource type="worksheet">
    <worksheetSource ref="A1:AC913" sheet="Data"/>
  </cacheSource>
  <cacheFields count="29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5-12-11T00:00:00"/>
    </cacheField>
    <cacheField name="order_month" numFmtId="14">
      <sharedItems count="12">
        <s v="July"/>
        <s v="August"/>
        <s v="June"/>
        <s v="November"/>
        <s v="May"/>
        <s v="April"/>
        <s v="February"/>
        <s v="December"/>
        <s v="January"/>
        <s v="September"/>
        <s v="October"/>
        <s v="March"/>
      </sharedItems>
    </cacheField>
    <cacheField name="order_year" numFmtId="0">
      <sharedItems containsSemiMixedTypes="0" containsString="0" containsNumber="1" containsInteger="1" minValue="2024" maxValue="2025" count="2">
        <n v="2024"/>
        <n v="2025"/>
      </sharedItems>
    </cacheField>
    <cacheField name="ship_date" numFmtId="14">
      <sharedItems containsSemiMixedTypes="0" containsNonDate="0" containsDate="1" containsString="0" minDate="2024-01-02T00:00:00" maxDate="2025-12-11T00:00:00"/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Consumer"/>
        <s v="Small Business"/>
        <s v="Corporate"/>
        <s v="Home Office"/>
      </sharedItems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SemiMixedTypes="0" containsString="0" containsNumber="1" minValue="-0.24" maxValue="0.85"/>
    </cacheField>
    <cacheField name="sales" numFmtId="0">
      <sharedItems containsSemiMixedTypes="0" containsString="0" containsNumber="1" minValue="217.48" maxValue="36782.269999999997"/>
    </cacheField>
    <cacheField name="calculated_sales" numFmtId="0">
      <sharedItems containsSemiMixedTypes="0" containsString="0" containsNumber="1" minValue="36.447000000000003" maxValue="36782.271000000008"/>
    </cacheField>
    <cacheField name="cost" numFmtId="0">
      <sharedItems containsSemiMixedTypes="0" containsString="0" containsNumber="1" minValue="119.77" maxValue="30820.84"/>
    </cacheField>
    <cacheField name="profit_margin" numFmtId="10">
      <sharedItems containsString="0" containsBlank="1" containsNumber="1" minValue="-4.5764791949555343" maxValue="0.58704683753946907"/>
    </cacheField>
    <cacheField name="profit" numFmtId="0">
      <sharedItems containsSemiMixedTypes="0" containsString="0" containsNumber="1" minValue="42.35" maxValue="15226"/>
    </cacheField>
    <cacheField name="calculated_profit" numFmtId="0">
      <sharedItems containsString="0" containsBlank="1" containsNumber="1" minValue="-23452.5635" maxValue="15225.999000000003"/>
    </cacheField>
    <cacheField name="payment_status" numFmtId="0">
      <sharedItems count="4">
        <s v="Paid"/>
        <s v="Refunded"/>
        <s v="Pending"/>
        <s v="Failed"/>
      </sharedItems>
    </cacheField>
    <cacheField name="order_status" numFmtId="0">
      <sharedItems count="3">
        <s v="Completed"/>
        <s v="Cancelled"/>
        <s v="Returned"/>
      </sharedItems>
    </cacheField>
    <cacheField name="shipping_delay_days" numFmtId="0">
      <sharedItems containsSemiMixedTypes="0" containsString="0" containsNumber="1" containsInteger="1" minValue="-323" maxValue="331"/>
    </cacheField>
    <cacheField name="data_quality_flag" numFmtId="14">
      <sharedItems/>
    </cacheField>
    <cacheField name="duplicate_flag" numFmtId="14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001"/>
    <d v="2024-07-21T00:00:00"/>
    <x v="0"/>
    <x v="0"/>
    <d v="2024-07-27T00:00:00"/>
    <s v="CUST-4655"/>
    <s v="Karan Malhotra"/>
    <x v="0"/>
    <x v="0"/>
    <s v="Rajasthan"/>
    <s v="Jaipur"/>
    <x v="0"/>
    <x v="0"/>
    <s v="Pro Paper 122"/>
    <x v="0"/>
    <n v="8"/>
    <n v="2976.45"/>
    <n v="0.2"/>
    <n v="19049.28"/>
    <n v="19049.28"/>
    <n v="15841.89"/>
    <n v="0.16837329284886357"/>
    <n v="3207.39"/>
    <n v="3207.3899999999994"/>
    <x v="0"/>
    <x v="0"/>
    <n v="6"/>
    <s v="Clean"/>
    <m/>
  </r>
  <r>
    <s v="ORD-2024-10002"/>
    <d v="2024-08-31T00:00:00"/>
    <x v="1"/>
    <x v="0"/>
    <d v="2024-05-09T00:00:00"/>
    <s v="CUST-2054"/>
    <s v="Mira Das"/>
    <x v="1"/>
    <x v="1"/>
    <s v="Odisha"/>
    <s v="Bhubaneswar"/>
    <x v="1"/>
    <x v="1"/>
    <s v="Pro Tables 258"/>
    <x v="1"/>
    <n v="3"/>
    <n v="2437.5"/>
    <n v="0"/>
    <n v="7312.5"/>
    <n v="7312.5"/>
    <n v="4904.7299999999996"/>
    <n v="0.32926769230769237"/>
    <n v="2407.77"/>
    <n v="2407.7700000000004"/>
    <x v="0"/>
    <x v="0"/>
    <n v="-114"/>
    <s v="Invalid"/>
    <m/>
  </r>
  <r>
    <s v="ORD-2024-10003"/>
    <d v="2024-06-08T00:00:00"/>
    <x v="2"/>
    <x v="0"/>
    <d v="2024-06-15T00:00:00"/>
    <s v="CUST-6843"/>
    <s v="Isha Nair"/>
    <x v="0"/>
    <x v="1"/>
    <s v="Odisha"/>
    <s v="Bhubaneswar"/>
    <x v="0"/>
    <x v="2"/>
    <s v="Elite Art 525"/>
    <x v="2"/>
    <n v="4"/>
    <n v="1065.43"/>
    <n v="0.55000000000000004"/>
    <n v="4261.72"/>
    <n v="1917.7739999999999"/>
    <n v="2465.69"/>
    <n v="-0.28570415492127865"/>
    <n v="1796.03"/>
    <n v="-547.91600000000017"/>
    <x v="0"/>
    <x v="0"/>
    <n v="7"/>
    <s v="Clean"/>
    <m/>
  </r>
  <r>
    <s v="ORD-2024-10004"/>
    <d v="2024-11-28T00:00:00"/>
    <x v="3"/>
    <x v="0"/>
    <d v="2024-11-29T00:00:00"/>
    <s v="CUST-3722"/>
    <s v="Arjun Bose"/>
    <x v="1"/>
    <x v="2"/>
    <s v="Telangana"/>
    <s v="Hyderabad"/>
    <x v="1"/>
    <x v="3"/>
    <s v="Smart Furnishings 294"/>
    <x v="3"/>
    <n v="6"/>
    <n v="1848.43"/>
    <n v="0.25"/>
    <n v="8317.93"/>
    <n v="8317.9349999999995"/>
    <n v="6796.77"/>
    <n v="0.18287772145370204"/>
    <n v="1521.16"/>
    <n v="1521.1649999999991"/>
    <x v="0"/>
    <x v="0"/>
    <n v="1"/>
    <s v="Clean"/>
    <m/>
  </r>
  <r>
    <s v="ORD-2025-10005"/>
    <d v="2025-08-29T00:00:00"/>
    <x v="1"/>
    <x v="1"/>
    <d v="2025-01-09T00:00:00"/>
    <s v="CUST-8130"/>
    <s v="Ananya Rao"/>
    <x v="1"/>
    <x v="3"/>
    <s v="Maharashtra"/>
    <s v="Mumbai"/>
    <x v="1"/>
    <x v="4"/>
    <s v="Elite Chairs 543"/>
    <x v="2"/>
    <n v="7"/>
    <n v="2973.76"/>
    <n v="0"/>
    <n v="20816.32"/>
    <n v="20816.32"/>
    <n v="17705.37"/>
    <n v="0.14944764492475138"/>
    <n v="3110.95"/>
    <n v="3110.9500000000007"/>
    <x v="0"/>
    <x v="1"/>
    <n v="-232"/>
    <s v="Invalid"/>
    <m/>
  </r>
  <r>
    <s v="ORD-2024-10006"/>
    <d v="2024-05-24T00:00:00"/>
    <x v="4"/>
    <x v="0"/>
    <d v="2024-05-28T00:00:00"/>
    <s v="CUST-6056"/>
    <s v="Vikram Iyer"/>
    <x v="1"/>
    <x v="3"/>
    <s v="Madhya Pradesh"/>
    <s v="Indore"/>
    <x v="2"/>
    <x v="5"/>
    <s v="Pro Accessories 821"/>
    <x v="1"/>
    <n v="3"/>
    <n v="1053.1099999999999"/>
    <n v="0.2"/>
    <n v="2527.46"/>
    <n v="2527.4639999999999"/>
    <n v="1533.58"/>
    <n v="0.39323369195367375"/>
    <n v="993.88"/>
    <n v="993.88400000000001"/>
    <x v="0"/>
    <x v="0"/>
    <n v="4"/>
    <s v="Clean"/>
    <m/>
  </r>
  <r>
    <s v="ORD-2025-10007"/>
    <d v="2025-04-10T00:00:00"/>
    <x v="5"/>
    <x v="1"/>
    <d v="2025-04-16T00:00:00"/>
    <s v="CUST-3656"/>
    <s v="Neha Gupta"/>
    <x v="0"/>
    <x v="1"/>
    <s v="Odisha"/>
    <s v="Bhubaneswar"/>
    <x v="2"/>
    <x v="6"/>
    <s v="Eco Copiers 790"/>
    <x v="3"/>
    <n v="4"/>
    <n v="1719.87"/>
    <n v="0.15"/>
    <n v="5847.56"/>
    <n v="5847.5579999999991"/>
    <n v="4727.25"/>
    <n v="0.19158561573908275"/>
    <n v="1120.31"/>
    <n v="1120.3079999999991"/>
    <x v="0"/>
    <x v="0"/>
    <n v="6"/>
    <s v="Clean"/>
    <m/>
  </r>
  <r>
    <s v="ORD-2025-10008"/>
    <d v="2025-02-23T00:00:00"/>
    <x v="6"/>
    <x v="1"/>
    <d v="2025-02-26T00:00:00"/>
    <s v="CUST-4683"/>
    <s v="Isha Nair"/>
    <x v="1"/>
    <x v="2"/>
    <s v="Andhra Pradesh"/>
    <s v="Vijayawada"/>
    <x v="0"/>
    <x v="2"/>
    <s v="Eco Art 848"/>
    <x v="2"/>
    <n v="1"/>
    <n v="2980.71"/>
    <n v="0"/>
    <n v="2980.71"/>
    <n v="2980.71"/>
    <n v="2357.2199999999998"/>
    <n v="0.20917499521925992"/>
    <n v="623.49"/>
    <n v="623.49000000000024"/>
    <x v="0"/>
    <x v="0"/>
    <n v="3"/>
    <s v="Clean"/>
    <m/>
  </r>
  <r>
    <s v="ORD-2024-10009"/>
    <d v="2024-11-05T00:00:00"/>
    <x v="3"/>
    <x v="0"/>
    <d v="2024-11-10T00:00:00"/>
    <s v="CUST-2598"/>
    <s v="Aditi Sen"/>
    <x v="2"/>
    <x v="2"/>
    <s v="Telangana"/>
    <s v="Hyderabad"/>
    <x v="0"/>
    <x v="7"/>
    <s v="Classic Labels 815"/>
    <x v="2"/>
    <n v="8"/>
    <n v="3134.2"/>
    <n v="0"/>
    <n v="25073.599999999999"/>
    <n v="25073.599999999999"/>
    <n v="17347.23"/>
    <n v="0.30814761342607361"/>
    <n v="7726.37"/>
    <n v="7726.369999999999"/>
    <x v="0"/>
    <x v="0"/>
    <n v="5"/>
    <s v="Clean"/>
    <m/>
  </r>
  <r>
    <s v="ORD-2025-10010"/>
    <d v="2025-07-09T00:00:00"/>
    <x v="0"/>
    <x v="1"/>
    <d v="2025-09-12T00:00:00"/>
    <s v="CUST-2483"/>
    <s v="Mira Das"/>
    <x v="3"/>
    <x v="2"/>
    <s v="Telangana"/>
    <s v="Hyderabad"/>
    <x v="0"/>
    <x v="0"/>
    <s v="Pro Paper 622"/>
    <x v="0"/>
    <n v="9"/>
    <n v="852.04"/>
    <n v="0.2"/>
    <n v="6134.69"/>
    <n v="6134.6880000000001"/>
    <n v="3800.19"/>
    <n v="0.38054062407085737"/>
    <n v="2334.5"/>
    <n v="2334.498"/>
    <x v="0"/>
    <x v="0"/>
    <n v="65"/>
    <s v="Clean"/>
    <m/>
  </r>
  <r>
    <s v="ORD-2025-10011"/>
    <d v="2025-05-20T00:00:00"/>
    <x v="4"/>
    <x v="1"/>
    <d v="2025-05-20T00:00:00"/>
    <s v="CUST-8092"/>
    <s v="Ananya Rao"/>
    <x v="2"/>
    <x v="1"/>
    <s v="West Bengal"/>
    <s v="Kolkata"/>
    <x v="0"/>
    <x v="7"/>
    <s v="Prime Labels 644"/>
    <x v="0"/>
    <n v="3"/>
    <n v="3534.83"/>
    <n v="0.05"/>
    <n v="10074.27"/>
    <n v="10074.2655"/>
    <n v="6048.27"/>
    <n v="0.39963166545491574"/>
    <n v="4026"/>
    <n v="4025.9954999999991"/>
    <x v="1"/>
    <x v="2"/>
    <n v="0"/>
    <s v="Clean"/>
    <m/>
  </r>
  <r>
    <s v="ORD-2024-10012"/>
    <d v="2024-07-22T00:00:00"/>
    <x v="0"/>
    <x v="0"/>
    <d v="2024-07-23T00:00:00"/>
    <s v="CUST-6528"/>
    <s v="Vikram Iyer"/>
    <x v="1"/>
    <x v="1"/>
    <s v="Odisha"/>
    <s v="Bhubaneswar"/>
    <x v="2"/>
    <x v="5"/>
    <s v="Smart Accessories 603"/>
    <x v="1"/>
    <n v="6"/>
    <n v="2005.95"/>
    <n v="0.2"/>
    <n v="9628.56"/>
    <n v="9628.5600000000013"/>
    <n v="8038.59"/>
    <n v="0.16513061143099289"/>
    <n v="1589.97"/>
    <n v="1589.9700000000012"/>
    <x v="0"/>
    <x v="0"/>
    <n v="1"/>
    <s v="Clean"/>
    <m/>
  </r>
  <r>
    <s v="ORD-2024-10013"/>
    <d v="2024-12-20T00:00:00"/>
    <x v="7"/>
    <x v="0"/>
    <d v="2024-12-21T00:00:00"/>
    <s v="CUST-2648"/>
    <s v="Ananya Rao"/>
    <x v="2"/>
    <x v="3"/>
    <s v="Rajasthan"/>
    <s v="Udaipur"/>
    <x v="0"/>
    <x v="0"/>
    <s v="Pro Paper 481"/>
    <x v="2"/>
    <n v="1"/>
    <n v="702.14"/>
    <n v="0.15"/>
    <n v="596.82000000000005"/>
    <n v="596.81899999999996"/>
    <n v="380.25"/>
    <n v="0.36287216057129545"/>
    <n v="216.57"/>
    <n v="216.56899999999996"/>
    <x v="2"/>
    <x v="2"/>
    <n v="1"/>
    <s v="Clean"/>
    <m/>
  </r>
  <r>
    <s v="ORD-2025-10014"/>
    <d v="2025-12-10T00:00:00"/>
    <x v="7"/>
    <x v="1"/>
    <d v="2025-10-16T00:00:00"/>
    <s v="CUST-7482"/>
    <s v="Priya Menon"/>
    <x v="1"/>
    <x v="3"/>
    <s v="Maharashtra"/>
    <s v="Mumbai"/>
    <x v="0"/>
    <x v="2"/>
    <s v="Smart Art 795"/>
    <x v="0"/>
    <n v="7"/>
    <n v="3964.72"/>
    <n v="0.05"/>
    <n v="26365.39"/>
    <n v="26365.387999999995"/>
    <n v="22306.240000000002"/>
    <n v="0.15395745361304733"/>
    <n v="4059.15"/>
    <n v="4059.1479999999938"/>
    <x v="0"/>
    <x v="0"/>
    <n v="-55"/>
    <s v="Invalid"/>
    <m/>
  </r>
  <r>
    <s v="ORD-2024-10015"/>
    <d v="2024-12-27T00:00:00"/>
    <x v="7"/>
    <x v="0"/>
    <d v="2024-12-28T00:00:00"/>
    <s v="CUST-4912"/>
    <s v="Rahul Verma"/>
    <x v="0"/>
    <x v="3"/>
    <s v="Rajasthan"/>
    <s v="Udaipur"/>
    <x v="2"/>
    <x v="6"/>
    <s v="Max Copiers 983"/>
    <x v="3"/>
    <n v="2"/>
    <n v="2737.83"/>
    <n v="0.25"/>
    <n v="4106.74"/>
    <n v="4106.7449999999999"/>
    <n v="2666.3"/>
    <n v="0.35075102057712365"/>
    <n v="1440.44"/>
    <n v="1440.4449999999997"/>
    <x v="0"/>
    <x v="0"/>
    <n v="1"/>
    <s v="Clean"/>
    <m/>
  </r>
  <r>
    <s v="ORD-2024-10016"/>
    <d v="2024-07-09T00:00:00"/>
    <x v="0"/>
    <x v="0"/>
    <d v="2024-09-07T00:00:00"/>
    <s v="CUST-7656"/>
    <s v="Karan Malhotra"/>
    <x v="1"/>
    <x v="0"/>
    <s v="Punjab"/>
    <s v="Ludhiana"/>
    <x v="0"/>
    <x v="8"/>
    <s v="Classic Storage 198"/>
    <x v="0"/>
    <n v="6"/>
    <n v="3965.76"/>
    <n v="0"/>
    <n v="23794.560000000001"/>
    <n v="23794.560000000001"/>
    <n v="15698.47"/>
    <n v="0.34024962008122872"/>
    <n v="8096.09"/>
    <n v="8096.090000000002"/>
    <x v="0"/>
    <x v="0"/>
    <n v="60"/>
    <s v="Clean"/>
    <m/>
  </r>
  <r>
    <s v="ORD-2024-10017"/>
    <d v="2024-05-08T00:00:00"/>
    <x v="4"/>
    <x v="0"/>
    <d v="2024-05-15T00:00:00"/>
    <s v="CUST-6214"/>
    <s v="Aarav Sharma"/>
    <x v="0"/>
    <x v="2"/>
    <s v="Telangana"/>
    <s v="Hyderabad"/>
    <x v="0"/>
    <x v="2"/>
    <s v="Basic Art 204"/>
    <x v="2"/>
    <n v="4"/>
    <n v="3323.51"/>
    <n v="0.25"/>
    <n v="9970.5300000000007"/>
    <n v="9970.5300000000007"/>
    <n v="5668.17"/>
    <n v="0.43150765305354882"/>
    <n v="4302.3599999999997"/>
    <n v="4302.3600000000006"/>
    <x v="0"/>
    <x v="0"/>
    <n v="7"/>
    <s v="Clean"/>
    <m/>
  </r>
  <r>
    <s v="ORD-2024-10018"/>
    <d v="2024-01-07T00:00:00"/>
    <x v="8"/>
    <x v="0"/>
    <d v="2024-08-01T00:00:00"/>
    <s v="CUST-1626"/>
    <s v="Sneha Kapoor"/>
    <x v="1"/>
    <x v="0"/>
    <s v="Rajasthan"/>
    <s v="Jaipur"/>
    <x v="1"/>
    <x v="3"/>
    <s v="Basic Furnishings 434"/>
    <x v="1"/>
    <n v="5"/>
    <n v="1526.78"/>
    <n v="0"/>
    <n v="7633.9"/>
    <n v="7633.9"/>
    <n v="4706.91"/>
    <n v="0.38342000812166782"/>
    <n v="2926.99"/>
    <n v="2926.99"/>
    <x v="0"/>
    <x v="0"/>
    <n v="207"/>
    <s v="Clean"/>
    <m/>
  </r>
  <r>
    <s v="ORD-2025-10019"/>
    <d v="2025-07-15T00:00:00"/>
    <x v="0"/>
    <x v="1"/>
    <d v="2025-07-17T00:00:00"/>
    <s v="CUST-2110"/>
    <s v="Aarav Sharma"/>
    <x v="3"/>
    <x v="0"/>
    <s v="Uttar Pradesh"/>
    <s v="Noida"/>
    <x v="2"/>
    <x v="6"/>
    <s v="Eco Copiers 755"/>
    <x v="2"/>
    <n v="2"/>
    <n v="1997.99"/>
    <n v="0"/>
    <n v="3995.98"/>
    <n v="3995.98"/>
    <n v="2633.2"/>
    <n v="0.34103774293164635"/>
    <n v="1362.78"/>
    <n v="1362.7800000000002"/>
    <x v="1"/>
    <x v="1"/>
    <n v="2"/>
    <s v="Clean"/>
    <m/>
  </r>
  <r>
    <s v="ORD-2024-10020"/>
    <d v="2024-07-27T00:00:00"/>
    <x v="0"/>
    <x v="0"/>
    <d v="2024-07-31T00:00:00"/>
    <s v="CUST-3186"/>
    <s v="Rohan Mehta"/>
    <x v="3"/>
    <x v="3"/>
    <s v="Madhya Pradesh"/>
    <s v="Indore"/>
    <x v="0"/>
    <x v="8"/>
    <s v="Prime Storage 121"/>
    <x v="0"/>
    <n v="3"/>
    <n v="3887.94"/>
    <n v="-0.19"/>
    <n v="9331.06"/>
    <n v="13879.9458"/>
    <n v="7529.31"/>
    <m/>
    <n v="1801.75"/>
    <m/>
    <x v="0"/>
    <x v="0"/>
    <n v="4"/>
    <s v="Invalid"/>
    <m/>
  </r>
  <r>
    <s v="ORD-2025-10021"/>
    <d v="2025-01-21T00:00:00"/>
    <x v="8"/>
    <x v="1"/>
    <d v="2025-01-23T00:00:00"/>
    <s v="CUST-3190"/>
    <s v="Aditi Sen"/>
    <x v="3"/>
    <x v="1"/>
    <s v="Bihar"/>
    <s v="Patna"/>
    <x v="2"/>
    <x v="6"/>
    <s v="Elite Copiers 233"/>
    <x v="2"/>
    <n v="5"/>
    <n v="4373.0600000000004"/>
    <n v="0.25"/>
    <n v="16398.98"/>
    <n v="16398.975000000002"/>
    <n v="9556.52"/>
    <n v="0.4172489439126531"/>
    <n v="6842.46"/>
    <n v="6842.4550000000017"/>
    <x v="0"/>
    <x v="0"/>
    <n v="2"/>
    <s v="Clean"/>
    <m/>
  </r>
  <r>
    <s v="ORD-2025-10022"/>
    <d v="2025-01-24T00:00:00"/>
    <x v="8"/>
    <x v="1"/>
    <d v="2025-01-30T00:00:00"/>
    <s v="CUST-3036"/>
    <s v="Sneha Kapoor"/>
    <x v="0"/>
    <x v="3"/>
    <s v="Madhya Pradesh"/>
    <s v="Indore"/>
    <x v="1"/>
    <x v="3"/>
    <s v="Eco Furnishings 897"/>
    <x v="0"/>
    <n v="4"/>
    <n v="697.69"/>
    <n v="-0.23"/>
    <n v="2790.76"/>
    <n v="3432.6348000000003"/>
    <n v="2037.71"/>
    <m/>
    <n v="753.05"/>
    <m/>
    <x v="0"/>
    <x v="0"/>
    <n v="6"/>
    <s v="Invalid"/>
    <m/>
  </r>
  <r>
    <s v="ORD-2025-10023"/>
    <d v="2025-01-19T00:00:00"/>
    <x v="8"/>
    <x v="1"/>
    <d v="2025-01-21T00:00:00"/>
    <s v="CUST-3588"/>
    <s v="Mira Das"/>
    <x v="0"/>
    <x v="2"/>
    <s v="Telangana"/>
    <s v="Hyderabad"/>
    <x v="0"/>
    <x v="9"/>
    <s v="Max Binders 355"/>
    <x v="3"/>
    <n v="8"/>
    <n v="1219.3399999999999"/>
    <n v="0.15"/>
    <n v="8291.51"/>
    <n v="8291.5119999999988"/>
    <n v="6685.03"/>
    <n v="0.19375018693816029"/>
    <n v="1606.48"/>
    <n v="1606.4819999999991"/>
    <x v="3"/>
    <x v="2"/>
    <n v="2"/>
    <s v="Clean"/>
    <m/>
  </r>
  <r>
    <s v="ORD-2025-10024"/>
    <d v="2025-08-29T00:00:00"/>
    <x v="1"/>
    <x v="1"/>
    <d v="2025-08-31T00:00:00"/>
    <s v="CUST-7098"/>
    <s v="Rahul Verma"/>
    <x v="3"/>
    <x v="1"/>
    <s v="Bihar"/>
    <s v="Patna"/>
    <x v="1"/>
    <x v="10"/>
    <s v="Pro Bookcases 394"/>
    <x v="2"/>
    <n v="4"/>
    <n v="1958.01"/>
    <n v="0.2"/>
    <n v="6265.63"/>
    <n v="6265.6320000000005"/>
    <n v="4321.8599999999997"/>
    <n v="0.31022760353624351"/>
    <n v="1943.77"/>
    <n v="1943.7720000000008"/>
    <x v="0"/>
    <x v="0"/>
    <n v="2"/>
    <s v="Clean"/>
    <m/>
  </r>
  <r>
    <s v="ORD-2024-10025"/>
    <d v="2024-04-03T00:00:00"/>
    <x v="5"/>
    <x v="0"/>
    <d v="2024-03-01T00:00:00"/>
    <s v="CUST-1747"/>
    <s v="Diya Patel"/>
    <x v="0"/>
    <x v="0"/>
    <s v="Punjab"/>
    <s v="Ludhiana"/>
    <x v="0"/>
    <x v="2"/>
    <s v="Max Art 215"/>
    <x v="3"/>
    <n v="4"/>
    <n v="4492.9399999999996"/>
    <n v="0.25"/>
    <n v="13478.82"/>
    <n v="13478.82"/>
    <n v="10937.35"/>
    <n v="0.18855285551702591"/>
    <n v="2541.4699999999998"/>
    <n v="2541.4699999999993"/>
    <x v="2"/>
    <x v="1"/>
    <n v="-33"/>
    <s v="Invalid"/>
    <m/>
  </r>
  <r>
    <s v="ORD-2024-10026"/>
    <d v="2024-11-10T00:00:00"/>
    <x v="3"/>
    <x v="0"/>
    <d v="2024-10-19T00:00:00"/>
    <s v="CUST-1731"/>
    <s v="Arjun Bose"/>
    <x v="2"/>
    <x v="1"/>
    <s v="Assam"/>
    <s v="Guwahati"/>
    <x v="2"/>
    <x v="5"/>
    <s v="Classic Accessories 478"/>
    <x v="2"/>
    <n v="2"/>
    <n v="4315.2"/>
    <n v="0.15"/>
    <n v="7335.84"/>
    <n v="7335.8399999999992"/>
    <n v="4968.41"/>
    <n v="0.32272105171323251"/>
    <n v="2367.4299999999998"/>
    <n v="2367.4299999999994"/>
    <x v="0"/>
    <x v="0"/>
    <n v="-22"/>
    <s v="Invalid"/>
    <m/>
  </r>
  <r>
    <s v="ORD-2024-10027"/>
    <d v="2024-11-23T00:00:00"/>
    <x v="3"/>
    <x v="0"/>
    <d v="2024-11-23T00:00:00"/>
    <s v="CUST-4401"/>
    <s v="Diya Patel"/>
    <x v="2"/>
    <x v="0"/>
    <s v="Uttar Pradesh"/>
    <s v="Noida"/>
    <x v="2"/>
    <x v="11"/>
    <s v="Pro Phones 243"/>
    <x v="3"/>
    <n v="4"/>
    <n v="716.13"/>
    <n v="0.1"/>
    <n v="2578.0700000000002"/>
    <n v="2578.0680000000002"/>
    <n v="1527.55"/>
    <n v="0.40748265755596835"/>
    <n v="1050.52"/>
    <n v="1050.5180000000003"/>
    <x v="0"/>
    <x v="2"/>
    <n v="0"/>
    <s v="Clean"/>
    <m/>
  </r>
  <r>
    <s v="ORD-2025-10028"/>
    <d v="2025-09-29T00:00:00"/>
    <x v="9"/>
    <x v="1"/>
    <d v="2025-05-10T00:00:00"/>
    <s v="CUST-9875"/>
    <s v="Arjun Bose"/>
    <x v="1"/>
    <x v="2"/>
    <s v="Karnataka"/>
    <s v="Bengaluru"/>
    <x v="0"/>
    <x v="0"/>
    <s v="Basic Paper 613"/>
    <x v="0"/>
    <n v="5"/>
    <n v="1806.51"/>
    <n v="0.25"/>
    <n v="6774.41"/>
    <n v="6774.4124999999995"/>
    <n v="4710.3599999999997"/>
    <n v="0.30468361647596748"/>
    <n v="2064.0500000000002"/>
    <n v="2064.0524999999998"/>
    <x v="3"/>
    <x v="2"/>
    <n v="-142"/>
    <s v="Invalid"/>
    <m/>
  </r>
  <r>
    <s v="ORD-2024-10029"/>
    <d v="2024-11-10T00:00:00"/>
    <x v="3"/>
    <x v="0"/>
    <d v="2024-10-18T00:00:00"/>
    <s v="CUST-1569"/>
    <s v="Ananya Rao"/>
    <x v="3"/>
    <x v="3"/>
    <s v="Gujarat"/>
    <s v="Ahmedabad"/>
    <x v="2"/>
    <x v="11"/>
    <s v="Prime Phones 698"/>
    <x v="0"/>
    <n v="2"/>
    <n v="1942.22"/>
    <n v="0.25"/>
    <n v="2913.33"/>
    <n v="2913.33"/>
    <n v="2122.33"/>
    <n v="0.27151060813570727"/>
    <n v="791"/>
    <n v="791"/>
    <x v="1"/>
    <x v="1"/>
    <n v="-23"/>
    <s v="Invalid"/>
    <m/>
  </r>
  <r>
    <s v="ORD-2025-10030"/>
    <d v="2025-08-13T00:00:00"/>
    <x v="1"/>
    <x v="1"/>
    <d v="2025-08-13T00:00:00"/>
    <s v="CUST-5936"/>
    <s v="Rohan Mehta"/>
    <x v="3"/>
    <x v="2"/>
    <s v="Kerala"/>
    <s v="Kochi"/>
    <x v="2"/>
    <x v="11"/>
    <s v="Pro Phones 442"/>
    <x v="3"/>
    <n v="1"/>
    <n v="256.01"/>
    <n v="0.15"/>
    <n v="217.61"/>
    <n v="217.60849999999999"/>
    <n v="119.77"/>
    <n v="0.44960789675035673"/>
    <n v="97.84"/>
    <n v="97.838499999999996"/>
    <x v="0"/>
    <x v="0"/>
    <n v="0"/>
    <s v="Clean"/>
    <m/>
  </r>
  <r>
    <s v="ORD-2024-10031"/>
    <d v="2024-09-02T00:00:00"/>
    <x v="9"/>
    <x v="0"/>
    <d v="2024-02-12T00:00:00"/>
    <s v="CUST-8759"/>
    <s v="Ananya Rao"/>
    <x v="2"/>
    <x v="3"/>
    <s v="Goa"/>
    <s v="Panaji"/>
    <x v="0"/>
    <x v="7"/>
    <s v="Pro Labels 355"/>
    <x v="2"/>
    <n v="1"/>
    <n v="3421.77"/>
    <n v="0.1"/>
    <n v="3079.59"/>
    <n v="3079.5929999999998"/>
    <n v="2001.89"/>
    <n v="0.34994981479695525"/>
    <n v="1077.7"/>
    <n v="1077.7029999999997"/>
    <x v="0"/>
    <x v="0"/>
    <n v="-203"/>
    <s v="Invalid"/>
    <m/>
  </r>
  <r>
    <s v="ORD-2025-10032"/>
    <d v="2025-06-15T00:00:00"/>
    <x v="2"/>
    <x v="1"/>
    <d v="2025-06-19T00:00:00"/>
    <s v="CUST-7867"/>
    <s v="Karan Malhotra"/>
    <x v="1"/>
    <x v="3"/>
    <s v="Madhya Pradesh"/>
    <s v="Indore"/>
    <x v="0"/>
    <x v="0"/>
    <s v="Pro Paper 959"/>
    <x v="0"/>
    <n v="9"/>
    <n v="3092.55"/>
    <n v="0"/>
    <n v="27832.95"/>
    <n v="27832.95"/>
    <n v="17769.75"/>
    <n v="0.36155707533696574"/>
    <n v="10063.200000000001"/>
    <n v="10063.200000000001"/>
    <x v="3"/>
    <x v="2"/>
    <n v="4"/>
    <s v="Clean"/>
    <m/>
  </r>
  <r>
    <s v="ORD-2024-10033"/>
    <d v="2024-11-22T00:00:00"/>
    <x v="3"/>
    <x v="0"/>
    <d v="2024-11-26T00:00:00"/>
    <s v="CUST-6509"/>
    <s v="Aarav Sharma"/>
    <x v="2"/>
    <x v="2"/>
    <s v="Andhra Pradesh"/>
    <s v="Vijayawada"/>
    <x v="2"/>
    <x v="11"/>
    <s v="Basic Phones 242"/>
    <x v="0"/>
    <n v="3"/>
    <n v="4001.25"/>
    <n v="0"/>
    <n v="9002.81"/>
    <n v="12003.75"/>
    <n v="7529.92"/>
    <n v="0.37270269707383108"/>
    <n v="1472.89"/>
    <n v="4473.83"/>
    <x v="0"/>
    <x v="0"/>
    <n v="4"/>
    <s v="Clean"/>
    <m/>
  </r>
  <r>
    <s v="ORD-2024-10034"/>
    <d v="2024-07-22T00:00:00"/>
    <x v="0"/>
    <x v="0"/>
    <d v="2024-07-27T00:00:00"/>
    <s v="CUST-6660"/>
    <s v="Priya Menon"/>
    <x v="3"/>
    <x v="3"/>
    <s v="Goa"/>
    <s v="Panaji"/>
    <x v="1"/>
    <x v="1"/>
    <s v="Max Tables 836"/>
    <x v="1"/>
    <n v="7"/>
    <n v="492.41"/>
    <n v="0.25"/>
    <n v="2585.15"/>
    <n v="2585.1525000000001"/>
    <n v="2070.73"/>
    <n v="0.19899116203009304"/>
    <n v="514.41999999999996"/>
    <n v="514.42250000000013"/>
    <x v="0"/>
    <x v="0"/>
    <n v="5"/>
    <s v="Clean"/>
    <m/>
  </r>
  <r>
    <s v="ORD-2025-10035"/>
    <d v="2025-01-31T00:00:00"/>
    <x v="8"/>
    <x v="1"/>
    <d v="2025-05-02T00:00:00"/>
    <s v="CUST-2392"/>
    <s v="Priya Menon"/>
    <x v="3"/>
    <x v="1"/>
    <s v="West Bengal"/>
    <s v="Kolkata"/>
    <x v="1"/>
    <x v="4"/>
    <s v="Elite Chairs 862"/>
    <x v="4"/>
    <n v="2"/>
    <n v="4159.6899999999996"/>
    <n v="0.2"/>
    <n v="6655.5"/>
    <n v="6655.5039999999999"/>
    <n v="4340.21"/>
    <n v="0.34787658455317583"/>
    <n v="2607.3200000000002"/>
    <n v="2315.2939999999999"/>
    <x v="0"/>
    <x v="0"/>
    <n v="91"/>
    <s v="Warning"/>
    <m/>
  </r>
  <r>
    <s v="ORD-2024-10036"/>
    <d v="2024-05-29T00:00:00"/>
    <x v="4"/>
    <x v="0"/>
    <d v="2024-05-29T00:00:00"/>
    <s v="CUST-1611"/>
    <s v="Sneha Kapoor"/>
    <x v="1"/>
    <x v="3"/>
    <s v="Gujarat"/>
    <s v="Ahmedabad"/>
    <x v="1"/>
    <x v="10"/>
    <s v="Prime Bookcases 414"/>
    <x v="0"/>
    <n v="8"/>
    <n v="2507.12"/>
    <n v="0.05"/>
    <n v="19054.11"/>
    <n v="19054.111999999997"/>
    <n v="15313.83"/>
    <n v="0.19629789097492437"/>
    <n v="3740.28"/>
    <n v="3740.2819999999974"/>
    <x v="2"/>
    <x v="2"/>
    <n v="0"/>
    <s v="Clean"/>
    <m/>
  </r>
  <r>
    <s v="ORD-2024-10037"/>
    <d v="2024-10-25T00:00:00"/>
    <x v="10"/>
    <x v="0"/>
    <d v="2024-10-28T00:00:00"/>
    <s v="CUST-8296"/>
    <s v="Rohan Mehta"/>
    <x v="2"/>
    <x v="3"/>
    <s v="Maharashtra"/>
    <s v="Mumbai"/>
    <x v="1"/>
    <x v="10"/>
    <s v="Eco Bookcases 220"/>
    <x v="0"/>
    <n v="3"/>
    <n v="3126.47"/>
    <n v="0"/>
    <n v="9379.41"/>
    <n v="9379.41"/>
    <n v="6670.85"/>
    <n v="0.28877722585962223"/>
    <n v="2708.56"/>
    <n v="2708.5599999999995"/>
    <x v="0"/>
    <x v="2"/>
    <n v="3"/>
    <s v="Clean"/>
    <m/>
  </r>
  <r>
    <s v="ORD-2025-10038"/>
    <d v="2025-07-29T00:00:00"/>
    <x v="0"/>
    <x v="1"/>
    <d v="2025-07-29T00:00:00"/>
    <s v="CUST-4646"/>
    <s v="Diya Patel"/>
    <x v="0"/>
    <x v="3"/>
    <s v="Maharashtra"/>
    <s v="Mumbai"/>
    <x v="2"/>
    <x v="6"/>
    <s v="Pro Copiers 830"/>
    <x v="3"/>
    <n v="4"/>
    <n v="1327.54"/>
    <n v="0.2"/>
    <n v="4248.13"/>
    <n v="4248.1279999999997"/>
    <n v="3321.09"/>
    <n v="0.21822270892025844"/>
    <n v="927.04"/>
    <n v="927.03799999999956"/>
    <x v="0"/>
    <x v="0"/>
    <n v="0"/>
    <s v="Clean"/>
    <m/>
  </r>
  <r>
    <s v="ORD-2024-10039"/>
    <d v="2024-06-17T00:00:00"/>
    <x v="2"/>
    <x v="0"/>
    <d v="2024-06-22T00:00:00"/>
    <s v="CUST-8235"/>
    <s v="Aarav Sharma"/>
    <x v="2"/>
    <x v="3"/>
    <s v="Gujarat"/>
    <s v="Ahmedabad"/>
    <x v="2"/>
    <x v="11"/>
    <s v="Prime Phones 507"/>
    <x v="2"/>
    <n v="7"/>
    <n v="2210.6799999999998"/>
    <n v="0.1"/>
    <n v="13927.28"/>
    <n v="13927.284"/>
    <n v="10504.87"/>
    <n v="0.24573448778670692"/>
    <n v="3422.41"/>
    <n v="3422.4139999999989"/>
    <x v="0"/>
    <x v="0"/>
    <n v="5"/>
    <s v="Clean"/>
    <m/>
  </r>
  <r>
    <s v="ORD-2024-10040"/>
    <d v="2024-12-11T00:00:00"/>
    <x v="7"/>
    <x v="0"/>
    <d v="2024-11-12T00:00:00"/>
    <s v="CUST-5830"/>
    <s v="Mira Das"/>
    <x v="1"/>
    <x v="3"/>
    <s v="Madhya Pradesh"/>
    <s v="Indore"/>
    <x v="2"/>
    <x v="6"/>
    <s v="Classic Copiers 590"/>
    <x v="2"/>
    <n v="4"/>
    <n v="1370.92"/>
    <n v="0.1"/>
    <n v="4935.3100000000004"/>
    <n v="4935.3120000000008"/>
    <n v="3374.77"/>
    <n v="0.31619925954022776"/>
    <n v="1560.54"/>
    <n v="1560.5420000000008"/>
    <x v="2"/>
    <x v="2"/>
    <n v="-29"/>
    <s v="Invalid"/>
    <m/>
  </r>
  <r>
    <s v="ORD-2024-10041"/>
    <d v="2024-10-10T00:00:00"/>
    <x v="10"/>
    <x v="0"/>
    <d v="2024-10-16T00:00:00"/>
    <s v="CUST-7178"/>
    <s v="Isha Nair"/>
    <x v="3"/>
    <x v="3"/>
    <s v="Rajasthan"/>
    <s v="Udaipur"/>
    <x v="2"/>
    <x v="6"/>
    <s v="Eco Copiers 865"/>
    <x v="3"/>
    <n v="7"/>
    <n v="2509.27"/>
    <n v="0.2"/>
    <n v="14051.91"/>
    <n v="14051.912"/>
    <n v="11990.37"/>
    <n v="0.14670900301681361"/>
    <n v="2061.54"/>
    <n v="2061.5419999999995"/>
    <x v="0"/>
    <x v="0"/>
    <n v="6"/>
    <s v="Clean"/>
    <m/>
  </r>
  <r>
    <s v="ORD-2024-10042"/>
    <d v="2024-03-12T00:00:00"/>
    <x v="11"/>
    <x v="0"/>
    <d v="2024-03-17T00:00:00"/>
    <s v="CUST-3829"/>
    <s v="Aarav Sharma"/>
    <x v="1"/>
    <x v="1"/>
    <s v="Odisha"/>
    <s v="Bhubaneswar"/>
    <x v="1"/>
    <x v="10"/>
    <s v="Classic Bookcases 835"/>
    <x v="1"/>
    <n v="8"/>
    <n v="855.81"/>
    <n v="0"/>
    <n v="6846.48"/>
    <n v="6846.48"/>
    <n v="4239.8900000000003"/>
    <n v="0.38071972750961069"/>
    <n v="2606.59"/>
    <n v="2606.5899999999992"/>
    <x v="2"/>
    <x v="1"/>
    <n v="5"/>
    <s v="Clean"/>
    <m/>
  </r>
  <r>
    <s v="ORD-2025-10043"/>
    <d v="2025-10-10T00:00:00"/>
    <x v="10"/>
    <x v="1"/>
    <d v="2025-10-15T00:00:00"/>
    <s v="CUST-6708"/>
    <s v="Arjun Bose"/>
    <x v="2"/>
    <x v="1"/>
    <s v="Jharkhand"/>
    <s v="Ranchi"/>
    <x v="2"/>
    <x v="11"/>
    <s v="Eco Phones 702"/>
    <x v="3"/>
    <n v="8"/>
    <n v="979.87"/>
    <n v="0.05"/>
    <n v="7447.01"/>
    <n v="7447.0119999999997"/>
    <n v="4496.22"/>
    <n v="0.39623838393170302"/>
    <n v="2950.79"/>
    <n v="2950.7919999999995"/>
    <x v="0"/>
    <x v="0"/>
    <n v="5"/>
    <s v="Clean"/>
    <m/>
  </r>
  <r>
    <s v="ORD-2024-10044"/>
    <d v="2024-07-08T00:00:00"/>
    <x v="0"/>
    <x v="0"/>
    <d v="2024-07-14T00:00:00"/>
    <s v="CUST-7119"/>
    <s v="Priya Menon"/>
    <x v="1"/>
    <x v="1"/>
    <s v="Odisha"/>
    <s v="Bhubaneswar"/>
    <x v="1"/>
    <x v="3"/>
    <s v="Smart Furnishings 956"/>
    <x v="1"/>
    <n v="3"/>
    <n v="1010.23"/>
    <n v="0"/>
    <n v="3030.69"/>
    <n v="3030.69"/>
    <n v="1721.08"/>
    <n v="0.43211611877163292"/>
    <n v="1309.6099999999999"/>
    <n v="1309.6100000000001"/>
    <x v="0"/>
    <x v="0"/>
    <n v="6"/>
    <s v="Clean"/>
    <m/>
  </r>
  <r>
    <s v="ORD-2024-10045"/>
    <d v="2024-06-22T00:00:00"/>
    <x v="2"/>
    <x v="0"/>
    <d v="2024-06-25T00:00:00"/>
    <s v="CUST-3373"/>
    <s v="Rohan Mehta"/>
    <x v="1"/>
    <x v="0"/>
    <s v="Haryana"/>
    <s v="Gurugram"/>
    <x v="1"/>
    <x v="4"/>
    <s v="Max Chairs 393"/>
    <x v="3"/>
    <n v="9"/>
    <n v="3329.77"/>
    <n v="0.1"/>
    <n v="26971.14"/>
    <n v="26971.137000000002"/>
    <n v="17376.2"/>
    <n v="0.35574833200394929"/>
    <n v="9594.94"/>
    <n v="9594.9370000000017"/>
    <x v="0"/>
    <x v="0"/>
    <n v="3"/>
    <s v="Clean"/>
    <m/>
  </r>
  <r>
    <s v="ORD-2024-10046"/>
    <d v="2024-01-18T00:00:00"/>
    <x v="8"/>
    <x v="0"/>
    <d v="2024-01-24T00:00:00"/>
    <s v="CUST-8896"/>
    <s v="Isha Nair"/>
    <x v="3"/>
    <x v="1"/>
    <s v="Bihar"/>
    <s v="Patna"/>
    <x v="0"/>
    <x v="2"/>
    <s v="Prime Art 221"/>
    <x v="0"/>
    <n v="8"/>
    <n v="3927.82"/>
    <n v="0.05"/>
    <n v="29851.43"/>
    <n v="29851.432000000001"/>
    <n v="17487.48"/>
    <n v="0.41418287739094062"/>
    <n v="12363.95"/>
    <n v="12363.952000000001"/>
    <x v="2"/>
    <x v="2"/>
    <n v="6"/>
    <s v="Clean"/>
    <m/>
  </r>
  <r>
    <s v="ORD-2024-10047"/>
    <d v="2024-07-19T00:00:00"/>
    <x v="0"/>
    <x v="0"/>
    <d v="2024-07-19T00:00:00"/>
    <s v="CUST-8517"/>
    <s v="Ananya Rao"/>
    <x v="1"/>
    <x v="2"/>
    <s v="Kerala"/>
    <s v="Kochi"/>
    <x v="1"/>
    <x v="10"/>
    <s v="Elite Bookcases 671"/>
    <x v="3"/>
    <n v="9"/>
    <n v="2386.79"/>
    <n v="0.25"/>
    <n v="16110.83"/>
    <n v="16110.8325"/>
    <n v="10680.03"/>
    <n v="0.33709012243780695"/>
    <n v="5430.8"/>
    <n v="5430.8024999999998"/>
    <x v="1"/>
    <x v="2"/>
    <n v="0"/>
    <s v="Clean"/>
    <m/>
  </r>
  <r>
    <s v="ORD-2024-10048"/>
    <d v="2024-12-08T00:00:00"/>
    <x v="7"/>
    <x v="0"/>
    <d v="2024-12-08T00:00:00"/>
    <s v="CUST-1987"/>
    <s v="Rahul Verma"/>
    <x v="2"/>
    <x v="2"/>
    <s v="Tamil Nadu"/>
    <s v="Chennai"/>
    <x v="0"/>
    <x v="8"/>
    <s v="Max Storage 432"/>
    <x v="3"/>
    <n v="8"/>
    <n v="2445.31"/>
    <n v="0.1"/>
    <n v="17606.23"/>
    <n v="17606.232"/>
    <n v="12438.96"/>
    <n v="0.29349107747756592"/>
    <n v="5167.2700000000004"/>
    <n v="5167.2720000000008"/>
    <x v="0"/>
    <x v="0"/>
    <n v="0"/>
    <s v="Clean"/>
    <m/>
  </r>
  <r>
    <s v="ORD-2025-10049"/>
    <d v="2025-01-30T00:00:00"/>
    <x v="8"/>
    <x v="1"/>
    <d v="2025-05-02T00:00:00"/>
    <s v="CUST-8183"/>
    <s v="Neha Gupta"/>
    <x v="2"/>
    <x v="3"/>
    <s v="Maharashtra"/>
    <s v="Mumbai"/>
    <x v="1"/>
    <x v="4"/>
    <s v="Basic Chairs 837"/>
    <x v="0"/>
    <n v="7"/>
    <n v="4063.66"/>
    <n v="0"/>
    <n v="28445.62"/>
    <n v="28445.62"/>
    <n v="20938.59"/>
    <n v="0.26390811660986818"/>
    <n v="7507.03"/>
    <n v="7507.0299999999988"/>
    <x v="0"/>
    <x v="0"/>
    <n v="92"/>
    <s v="Clean"/>
    <m/>
  </r>
  <r>
    <s v="ORD-2024-10050"/>
    <d v="2024-06-04T00:00:00"/>
    <x v="2"/>
    <x v="0"/>
    <d v="2024-04-13T00:00:00"/>
    <s v="CUST-2380"/>
    <s v="Aarav Sharma"/>
    <x v="3"/>
    <x v="0"/>
    <s v="Uttar Pradesh"/>
    <s v="Noida"/>
    <x v="2"/>
    <x v="6"/>
    <s v="Classic Copiers 295"/>
    <x v="0"/>
    <n v="9"/>
    <n v="792.11"/>
    <n v="0.05"/>
    <n v="6772.54"/>
    <n v="6772.5404999999992"/>
    <n v="5755.46"/>
    <n v="0.15017710119267641"/>
    <n v="1017.08"/>
    <n v="1017.0804999999991"/>
    <x v="0"/>
    <x v="0"/>
    <n v="-52"/>
    <s v="Invalid"/>
    <m/>
  </r>
  <r>
    <s v="ORD-2025-10051"/>
    <d v="2025-05-11T00:00:00"/>
    <x v="4"/>
    <x v="1"/>
    <d v="2025-05-19T00:00:00"/>
    <s v="CUST-8787"/>
    <s v="Sneha Kapoor"/>
    <x v="0"/>
    <x v="1"/>
    <s v="West Bengal"/>
    <s v="Kolkata"/>
    <x v="2"/>
    <x v="6"/>
    <s v="Pro Copiers 963"/>
    <x v="3"/>
    <n v="1"/>
    <n v="2382.8000000000002"/>
    <n v="0.15"/>
    <n v="2025.38"/>
    <n v="2025.38"/>
    <n v="1140.6500000000001"/>
    <n v="0.43682173221815163"/>
    <n v="884.73"/>
    <n v="884.73"/>
    <x v="0"/>
    <x v="0"/>
    <n v="8"/>
    <s v="Clean"/>
    <m/>
  </r>
  <r>
    <s v="ORD-2024-10052"/>
    <d v="2024-04-24T00:00:00"/>
    <x v="5"/>
    <x v="0"/>
    <d v="2024-04-29T00:00:00"/>
    <s v="CUST-3557"/>
    <s v="Ananya Rao"/>
    <x v="2"/>
    <x v="2"/>
    <s v="Telangana"/>
    <s v="Hyderabad"/>
    <x v="0"/>
    <x v="2"/>
    <s v="Pro Art 907"/>
    <x v="3"/>
    <n v="6"/>
    <n v="1528.08"/>
    <n v="0"/>
    <n v="9168.48"/>
    <n v="9168.48"/>
    <n v="7439.77"/>
    <n v="0.18854924698532355"/>
    <n v="1728.71"/>
    <n v="1728.7099999999991"/>
    <x v="0"/>
    <x v="0"/>
    <n v="5"/>
    <s v="Clean"/>
    <m/>
  </r>
  <r>
    <s v="ORD-2024-10053"/>
    <d v="2024-10-26T00:00:00"/>
    <x v="10"/>
    <x v="0"/>
    <d v="2024-10-28T00:00:00"/>
    <s v="CUST-2778"/>
    <s v="Kabir Singh"/>
    <x v="1"/>
    <x v="0"/>
    <s v="Rajasthan"/>
    <s v="Jaipur"/>
    <x v="1"/>
    <x v="4"/>
    <s v="Pro Chairs 526"/>
    <x v="2"/>
    <n v="9"/>
    <n v="1399.63"/>
    <n v="0"/>
    <n v="12596.67"/>
    <n v="12596.670000000002"/>
    <n v="10603.29"/>
    <n v="0.15824658421630483"/>
    <n v="1993.38"/>
    <n v="1993.380000000001"/>
    <x v="3"/>
    <x v="1"/>
    <n v="2"/>
    <s v="Clean"/>
    <m/>
  </r>
  <r>
    <s v="ORD-2025-10054"/>
    <d v="2025-03-31T00:00:00"/>
    <x v="11"/>
    <x v="1"/>
    <d v="2025-03-31T00:00:00"/>
    <s v="CUST-7195"/>
    <s v="Kabir Singh"/>
    <x v="3"/>
    <x v="3"/>
    <s v="Gujarat"/>
    <s v="Ahmedabad"/>
    <x v="0"/>
    <x v="8"/>
    <s v="Elite Storage 924"/>
    <x v="2"/>
    <n v="5"/>
    <n v="1207.47"/>
    <n v="0.15"/>
    <n v="5131.75"/>
    <n v="5131.7475000000004"/>
    <n v="2838.68"/>
    <n v="0.44683950252813498"/>
    <n v="2293.0700000000002"/>
    <n v="2293.0675000000006"/>
    <x v="0"/>
    <x v="0"/>
    <n v="0"/>
    <s v="Clean"/>
    <m/>
  </r>
  <r>
    <s v="ORD-2025-10055"/>
    <d v="2025-05-30T00:00:00"/>
    <x v="4"/>
    <x v="1"/>
    <d v="2025-02-06T00:00:00"/>
    <s v="CUST-9039"/>
    <s v="Arjun Bose"/>
    <x v="2"/>
    <x v="2"/>
    <s v="Tamil Nadu"/>
    <s v="Chennai"/>
    <x v="0"/>
    <x v="7"/>
    <s v="Pro Labels 957"/>
    <x v="1"/>
    <n v="8"/>
    <n v="474.37"/>
    <n v="0.1"/>
    <n v="3415.46"/>
    <n v="3415.4639999999999"/>
    <n v="1993.23"/>
    <n v="0.4164101861416194"/>
    <n v="1422.23"/>
    <n v="1422.2339999999999"/>
    <x v="3"/>
    <x v="1"/>
    <n v="-113"/>
    <s v="Invalid"/>
    <m/>
  </r>
  <r>
    <s v="ORD-2025-10056"/>
    <d v="2025-01-07T00:00:00"/>
    <x v="8"/>
    <x v="1"/>
    <d v="2025-03-07T00:00:00"/>
    <s v="CUST-9821"/>
    <s v="Mira Das"/>
    <x v="1"/>
    <x v="2"/>
    <s v="Andhra Pradesh"/>
    <s v="Vijayawada"/>
    <x v="2"/>
    <x v="12"/>
    <s v="Classic Machines 310"/>
    <x v="1"/>
    <n v="3"/>
    <n v="1516.24"/>
    <n v="0.25"/>
    <n v="3411.54"/>
    <n v="3411.54"/>
    <n v="2803.13"/>
    <n v="0.17833881472883209"/>
    <n v="608.41"/>
    <n v="608.40999999999985"/>
    <x v="0"/>
    <x v="0"/>
    <n v="59"/>
    <s v="Clean"/>
    <m/>
  </r>
  <r>
    <s v="ORD-2025-10057"/>
    <d v="2025-05-01T00:00:00"/>
    <x v="4"/>
    <x v="1"/>
    <d v="2025-06-01T00:00:00"/>
    <s v="CUST-8701"/>
    <s v="Karan Malhotra"/>
    <x v="0"/>
    <x v="2"/>
    <s v="Karnataka"/>
    <s v="Bengaluru"/>
    <x v="0"/>
    <x v="9"/>
    <s v="Smart Binders 393"/>
    <x v="0"/>
    <n v="3"/>
    <n v="3155.61"/>
    <n v="0"/>
    <n v="9466.83"/>
    <n v="9466.83"/>
    <n v="6557.83"/>
    <n v="0.30728343067320318"/>
    <n v="2909"/>
    <n v="2909"/>
    <x v="1"/>
    <x v="1"/>
    <n v="31"/>
    <s v="Clean"/>
    <m/>
  </r>
  <r>
    <s v="ORD-2024-10058"/>
    <d v="2024-07-02T00:00:00"/>
    <x v="0"/>
    <x v="0"/>
    <d v="2024-02-15T00:00:00"/>
    <s v="CUST-9941"/>
    <s v="Priya Menon"/>
    <x v="0"/>
    <x v="3"/>
    <s v="Goa"/>
    <s v="Panaji"/>
    <x v="1"/>
    <x v="4"/>
    <s v="Max Chairs 813"/>
    <x v="1"/>
    <n v="5"/>
    <n v="255.87"/>
    <n v="0"/>
    <n v="1279.3499999999999"/>
    <n v="1279.3499999999999"/>
    <n v="1091.54"/>
    <n v="0.14680110993864068"/>
    <n v="187.81"/>
    <n v="187.80999999999995"/>
    <x v="0"/>
    <x v="0"/>
    <n v="-138"/>
    <s v="Invalid"/>
    <m/>
  </r>
  <r>
    <s v="ORD-2024-10059"/>
    <d v="2024-01-09T00:00:00"/>
    <x v="8"/>
    <x v="0"/>
    <d v="2024-07-09T00:00:00"/>
    <s v="CUST-3983"/>
    <s v="Isha Nair"/>
    <x v="3"/>
    <x v="0"/>
    <s v="Rajasthan"/>
    <s v="Jaipur"/>
    <x v="0"/>
    <x v="8"/>
    <s v="Basic Storage 872"/>
    <x v="4"/>
    <n v="9"/>
    <n v="1389.48"/>
    <n v="0.1"/>
    <n v="11254.79"/>
    <n v="11254.788"/>
    <n v="6578.06"/>
    <n v="0.41553230500654476"/>
    <n v="4676.7299999999996"/>
    <n v="4676.7280000000001"/>
    <x v="2"/>
    <x v="2"/>
    <n v="182"/>
    <s v="Warning"/>
    <m/>
  </r>
  <r>
    <s v="ORD-2024-10060"/>
    <d v="2024-07-20T00:00:00"/>
    <x v="0"/>
    <x v="0"/>
    <d v="2024-07-25T00:00:00"/>
    <s v="CUST-2418"/>
    <s v="Priya Menon"/>
    <x v="2"/>
    <x v="1"/>
    <s v="Assam"/>
    <s v="Guwahati"/>
    <x v="0"/>
    <x v="7"/>
    <s v="Smart Labels 655"/>
    <x v="1"/>
    <n v="5"/>
    <n v="4133.8500000000004"/>
    <n v="0.2"/>
    <n v="16535.400000000001"/>
    <n v="16535.400000000001"/>
    <n v="12990.21"/>
    <n v="0.21440001451431487"/>
    <n v="3545.19"/>
    <n v="3545.1900000000023"/>
    <x v="0"/>
    <x v="1"/>
    <n v="5"/>
    <s v="Clean"/>
    <m/>
  </r>
  <r>
    <s v="ORD-2024-10061"/>
    <d v="2024-07-13T00:00:00"/>
    <x v="0"/>
    <x v="0"/>
    <d v="2024-07-19T00:00:00"/>
    <s v="CUST-2892"/>
    <s v="Ananya Rao"/>
    <x v="2"/>
    <x v="1"/>
    <s v="Assam"/>
    <s v="Guwahati"/>
    <x v="0"/>
    <x v="7"/>
    <s v="Eco Labels 210"/>
    <x v="1"/>
    <n v="3"/>
    <n v="275.76"/>
    <n v="0.2"/>
    <n v="661.82"/>
    <n v="661.82400000000007"/>
    <n v="481.47"/>
    <n v="0.27251051639106472"/>
    <n v="180.35"/>
    <n v="180.35400000000004"/>
    <x v="1"/>
    <x v="1"/>
    <n v="6"/>
    <s v="Clean"/>
    <m/>
  </r>
  <r>
    <s v="ORD-2024-10062"/>
    <d v="2024-04-16T00:00:00"/>
    <x v="5"/>
    <x v="0"/>
    <d v="2024-04-16T00:00:00"/>
    <s v="CUST-7008"/>
    <s v="Vikram Iyer"/>
    <x v="3"/>
    <x v="1"/>
    <s v="Bihar"/>
    <s v="Patna"/>
    <x v="1"/>
    <x v="10"/>
    <s v="Classic Bookcases 296"/>
    <x v="3"/>
    <n v="1"/>
    <n v="949.59"/>
    <n v="0"/>
    <n v="949.59"/>
    <n v="949.59"/>
    <n v="751.25"/>
    <n v="0.20886909087079689"/>
    <n v="198.34"/>
    <n v="198.34000000000003"/>
    <x v="0"/>
    <x v="0"/>
    <n v="0"/>
    <s v="Clean"/>
    <m/>
  </r>
  <r>
    <s v="ORD-2024-10063"/>
    <d v="2024-10-30T00:00:00"/>
    <x v="10"/>
    <x v="0"/>
    <d v="2024-02-11T00:00:00"/>
    <s v="CUST-4900"/>
    <s v="Sneha Kapoor"/>
    <x v="3"/>
    <x v="0"/>
    <s v="Rajasthan"/>
    <s v="Jaipur"/>
    <x v="2"/>
    <x v="11"/>
    <s v="Basic Phones 230"/>
    <x v="3"/>
    <n v="9"/>
    <n v="3042.29"/>
    <n v="0.2"/>
    <n v="21904.49"/>
    <n v="21904.488000000001"/>
    <n v="13570.55"/>
    <n v="0.38046714445003244"/>
    <n v="8333.94"/>
    <n v="8333.9380000000019"/>
    <x v="0"/>
    <x v="0"/>
    <n v="-262"/>
    <s v="Invalid"/>
    <m/>
  </r>
  <r>
    <s v="ORD-2024-10064"/>
    <d v="2024-01-25T00:00:00"/>
    <x v="8"/>
    <x v="0"/>
    <d v="2024-01-02T00:00:00"/>
    <s v="CUST-5382"/>
    <s v="Sneha Kapoor"/>
    <x v="3"/>
    <x v="0"/>
    <s v="Haryana"/>
    <s v="Gurugram"/>
    <x v="0"/>
    <x v="9"/>
    <s v="Pro Binders 690"/>
    <x v="1"/>
    <n v="2"/>
    <n v="2832.77"/>
    <n v="0.15"/>
    <n v="4815.71"/>
    <n v="4815.7089999999998"/>
    <n v="3027.75"/>
    <n v="0.37127637903369992"/>
    <n v="1917.47"/>
    <n v="1787.9589999999998"/>
    <x v="0"/>
    <x v="0"/>
    <n v="-23"/>
    <s v="Invalid"/>
    <m/>
  </r>
  <r>
    <s v="ORD-2024-10065"/>
    <d v="2024-12-23T00:00:00"/>
    <x v="7"/>
    <x v="0"/>
    <d v="2024-12-29T00:00:00"/>
    <s v="CUST-2749"/>
    <s v="Aarav Sharma"/>
    <x v="2"/>
    <x v="1"/>
    <s v="Jharkhand"/>
    <s v="Ranchi"/>
    <x v="0"/>
    <x v="0"/>
    <s v="Classic Paper 458"/>
    <x v="2"/>
    <n v="7"/>
    <n v="447.84"/>
    <n v="0"/>
    <n v="3134.88"/>
    <n v="3134.8799999999997"/>
    <n v="2367.63"/>
    <n v="0.24474621038125849"/>
    <n v="767.25"/>
    <n v="767.24999999999955"/>
    <x v="1"/>
    <x v="2"/>
    <n v="6"/>
    <s v="Clean"/>
    <m/>
  </r>
  <r>
    <s v="ORD-2024-10066"/>
    <d v="2024-04-22T00:00:00"/>
    <x v="5"/>
    <x v="0"/>
    <d v="2024-04-27T00:00:00"/>
    <s v="CUST-2463"/>
    <s v="Mira Das"/>
    <x v="3"/>
    <x v="3"/>
    <s v="Maharashtra"/>
    <s v="Mumbai"/>
    <x v="0"/>
    <x v="0"/>
    <s v="Pro Paper 552"/>
    <x v="0"/>
    <n v="1"/>
    <n v="4280.1899999999996"/>
    <n v="0.05"/>
    <n v="4066.18"/>
    <n v="4066.1804999999995"/>
    <n v="2628.92"/>
    <n v="0.35346696980126674"/>
    <n v="1437.26"/>
    <n v="1437.2604999999994"/>
    <x v="0"/>
    <x v="0"/>
    <n v="5"/>
    <s v="Clean"/>
    <m/>
  </r>
  <r>
    <s v="ORD-2025-10067"/>
    <d v="2025-08-28T00:00:00"/>
    <x v="1"/>
    <x v="1"/>
    <d v="2025-01-09T00:00:00"/>
    <s v="CUST-1504"/>
    <s v="Karan Malhotra"/>
    <x v="1"/>
    <x v="2"/>
    <s v="Tamil Nadu"/>
    <s v="Chennai"/>
    <x v="2"/>
    <x v="5"/>
    <s v="Elite Accessories 187"/>
    <x v="1"/>
    <n v="7"/>
    <n v="1057.46"/>
    <n v="0.05"/>
    <n v="7032.11"/>
    <n v="7032.1089999999995"/>
    <n v="4610.34"/>
    <n v="0.34438729547565311"/>
    <n v="2421.77"/>
    <n v="2421.7689999999993"/>
    <x v="0"/>
    <x v="0"/>
    <n v="-231"/>
    <s v="Invalid"/>
    <m/>
  </r>
  <r>
    <s v="ORD-2025-10068"/>
    <d v="2025-03-02T00:00:00"/>
    <x v="11"/>
    <x v="1"/>
    <d v="2025-07-02T00:00:00"/>
    <s v="CUST-8282"/>
    <s v="Kabir Singh"/>
    <x v="0"/>
    <x v="0"/>
    <s v="Haryana"/>
    <s v="Gurugram"/>
    <x v="0"/>
    <x v="0"/>
    <s v="Eco Paper 922"/>
    <x v="2"/>
    <n v="7"/>
    <n v="3609.34"/>
    <n v="0.05"/>
    <n v="24002.11"/>
    <n v="24002.111000000001"/>
    <n v="18707.57"/>
    <n v="0.2205864725815159"/>
    <n v="5294.54"/>
    <n v="5294.5410000000011"/>
    <x v="0"/>
    <x v="0"/>
    <n v="122"/>
    <s v="Clean"/>
    <m/>
  </r>
  <r>
    <s v="ORD-2024-10069"/>
    <d v="2024-11-10T00:00:00"/>
    <x v="3"/>
    <x v="0"/>
    <d v="2024-11-13T00:00:00"/>
    <s v="CUST-6054"/>
    <s v="Isha Nair"/>
    <x v="2"/>
    <x v="1"/>
    <s v="Jharkhand"/>
    <s v="Ranchi"/>
    <x v="0"/>
    <x v="8"/>
    <s v="Pro Storage 975"/>
    <x v="0"/>
    <n v="9"/>
    <n v="2211.12"/>
    <n v="0"/>
    <n v="19900.080000000002"/>
    <n v="19900.079999999998"/>
    <n v="10962.66"/>
    <n v="0.44911477742803041"/>
    <n v="8937.42"/>
    <n v="8937.4199999999983"/>
    <x v="3"/>
    <x v="2"/>
    <n v="3"/>
    <s v="Clean"/>
    <m/>
  </r>
  <r>
    <s v="ORD-2024-10070"/>
    <d v="2024-09-04T00:00:00"/>
    <x v="9"/>
    <x v="0"/>
    <d v="2024-04-14T00:00:00"/>
    <s v="CUST-5979"/>
    <s v="Neha Gupta"/>
    <x v="1"/>
    <x v="3"/>
    <s v="Gujarat"/>
    <s v="Ahmedabad"/>
    <x v="2"/>
    <x v="12"/>
    <s v="Prime Machines 782"/>
    <x v="1"/>
    <n v="7"/>
    <n v="3417.09"/>
    <n v="0.1"/>
    <n v="21527.67"/>
    <n v="21527.667000000001"/>
    <n v="18287.580000000002"/>
    <n v="0.15050804158202555"/>
    <n v="3240.09"/>
    <n v="3240.0869999999995"/>
    <x v="1"/>
    <x v="2"/>
    <n v="-143"/>
    <s v="Invalid"/>
    <m/>
  </r>
  <r>
    <s v="ORD-2025-10071"/>
    <d v="2025-08-22T00:00:00"/>
    <x v="1"/>
    <x v="1"/>
    <d v="2025-08-27T00:00:00"/>
    <s v="CUST-5582"/>
    <s v="Karan Malhotra"/>
    <x v="2"/>
    <x v="2"/>
    <s v="Andhra Pradesh"/>
    <s v="Vijayawada"/>
    <x v="2"/>
    <x v="11"/>
    <s v="Max Phones 661"/>
    <x v="2"/>
    <n v="2"/>
    <n v="905.87"/>
    <n v="0.15"/>
    <n v="1539.98"/>
    <n v="1539.979"/>
    <n v="1070.2"/>
    <n v="0.30505545854846072"/>
    <n v="469.78"/>
    <n v="469.779"/>
    <x v="0"/>
    <x v="0"/>
    <n v="5"/>
    <s v="Clean"/>
    <m/>
  </r>
  <r>
    <s v="ORD-2025-10072"/>
    <d v="2025-04-16T00:00:00"/>
    <x v="5"/>
    <x v="1"/>
    <d v="2025-04-23T00:00:00"/>
    <s v="CUST-3308"/>
    <s v="Mira Das"/>
    <x v="1"/>
    <x v="3"/>
    <s v="Goa"/>
    <s v="Panaji"/>
    <x v="2"/>
    <x v="12"/>
    <s v="Elite Machines 836"/>
    <x v="3"/>
    <n v="6"/>
    <n v="2027.32"/>
    <n v="0.1"/>
    <n v="10947.53"/>
    <n v="10947.528"/>
    <n v="6447.36"/>
    <n v="0.41106704636882413"/>
    <n v="4500.17"/>
    <n v="4500.1680000000006"/>
    <x v="0"/>
    <x v="0"/>
    <n v="7"/>
    <s v="Clean"/>
    <m/>
  </r>
  <r>
    <s v="ORD-2024-10073"/>
    <d v="2024-11-02T00:00:00"/>
    <x v="3"/>
    <x v="0"/>
    <d v="2024-07-02T00:00:00"/>
    <s v="CUST-5018"/>
    <s v="Karan Malhotra"/>
    <x v="3"/>
    <x v="2"/>
    <s v="Tamil Nadu"/>
    <s v="Chennai"/>
    <x v="1"/>
    <x v="1"/>
    <s v="Prime Tables 902"/>
    <x v="2"/>
    <n v="7"/>
    <n v="2287.4699999999998"/>
    <n v="0.15"/>
    <n v="13610.45"/>
    <n v="13610.446499999998"/>
    <n v="10039.049999999999"/>
    <n v="0.26240112695788487"/>
    <n v="3571.4"/>
    <n v="3571.3964999999989"/>
    <x v="0"/>
    <x v="0"/>
    <n v="-123"/>
    <s v="Invalid"/>
    <m/>
  </r>
  <r>
    <s v="ORD-2025-10074"/>
    <d v="2025-03-29T00:00:00"/>
    <x v="11"/>
    <x v="1"/>
    <d v="2025-04-03T00:00:00"/>
    <s v="CUST-2342"/>
    <s v="Sneha Kapoor"/>
    <x v="2"/>
    <x v="1"/>
    <s v="West Bengal"/>
    <s v="Kolkata"/>
    <x v="1"/>
    <x v="10"/>
    <s v="Smart Bookcases 167"/>
    <x v="2"/>
    <n v="5"/>
    <n v="1425.74"/>
    <n v="0"/>
    <n v="7128.7"/>
    <n v="7128.7"/>
    <n v="4382.1499999999996"/>
    <n v="0.38528062620113068"/>
    <n v="2746.55"/>
    <n v="2746.55"/>
    <x v="0"/>
    <x v="0"/>
    <n v="5"/>
    <s v="Clean"/>
    <m/>
  </r>
  <r>
    <s v="ORD-2025-10075"/>
    <d v="2025-02-27T00:00:00"/>
    <x v="6"/>
    <x v="1"/>
    <d v="2025-01-03T00:00:00"/>
    <s v="CUST-6201"/>
    <s v="Vikram Iyer"/>
    <x v="1"/>
    <x v="1"/>
    <s v="West Bengal"/>
    <s v="Kolkata"/>
    <x v="1"/>
    <x v="4"/>
    <s v="Max Chairs 244"/>
    <x v="3"/>
    <n v="6"/>
    <n v="551.64"/>
    <n v="0"/>
    <n v="3309.84"/>
    <n v="3309.84"/>
    <n v="2671.08"/>
    <n v="0.19298818069755644"/>
    <n v="638.76"/>
    <n v="638.76000000000022"/>
    <x v="0"/>
    <x v="0"/>
    <n v="-55"/>
    <s v="Invalid"/>
    <m/>
  </r>
  <r>
    <s v="ORD-2025-10076"/>
    <d v="2025-08-22T00:00:00"/>
    <x v="1"/>
    <x v="1"/>
    <d v="2025-08-27T00:00:00"/>
    <s v="CUST-5808"/>
    <s v="Priya Menon"/>
    <x v="1"/>
    <x v="1"/>
    <s v="Odisha"/>
    <s v="Bhubaneswar"/>
    <x v="0"/>
    <x v="7"/>
    <s v="Eco Labels 653"/>
    <x v="2"/>
    <n v="3"/>
    <n v="3294.82"/>
    <n v="0.2"/>
    <n v="7907.57"/>
    <n v="7907.5680000000011"/>
    <n v="5391.18"/>
    <n v="0.31822527482533197"/>
    <n v="2516.39"/>
    <n v="2516.3880000000008"/>
    <x v="0"/>
    <x v="0"/>
    <n v="5"/>
    <s v="Clean"/>
    <m/>
  </r>
  <r>
    <s v="ORD-2024-10077"/>
    <d v="2024-03-11T00:00:00"/>
    <x v="11"/>
    <x v="0"/>
    <d v="2024-11-11T00:00:00"/>
    <s v="CUST-2642"/>
    <s v="Ananya Rao"/>
    <x v="2"/>
    <x v="1"/>
    <s v="Jharkhand"/>
    <s v="Ranchi"/>
    <x v="0"/>
    <x v="7"/>
    <s v="Max Labels 617"/>
    <x v="0"/>
    <n v="3"/>
    <n v="3406.27"/>
    <n v="0"/>
    <n v="10218.81"/>
    <n v="10218.81"/>
    <n v="7616.97"/>
    <n v="0.2546128169522674"/>
    <n v="2601.84"/>
    <n v="2601.8399999999992"/>
    <x v="0"/>
    <x v="0"/>
    <n v="245"/>
    <s v="Clean"/>
    <m/>
  </r>
  <r>
    <s v="ORD-2025-10078"/>
    <d v="2025-07-08T00:00:00"/>
    <x v="0"/>
    <x v="1"/>
    <d v="2025-12-07T00:00:00"/>
    <s v="CUST-4385"/>
    <s v="Rohan Mehta"/>
    <x v="3"/>
    <x v="0"/>
    <s v="Uttar Pradesh"/>
    <s v="Noida"/>
    <x v="1"/>
    <x v="3"/>
    <s v="Pro Furnishings 529"/>
    <x v="3"/>
    <n v="1"/>
    <n v="2582.1999999999998"/>
    <n v="0.15"/>
    <n v="2194.87"/>
    <n v="2194.87"/>
    <n v="1223.17"/>
    <n v="0.44271414707932583"/>
    <n v="971.7"/>
    <n v="971.69999999999982"/>
    <x v="1"/>
    <x v="1"/>
    <n v="152"/>
    <s v="Clean"/>
    <m/>
  </r>
  <r>
    <s v="ORD-2025-10079"/>
    <d v="2025-07-16T00:00:00"/>
    <x v="0"/>
    <x v="1"/>
    <d v="2025-07-21T00:00:00"/>
    <s v="CUST-8043"/>
    <s v="Sneha Kapoor"/>
    <x v="2"/>
    <x v="1"/>
    <s v="West Bengal"/>
    <s v="Kolkata"/>
    <x v="1"/>
    <x v="1"/>
    <s v="Smart Tables 561"/>
    <x v="2"/>
    <n v="5"/>
    <n v="2129.5100000000002"/>
    <n v="0.15"/>
    <n v="9050.42"/>
    <n v="9050.4175000000014"/>
    <n v="6778.85"/>
    <n v="0.25099035486484472"/>
    <n v="2271.5700000000002"/>
    <n v="2271.567500000001"/>
    <x v="0"/>
    <x v="0"/>
    <n v="5"/>
    <s v="Clean"/>
    <m/>
  </r>
  <r>
    <s v="ORD-2025-10080"/>
    <d v="2025-09-27T00:00:00"/>
    <x v="9"/>
    <x v="1"/>
    <d v="2025-03-10T00:00:00"/>
    <s v="CUST-9978"/>
    <s v="Diya Patel"/>
    <x v="3"/>
    <x v="2"/>
    <s v="Tamil Nadu"/>
    <s v="Chennai"/>
    <x v="1"/>
    <x v="4"/>
    <s v="Prime Chairs 838"/>
    <x v="1"/>
    <n v="9"/>
    <n v="4131.5200000000004"/>
    <n v="0.1"/>
    <n v="33465.31"/>
    <n v="33465.312000000005"/>
    <n v="24781.26"/>
    <n v="0.25949412932411942"/>
    <n v="8684.0499999999993"/>
    <n v="8684.052000000007"/>
    <x v="0"/>
    <x v="0"/>
    <n v="-201"/>
    <s v="Invalid"/>
    <m/>
  </r>
  <r>
    <s v="ORD-2024-10081"/>
    <d v="2024-10-08T00:00:00"/>
    <x v="10"/>
    <x v="0"/>
    <d v="2024-08-14T00:00:00"/>
    <s v="CUST-2094"/>
    <s v="Aarav Sharma"/>
    <x v="1"/>
    <x v="0"/>
    <s v="Delhi"/>
    <s v="New Delhi"/>
    <x v="0"/>
    <x v="8"/>
    <s v="Elite Storage 371"/>
    <x v="0"/>
    <n v="4"/>
    <n v="1182.32"/>
    <n v="0.1"/>
    <n v="4256.3500000000004"/>
    <n v="4256.3519999999999"/>
    <n v="2495.33"/>
    <n v="0.41373974708858663"/>
    <n v="1761.02"/>
    <n v="1761.0219999999999"/>
    <x v="2"/>
    <x v="2"/>
    <n v="-55"/>
    <s v="Invalid"/>
    <m/>
  </r>
  <r>
    <s v="ORD-2025-10082"/>
    <d v="2025-03-16T00:00:00"/>
    <x v="11"/>
    <x v="1"/>
    <d v="2025-03-17T00:00:00"/>
    <s v="CUST-7907"/>
    <s v="Karan Malhotra"/>
    <x v="3"/>
    <x v="3"/>
    <s v="Goa"/>
    <s v="Panaji"/>
    <x v="0"/>
    <x v="7"/>
    <s v="Eco Labels 662"/>
    <x v="1"/>
    <n v="3"/>
    <n v="1841.91"/>
    <n v="0"/>
    <n v="5525.73"/>
    <n v="5525.7300000000005"/>
    <n v="3093.42"/>
    <n v="0.44017894468242208"/>
    <n v="2432.31"/>
    <n v="2432.3100000000004"/>
    <x v="0"/>
    <x v="0"/>
    <n v="1"/>
    <s v="Clean"/>
    <m/>
  </r>
  <r>
    <s v="ORD-2024-10083"/>
    <d v="2024-03-08T00:00:00"/>
    <x v="11"/>
    <x v="0"/>
    <d v="2024-04-08T00:00:00"/>
    <s v="CUST-6516"/>
    <s v="Arjun Bose"/>
    <x v="0"/>
    <x v="0"/>
    <s v="Uttar Pradesh"/>
    <s v="Noida"/>
    <x v="2"/>
    <x v="6"/>
    <s v="Smart Copiers 702"/>
    <x v="0"/>
    <n v="6"/>
    <n v="1001.73"/>
    <n v="0"/>
    <n v="6010.38"/>
    <n v="6010.38"/>
    <n v="3762.85"/>
    <n v="0.37394141468592673"/>
    <n v="2247.5300000000002"/>
    <n v="2247.5300000000002"/>
    <x v="3"/>
    <x v="2"/>
    <n v="31"/>
    <s v="Clean"/>
    <m/>
  </r>
  <r>
    <s v="ORD-2024-10084"/>
    <d v="2024-10-26T00:00:00"/>
    <x v="10"/>
    <x v="0"/>
    <d v="2024-10-29T00:00:00"/>
    <s v="CUST-4989"/>
    <s v="Aditi Sen"/>
    <x v="3"/>
    <x v="3"/>
    <s v="Maharashtra"/>
    <s v="Mumbai"/>
    <x v="1"/>
    <x v="1"/>
    <s v="Elite Tables 362"/>
    <x v="0"/>
    <n v="9"/>
    <n v="131.74"/>
    <n v="0.2"/>
    <n v="948.53"/>
    <n v="948.52800000000013"/>
    <n v="674.62"/>
    <n v="0.28877165460587362"/>
    <n v="273.91000000000003"/>
    <n v="273.90800000000013"/>
    <x v="0"/>
    <x v="0"/>
    <n v="3"/>
    <s v="Clean"/>
    <m/>
  </r>
  <r>
    <s v="ORD-2024-10085"/>
    <d v="2024-01-10T00:00:00"/>
    <x v="8"/>
    <x v="0"/>
    <d v="2024-03-10T00:00:00"/>
    <s v="CUST-3758"/>
    <s v="Rohan Mehta"/>
    <x v="2"/>
    <x v="2"/>
    <s v="Tamil Nadu"/>
    <s v="Chennai"/>
    <x v="2"/>
    <x v="11"/>
    <s v="Elite Phones 781"/>
    <x v="0"/>
    <n v="6"/>
    <n v="570.28"/>
    <n v="0.2"/>
    <n v="2737.34"/>
    <n v="2737.3440000000001"/>
    <n v="2085.44"/>
    <n v="0.23815201889130486"/>
    <n v="651.9"/>
    <n v="651.904"/>
    <x v="0"/>
    <x v="0"/>
    <n v="60"/>
    <s v="Clean"/>
    <m/>
  </r>
  <r>
    <s v="ORD-2024-10086"/>
    <d v="2024-07-30T00:00:00"/>
    <x v="0"/>
    <x v="0"/>
    <d v="2024-08-05T00:00:00"/>
    <s v="CUST-6702"/>
    <s v="Kabir Singh"/>
    <x v="2"/>
    <x v="0"/>
    <s v="Delhi"/>
    <s v="New Delhi"/>
    <x v="0"/>
    <x v="9"/>
    <s v="Eco Binders 456"/>
    <x v="3"/>
    <n v="1"/>
    <n v="608.64"/>
    <n v="0"/>
    <n v="608.64"/>
    <n v="608.64"/>
    <n v="343.99"/>
    <n v="0.43482189800210302"/>
    <n v="264.64999999999998"/>
    <n v="264.64999999999998"/>
    <x v="0"/>
    <x v="1"/>
    <n v="6"/>
    <s v="Clean"/>
    <m/>
  </r>
  <r>
    <s v="ORD-2024-10087"/>
    <d v="2024-01-07T00:00:00"/>
    <x v="8"/>
    <x v="0"/>
    <d v="2024-01-07T00:00:00"/>
    <s v="CUST-9148"/>
    <s v="Ananya Rao"/>
    <x v="1"/>
    <x v="0"/>
    <s v="Delhi"/>
    <s v="New Delhi"/>
    <x v="2"/>
    <x v="6"/>
    <s v="Basic Copiers 525"/>
    <x v="0"/>
    <n v="3"/>
    <n v="885.28"/>
    <n v="0.1"/>
    <n v="2390.2600000000002"/>
    <n v="2390.2560000000003"/>
    <n v="1495.94"/>
    <n v="0.37415071858411825"/>
    <n v="894.32"/>
    <n v="894.31600000000026"/>
    <x v="1"/>
    <x v="1"/>
    <n v="0"/>
    <s v="Clean"/>
    <m/>
  </r>
  <r>
    <s v="ORD-2024-10088"/>
    <d v="2024-02-08T00:00:00"/>
    <x v="6"/>
    <x v="0"/>
    <d v="2024-03-08T00:00:00"/>
    <s v="CUST-5829"/>
    <s v="Vikram Iyer"/>
    <x v="0"/>
    <x v="1"/>
    <s v="Assam"/>
    <s v="Guwahati"/>
    <x v="0"/>
    <x v="9"/>
    <s v="Eco Binders 258"/>
    <x v="3"/>
    <n v="7"/>
    <n v="3345.22"/>
    <n v="0"/>
    <n v="23416.54"/>
    <n v="23416.539999999997"/>
    <n v="15490.89"/>
    <n v="0.33846375254414185"/>
    <n v="7925.65"/>
    <n v="7925.6499999999978"/>
    <x v="0"/>
    <x v="0"/>
    <n v="29"/>
    <s v="Clean"/>
    <m/>
  </r>
  <r>
    <s v="ORD-2024-10089"/>
    <d v="2024-03-24T00:00:00"/>
    <x v="11"/>
    <x v="0"/>
    <d v="2024-03-27T00:00:00"/>
    <s v="CUST-6059"/>
    <s v="Rohan Mehta"/>
    <x v="1"/>
    <x v="3"/>
    <s v="Maharashtra"/>
    <s v="Mumbai"/>
    <x v="1"/>
    <x v="10"/>
    <s v="Max Bookcases 398"/>
    <x v="3"/>
    <n v="2"/>
    <n v="3284.75"/>
    <n v="0.05"/>
    <n v="6241.02"/>
    <n v="6241.0249999999996"/>
    <n v="5345.88"/>
    <n v="0.14342916427990587"/>
    <n v="895.14"/>
    <n v="895.14499999999953"/>
    <x v="0"/>
    <x v="0"/>
    <n v="3"/>
    <s v="Clean"/>
    <m/>
  </r>
  <r>
    <s v="ORD-2024-10090"/>
    <d v="2024-05-09T00:00:00"/>
    <x v="4"/>
    <x v="0"/>
    <d v="2024-05-09T00:00:00"/>
    <s v="CUST-7744"/>
    <s v="Kabir Singh"/>
    <x v="0"/>
    <x v="2"/>
    <s v="Andhra Pradesh"/>
    <s v="Vijayawada"/>
    <x v="1"/>
    <x v="10"/>
    <s v="Smart Bookcases 857"/>
    <x v="3"/>
    <n v="7"/>
    <n v="3761.09"/>
    <n v="0.2"/>
    <n v="21062.1"/>
    <n v="21062.104000000003"/>
    <n v="12057.13"/>
    <n v="0.42754389589947911"/>
    <n v="9004.9699999999993"/>
    <n v="9004.9740000000038"/>
    <x v="2"/>
    <x v="1"/>
    <n v="0"/>
    <s v="Clean"/>
    <m/>
  </r>
  <r>
    <s v="ORD-2024-10124"/>
    <d v="2024-05-24T00:00:00"/>
    <x v="4"/>
    <x v="0"/>
    <d v="2024-05-25T00:00:00"/>
    <s v="CUST-1007"/>
    <s v="Sneha Kapoor"/>
    <x v="1"/>
    <x v="0"/>
    <s v="Punjab"/>
    <s v="Ludhiana"/>
    <x v="2"/>
    <x v="6"/>
    <s v="Max Copiers 970"/>
    <x v="1"/>
    <n v="1"/>
    <n v="634.13"/>
    <n v="0"/>
    <n v="634.13"/>
    <n v="634.13"/>
    <n v="453.35"/>
    <n v="0.28508350022865969"/>
    <n v="180.78"/>
    <n v="180.77999999999997"/>
    <x v="1"/>
    <x v="1"/>
    <n v="1"/>
    <s v="Clean"/>
    <s v="conflicting duplicate"/>
  </r>
  <r>
    <s v="ORD-2025-10092"/>
    <d v="2025-02-03T00:00:00"/>
    <x v="6"/>
    <x v="1"/>
    <d v="2025-03-08T00:00:00"/>
    <s v="CUST-6409"/>
    <s v="Sneha Kapoor"/>
    <x v="2"/>
    <x v="3"/>
    <s v="Madhya Pradesh"/>
    <s v="Indore"/>
    <x v="2"/>
    <x v="6"/>
    <s v="Prime Copiers 575"/>
    <x v="0"/>
    <n v="9"/>
    <n v="269.68"/>
    <n v="0"/>
    <n v="2427.12"/>
    <n v="2427.12"/>
    <n v="1538.35"/>
    <n v="0.36618296581957216"/>
    <n v="804.53"/>
    <n v="888.77"/>
    <x v="0"/>
    <x v="0"/>
    <n v="33"/>
    <s v="Clean"/>
    <m/>
  </r>
  <r>
    <s v="ORD-2025-10093"/>
    <d v="2025-01-23T00:00:00"/>
    <x v="8"/>
    <x v="1"/>
    <d v="2025-01-26T00:00:00"/>
    <s v="CUST-3014"/>
    <s v="Aarav Sharma"/>
    <x v="0"/>
    <x v="3"/>
    <s v="Madhya Pradesh"/>
    <s v="Indore"/>
    <x v="0"/>
    <x v="0"/>
    <s v="Elite Paper 669"/>
    <x v="3"/>
    <n v="9"/>
    <n v="4458.26"/>
    <n v="0.1"/>
    <n v="36111.910000000003"/>
    <n v="36111.906000000003"/>
    <n v="29194.5"/>
    <n v="0.19155471882320479"/>
    <n v="6917.41"/>
    <n v="6917.4060000000027"/>
    <x v="0"/>
    <x v="0"/>
    <n v="3"/>
    <s v="Clean"/>
    <m/>
  </r>
  <r>
    <s v="ORD-2024-10094"/>
    <d v="2024-01-07T00:00:00"/>
    <x v="8"/>
    <x v="0"/>
    <d v="2024-01-13T00:00:00"/>
    <s v="CUST-6106"/>
    <s v="Rohan Mehta"/>
    <x v="2"/>
    <x v="0"/>
    <s v="Uttar Pradesh"/>
    <s v="Noida"/>
    <x v="0"/>
    <x v="9"/>
    <s v="Eco Binders 780"/>
    <x v="3"/>
    <n v="7"/>
    <n v="2788.97"/>
    <n v="-0.09"/>
    <n v="19522.79"/>
    <n v="21279.841099999998"/>
    <n v="12455.78"/>
    <m/>
    <n v="7067.01"/>
    <m/>
    <x v="0"/>
    <x v="0"/>
    <n v="6"/>
    <s v="Invalid"/>
    <m/>
  </r>
  <r>
    <s v="ORD-2024-10095"/>
    <d v="2024-09-06T00:00:00"/>
    <x v="9"/>
    <x v="0"/>
    <d v="2024-09-09T00:00:00"/>
    <s v="CUST-1926"/>
    <s v="Diya Patel"/>
    <x v="0"/>
    <x v="0"/>
    <s v="Haryana"/>
    <s v="Gurugram"/>
    <x v="2"/>
    <x v="11"/>
    <s v="Elite Phones 723"/>
    <x v="0"/>
    <n v="7"/>
    <n v="3781.53"/>
    <n v="0"/>
    <n v="26470.71"/>
    <n v="26470.710000000003"/>
    <n v="21367.599999999999"/>
    <n v="0.19278326875251944"/>
    <n v="5103.1099999999997"/>
    <n v="5103.1100000000042"/>
    <x v="2"/>
    <x v="1"/>
    <n v="3"/>
    <s v="Clean"/>
    <m/>
  </r>
  <r>
    <s v="ORD-2025-10096"/>
    <d v="2025-05-09T00:00:00"/>
    <x v="4"/>
    <x v="1"/>
    <d v="2025-09-10T00:00:00"/>
    <s v="CUST-2687"/>
    <s v="Sneha Kapoor"/>
    <x v="2"/>
    <x v="3"/>
    <s v="Goa"/>
    <s v="Panaji"/>
    <x v="1"/>
    <x v="10"/>
    <s v="Classic Bookcases 988"/>
    <x v="1"/>
    <n v="6"/>
    <n v="1754.13"/>
    <n v="0"/>
    <n v="10524.78"/>
    <n v="10524.78"/>
    <n v="8841.0499999999993"/>
    <n v="0.15997769074507984"/>
    <n v="1683.73"/>
    <n v="1683.7300000000014"/>
    <x v="0"/>
    <x v="0"/>
    <n v="124"/>
    <s v="Clean"/>
    <m/>
  </r>
  <r>
    <s v="ORD-2024-10097"/>
    <d v="2024-05-06T00:00:00"/>
    <x v="4"/>
    <x v="0"/>
    <d v="2024-07-06T00:00:00"/>
    <s v="CUST-7283"/>
    <s v="Rahul Verma"/>
    <x v="3"/>
    <x v="1"/>
    <s v="Odisha"/>
    <s v="Bhubaneswar"/>
    <x v="2"/>
    <x v="6"/>
    <s v="Smart Copiers 547"/>
    <x v="0"/>
    <n v="2"/>
    <n v="2259.2399999999998"/>
    <n v="0.15"/>
    <n v="3840.71"/>
    <n v="3840.7079999999996"/>
    <n v="2516.29"/>
    <n v="0.34483694152224009"/>
    <n v="1324.42"/>
    <n v="1324.4179999999997"/>
    <x v="0"/>
    <x v="0"/>
    <n v="61"/>
    <s v="Clean"/>
    <m/>
  </r>
  <r>
    <s v="ORD-2025-10098"/>
    <d v="2025-08-08T00:00:00"/>
    <x v="1"/>
    <x v="1"/>
    <d v="2025-11-08T00:00:00"/>
    <s v="CUST-8111"/>
    <s v="Diya Patel"/>
    <x v="1"/>
    <x v="3"/>
    <s v="Gujarat"/>
    <s v="Ahmedabad"/>
    <x v="0"/>
    <x v="8"/>
    <s v="Basic Storage 656"/>
    <x v="1"/>
    <n v="5"/>
    <n v="3602.36"/>
    <n v="0.2"/>
    <n v="14409.44"/>
    <n v="14409.44"/>
    <n v="8809.9699999999993"/>
    <n v="0.38859733619071951"/>
    <n v="5599.47"/>
    <n v="5599.4700000000012"/>
    <x v="2"/>
    <x v="2"/>
    <n v="92"/>
    <s v="Clean"/>
    <m/>
  </r>
  <r>
    <s v="ORD-2024-10099"/>
    <d v="2024-01-26T00:00:00"/>
    <x v="8"/>
    <x v="0"/>
    <d v="2024-02-01T00:00:00"/>
    <s v="CUST-5434"/>
    <s v="Rohan Mehta"/>
    <x v="3"/>
    <x v="2"/>
    <s v="Kerala"/>
    <s v="Kochi"/>
    <x v="2"/>
    <x v="6"/>
    <s v="Elite Copiers 785"/>
    <x v="4"/>
    <n v="8"/>
    <n v="2108.9299999999998"/>
    <n v="0.1"/>
    <n v="15184.3"/>
    <n v="15184.295999999998"/>
    <n v="11270.74"/>
    <n v="0.25773707256497103"/>
    <n v="3913.56"/>
    <n v="3913.5559999999987"/>
    <x v="0"/>
    <x v="0"/>
    <n v="6"/>
    <s v="Warning"/>
    <m/>
  </r>
  <r>
    <s v="ORD-2025-10100"/>
    <d v="2025-11-01T00:00:00"/>
    <x v="3"/>
    <x v="1"/>
    <d v="2025-11-01T00:00:00"/>
    <s v="CUST-3865"/>
    <s v="Aditi Sen"/>
    <x v="1"/>
    <x v="3"/>
    <s v="Rajasthan"/>
    <s v="Udaipur"/>
    <x v="2"/>
    <x v="5"/>
    <s v="Smart Accessories 542"/>
    <x v="1"/>
    <n v="3"/>
    <n v="2165.29"/>
    <n v="0"/>
    <n v="6495.87"/>
    <n v="6495.87"/>
    <n v="4700.8900000000003"/>
    <n v="0.27632634273777024"/>
    <n v="1794.98"/>
    <n v="1794.9799999999996"/>
    <x v="0"/>
    <x v="0"/>
    <n v="0"/>
    <s v="Clean"/>
    <m/>
  </r>
  <r>
    <s v="ORD-2025-10101"/>
    <d v="2025-12-09T00:00:00"/>
    <x v="7"/>
    <x v="1"/>
    <d v="2025-09-18T00:00:00"/>
    <s v="CUST-6015"/>
    <s v="Aarav Sharma"/>
    <x v="3"/>
    <x v="2"/>
    <s v="Kerala"/>
    <s v="Kochi"/>
    <x v="0"/>
    <x v="8"/>
    <s v="Eco Storage 936"/>
    <x v="3"/>
    <n v="6"/>
    <n v="1673.8"/>
    <n v="0.05"/>
    <n v="9540.66"/>
    <n v="9540.659999999998"/>
    <n v="5561.49"/>
    <n v="0.41707491934520241"/>
    <n v="3979.17"/>
    <n v="3979.1699999999983"/>
    <x v="0"/>
    <x v="0"/>
    <n v="-82"/>
    <s v="Invalid"/>
    <m/>
  </r>
  <r>
    <s v="ORD-2024-10102"/>
    <d v="2024-06-22T00:00:00"/>
    <x v="2"/>
    <x v="0"/>
    <d v="2024-06-26T00:00:00"/>
    <s v="CUST-7909"/>
    <s v="Rohan Mehta"/>
    <x v="3"/>
    <x v="1"/>
    <s v="Bihar"/>
    <s v="Patna"/>
    <x v="1"/>
    <x v="3"/>
    <s v="Classic Furnishings 682"/>
    <x v="2"/>
    <n v="5"/>
    <n v="4396.5200000000004"/>
    <n v="0.25"/>
    <n v="16486.95"/>
    <n v="16486.95"/>
    <n v="12054.14"/>
    <n v="0.26886780150361356"/>
    <n v="4432.8100000000004"/>
    <n v="4432.8100000000013"/>
    <x v="0"/>
    <x v="0"/>
    <n v="4"/>
    <s v="Clean"/>
    <m/>
  </r>
  <r>
    <s v="ORD-2025-10103"/>
    <d v="2025-12-07T00:00:00"/>
    <x v="7"/>
    <x v="1"/>
    <d v="2025-07-16T00:00:00"/>
    <s v="CUST-9603"/>
    <s v="Vikram Iyer"/>
    <x v="0"/>
    <x v="2"/>
    <s v="Karnataka"/>
    <s v="Bengaluru"/>
    <x v="1"/>
    <x v="4"/>
    <s v="Classic Chairs 604"/>
    <x v="2"/>
    <n v="4"/>
    <n v="2865.71"/>
    <n v="0"/>
    <n v="11462.84"/>
    <n v="11462.84"/>
    <n v="8979.7800000000007"/>
    <n v="0.21661822026653077"/>
    <n v="2483.06"/>
    <n v="2483.0599999999995"/>
    <x v="1"/>
    <x v="1"/>
    <n v="-144"/>
    <s v="Invalid"/>
    <m/>
  </r>
  <r>
    <s v="ORD-2025-10104"/>
    <d v="2025-05-02T00:00:00"/>
    <x v="4"/>
    <x v="1"/>
    <d v="2025-05-10T00:00:00"/>
    <s v="CUST-6263"/>
    <s v="Kabir Singh"/>
    <x v="2"/>
    <x v="3"/>
    <s v="Maharashtra"/>
    <s v="Mumbai"/>
    <x v="1"/>
    <x v="1"/>
    <s v="Prime Tables 377"/>
    <x v="2"/>
    <n v="4"/>
    <n v="2440.34"/>
    <n v="0.2"/>
    <n v="7809.09"/>
    <n v="7809.0880000000006"/>
    <n v="6657.75"/>
    <n v="0.14743565445798543"/>
    <n v="1151.3399999999999"/>
    <n v="1151.3380000000006"/>
    <x v="0"/>
    <x v="0"/>
    <n v="8"/>
    <s v="Clean"/>
    <m/>
  </r>
  <r>
    <s v="ORD-2025-10105"/>
    <d v="2025-01-02T00:00:00"/>
    <x v="8"/>
    <x v="1"/>
    <d v="2025-02-08T00:00:00"/>
    <s v="CUST-1576"/>
    <s v="Ananya Rao"/>
    <x v="0"/>
    <x v="2"/>
    <s v="Karnataka"/>
    <s v="Bengaluru"/>
    <x v="0"/>
    <x v="7"/>
    <s v="Prime Labels 807"/>
    <x v="1"/>
    <n v="5"/>
    <n v="2112.54"/>
    <n v="0.25"/>
    <n v="8260.4599999999991"/>
    <n v="7922.0250000000005"/>
    <n v="5619.95"/>
    <n v="0.29059173633004193"/>
    <n v="2302.08"/>
    <n v="2302.0750000000007"/>
    <x v="0"/>
    <x v="1"/>
    <n v="37"/>
    <s v="Clean"/>
    <m/>
  </r>
  <r>
    <s v="ORD-2024-10106"/>
    <d v="2024-06-24T00:00:00"/>
    <x v="2"/>
    <x v="0"/>
    <d v="2024-06-29T00:00:00"/>
    <s v="CUST-6540"/>
    <s v="Mira Das"/>
    <x v="3"/>
    <x v="1"/>
    <s v="West Bengal"/>
    <s v="Kolkata"/>
    <x v="1"/>
    <x v="1"/>
    <s v="Eco Tables 575"/>
    <x v="0"/>
    <n v="2"/>
    <n v="685"/>
    <n v="0.1"/>
    <n v="1233"/>
    <n v="1233"/>
    <n v="1006.9"/>
    <n v="0.18337388483373887"/>
    <n v="226.1"/>
    <n v="226.10000000000002"/>
    <x v="0"/>
    <x v="0"/>
    <n v="5"/>
    <s v="Clean"/>
    <m/>
  </r>
  <r>
    <s v="ORD-2024-10107"/>
    <d v="2024-02-20T00:00:00"/>
    <x v="6"/>
    <x v="0"/>
    <d v="2024-02-28T00:00:00"/>
    <s v="CUST-4008"/>
    <s v="Arjun Bose"/>
    <x v="3"/>
    <x v="1"/>
    <s v="West Bengal"/>
    <s v="Kolkata"/>
    <x v="0"/>
    <x v="0"/>
    <s v="Eco Paper 918"/>
    <x v="3"/>
    <n v="2"/>
    <n v="4004.04"/>
    <n v="0"/>
    <n v="7207.27"/>
    <n v="8008.08"/>
    <n v="5709.39"/>
    <n v="0.28704633320346445"/>
    <n v="1497.88"/>
    <n v="2298.6899999999996"/>
    <x v="0"/>
    <x v="1"/>
    <n v="8"/>
    <s v="Clean"/>
    <m/>
  </r>
  <r>
    <s v="ORD-2024-10108"/>
    <d v="2024-10-29T00:00:00"/>
    <x v="10"/>
    <x v="0"/>
    <d v="2024-04-11T00:00:00"/>
    <s v="CUST-6604"/>
    <s v="Rohan Mehta"/>
    <x v="3"/>
    <x v="1"/>
    <s v="West Bengal"/>
    <s v="Kolkata"/>
    <x v="1"/>
    <x v="3"/>
    <s v="Prime Furnishings 952"/>
    <x v="2"/>
    <n v="3"/>
    <n v="4302.8900000000003"/>
    <n v="0.05"/>
    <n v="12263.24"/>
    <n v="12263.236500000001"/>
    <n v="8925.57"/>
    <n v="0.27216848504878799"/>
    <n v="3337.67"/>
    <n v="3337.6665000000012"/>
    <x v="0"/>
    <x v="0"/>
    <n v="-201"/>
    <s v="Invalid"/>
    <m/>
  </r>
  <r>
    <s v="ORD-2024-10109"/>
    <d v="2024-08-15T00:00:00"/>
    <x v="1"/>
    <x v="0"/>
    <d v="2024-08-23T00:00:00"/>
    <s v="CUST-4337"/>
    <s v="Aditi Sen"/>
    <x v="1"/>
    <x v="1"/>
    <s v="Odisha"/>
    <s v="Bhubaneswar"/>
    <x v="1"/>
    <x v="10"/>
    <s v="Prime Bookcases 631"/>
    <x v="1"/>
    <n v="2"/>
    <n v="537.54"/>
    <n v="0.25"/>
    <n v="806.31"/>
    <n v="806.31"/>
    <n v="498.5"/>
    <n v="0.38175143555208291"/>
    <n v="307.81"/>
    <n v="307.80999999999995"/>
    <x v="0"/>
    <x v="0"/>
    <n v="8"/>
    <s v="Clean"/>
    <m/>
  </r>
  <r>
    <s v="ORD-2025-10110"/>
    <d v="2025-08-23T00:00:00"/>
    <x v="1"/>
    <x v="1"/>
    <d v="2025-08-27T00:00:00"/>
    <s v="CUST-3740"/>
    <s v="Sneha Kapoor"/>
    <x v="0"/>
    <x v="0"/>
    <s v="Delhi"/>
    <s v="New Delhi"/>
    <x v="0"/>
    <x v="9"/>
    <s v="Classic Binders 660"/>
    <x v="0"/>
    <n v="1"/>
    <n v="2788.62"/>
    <n v="0.25"/>
    <n v="2091.4699999999998"/>
    <n v="2091.4650000000001"/>
    <n v="1317.22"/>
    <n v="0.37019266399389905"/>
    <n v="774.25"/>
    <n v="774.24500000000012"/>
    <x v="0"/>
    <x v="0"/>
    <n v="4"/>
    <s v="Clean"/>
    <m/>
  </r>
  <r>
    <s v="ORD-2024-10111"/>
    <d v="2024-10-18T00:00:00"/>
    <x v="10"/>
    <x v="0"/>
    <d v="2024-10-24T00:00:00"/>
    <s v="CUST-7128"/>
    <s v="Vikram Iyer"/>
    <x v="2"/>
    <x v="2"/>
    <s v="Kerala"/>
    <s v="Kochi"/>
    <x v="0"/>
    <x v="7"/>
    <s v="Pro Labels 255"/>
    <x v="2"/>
    <n v="2"/>
    <n v="2250.4699999999998"/>
    <n v="0"/>
    <n v="4500.9399999999996"/>
    <n v="4500.9399999999996"/>
    <n v="2607.73"/>
    <n v="0.42062546934640316"/>
    <n v="1893.21"/>
    <n v="1893.2099999999996"/>
    <x v="1"/>
    <x v="1"/>
    <n v="6"/>
    <s v="Clean"/>
    <m/>
  </r>
  <r>
    <s v="ORD-2025-10112"/>
    <d v="2025-06-27T00:00:00"/>
    <x v="2"/>
    <x v="1"/>
    <d v="2025-06-30T00:00:00"/>
    <s v="CUST-4743"/>
    <s v="Neha Gupta"/>
    <x v="2"/>
    <x v="1"/>
    <s v="Bihar"/>
    <s v="Patna"/>
    <x v="2"/>
    <x v="5"/>
    <s v="Basic Accessories 187"/>
    <x v="2"/>
    <n v="1"/>
    <n v="1708.44"/>
    <n v="0.05"/>
    <n v="1623.02"/>
    <n v="1623.018"/>
    <n v="1077.46"/>
    <n v="0.3361379849145234"/>
    <n v="545.55999999999995"/>
    <n v="545.55799999999999"/>
    <x v="2"/>
    <x v="1"/>
    <n v="3"/>
    <s v="Clean"/>
    <m/>
  </r>
  <r>
    <s v="ORD-2024-10113"/>
    <d v="2024-10-01T00:00:00"/>
    <x v="10"/>
    <x v="0"/>
    <d v="2024-01-14T00:00:00"/>
    <s v="CUST-5213"/>
    <s v="Sneha Kapoor"/>
    <x v="0"/>
    <x v="4"/>
    <s v="Gujarat"/>
    <s v="Ahmedabad"/>
    <x v="2"/>
    <x v="5"/>
    <s v="Max Accessories 451"/>
    <x v="3"/>
    <n v="3"/>
    <n v="3829.48"/>
    <n v="0.05"/>
    <n v="10914.02"/>
    <n v="10914.018"/>
    <n v="6548.74"/>
    <n v="0.39996983695647198"/>
    <n v="4365.28"/>
    <n v="4365.2780000000002"/>
    <x v="0"/>
    <x v="0"/>
    <n v="-261"/>
    <s v="Invalid/Warning"/>
    <m/>
  </r>
  <r>
    <s v="ORD-2024-10114"/>
    <d v="2024-12-02T00:00:00"/>
    <x v="7"/>
    <x v="0"/>
    <d v="2024-12-02T00:00:00"/>
    <s v="CUST-4989"/>
    <s v="Isha Nair"/>
    <x v="3"/>
    <x v="2"/>
    <s v="Tamil Nadu"/>
    <s v="Chennai"/>
    <x v="1"/>
    <x v="1"/>
    <s v="Classic Tables 752"/>
    <x v="3"/>
    <n v="3"/>
    <n v="1089.1500000000001"/>
    <n v="0.25"/>
    <n v="2450.59"/>
    <n v="2450.5875000000001"/>
    <n v="1639.89"/>
    <n v="0.33081761006289306"/>
    <n v="810.7"/>
    <n v="810.69749999999999"/>
    <x v="0"/>
    <x v="0"/>
    <n v="0"/>
    <s v="Clean"/>
    <m/>
  </r>
  <r>
    <s v="ORD-2024-10115"/>
    <d v="2024-09-25T00:00:00"/>
    <x v="9"/>
    <x v="0"/>
    <d v="2024-09-30T00:00:00"/>
    <s v="CUST-2927"/>
    <s v="Neha Gupta"/>
    <x v="1"/>
    <x v="0"/>
    <s v="Rajasthan"/>
    <s v="Jaipur"/>
    <x v="2"/>
    <x v="5"/>
    <s v="Eco Accessories 452"/>
    <x v="0"/>
    <n v="1"/>
    <n v="4388.3999999999996"/>
    <n v="0.1"/>
    <n v="3949.56"/>
    <n v="3949.56"/>
    <n v="3186.73"/>
    <n v="0.19314303365438173"/>
    <n v="762.83"/>
    <n v="762.82999999999993"/>
    <x v="2"/>
    <x v="1"/>
    <n v="5"/>
    <s v="Clean"/>
    <m/>
  </r>
  <r>
    <s v="ORD-2024-10116"/>
    <d v="2024-12-27T00:00:00"/>
    <x v="7"/>
    <x v="0"/>
    <d v="2025-01-01T00:00:00"/>
    <s v="CUST-7764"/>
    <s v="Kabir Singh"/>
    <x v="2"/>
    <x v="2"/>
    <s v="Tamil Nadu"/>
    <s v="Chennai"/>
    <x v="0"/>
    <x v="9"/>
    <s v="Classic Binders 203"/>
    <x v="1"/>
    <n v="2"/>
    <n v="446.34"/>
    <n v="0.15"/>
    <n v="758.78"/>
    <n v="758.77799999999991"/>
    <n v="490.74"/>
    <n v="0.35324956706704719"/>
    <n v="268.04000000000002"/>
    <n v="268.0379999999999"/>
    <x v="0"/>
    <x v="1"/>
    <n v="5"/>
    <s v="Clean"/>
    <m/>
  </r>
  <r>
    <s v="ORD-2025-10117"/>
    <d v="2025-02-15T00:00:00"/>
    <x v="6"/>
    <x v="1"/>
    <d v="2025-02-19T00:00:00"/>
    <s v="CUST-3632"/>
    <s v="Ananya Rao"/>
    <x v="1"/>
    <x v="4"/>
    <s v="Madhya Pradesh"/>
    <s v="Indore"/>
    <x v="0"/>
    <x v="9"/>
    <s v="Basic Binders 859"/>
    <x v="2"/>
    <n v="9"/>
    <n v="531.99"/>
    <n v="0.25"/>
    <n v="3590.93"/>
    <n v="3590.9324999999999"/>
    <n v="3061.39"/>
    <n v="0.14746657031286442"/>
    <n v="529.54"/>
    <n v="529.54250000000002"/>
    <x v="3"/>
    <x v="1"/>
    <n v="4"/>
    <s v="Warning"/>
    <m/>
  </r>
  <r>
    <s v="ORD-2024-10118"/>
    <d v="2024-02-15T00:00:00"/>
    <x v="6"/>
    <x v="0"/>
    <d v="2024-02-17T00:00:00"/>
    <s v="CUST-9608"/>
    <s v="Mira Das"/>
    <x v="3"/>
    <x v="2"/>
    <s v="Tamil Nadu"/>
    <s v="Chennai"/>
    <x v="2"/>
    <x v="12"/>
    <s v="Elite Machines 705"/>
    <x v="3"/>
    <n v="9"/>
    <n v="3324.55"/>
    <n v="0.7"/>
    <n v="25432.81"/>
    <n v="8976.2850000000017"/>
    <n v="20370.16"/>
    <n v="-1.2693307977632167"/>
    <n v="5062.6499999999996"/>
    <n v="-11393.874999999998"/>
    <x v="0"/>
    <x v="0"/>
    <n v="2"/>
    <s v="Clean"/>
    <m/>
  </r>
  <r>
    <s v="ORD-2024-10119"/>
    <d v="2024-06-10T00:00:00"/>
    <x v="2"/>
    <x v="0"/>
    <d v="2024-06-18T00:00:00"/>
    <s v="CUST-9135"/>
    <s v="Vikram Iyer"/>
    <x v="3"/>
    <x v="2"/>
    <s v="Andhra Pradesh"/>
    <s v="Vijayawada"/>
    <x v="2"/>
    <x v="6"/>
    <s v="Pro Copiers 208"/>
    <x v="1"/>
    <n v="5"/>
    <n v="1580.27"/>
    <n v="0.2"/>
    <n v="6321.08"/>
    <n v="6321.0800000000008"/>
    <n v="4407.22"/>
    <n v="0.30277420947053357"/>
    <n v="1913.86"/>
    <n v="1913.8600000000006"/>
    <x v="0"/>
    <x v="0"/>
    <n v="8"/>
    <s v="Clean"/>
    <m/>
  </r>
  <r>
    <s v="ORD-2024-10120"/>
    <d v="2024-12-06T00:00:00"/>
    <x v="7"/>
    <x v="0"/>
    <d v="2024-06-19T00:00:00"/>
    <s v="CUST-7861"/>
    <s v="Aditi Sen"/>
    <x v="1"/>
    <x v="2"/>
    <s v="Kerala"/>
    <s v="Kochi"/>
    <x v="1"/>
    <x v="4"/>
    <s v="Elite Chairs 921"/>
    <x v="3"/>
    <n v="8"/>
    <n v="314.05"/>
    <n v="0.25"/>
    <n v="1884.3"/>
    <n v="1884.3000000000002"/>
    <n v="1517.69"/>
    <n v="0.19456031417502526"/>
    <n v="366.61"/>
    <n v="366.61000000000013"/>
    <x v="1"/>
    <x v="2"/>
    <n v="-170"/>
    <s v="Invalid"/>
    <m/>
  </r>
  <r>
    <s v="ORD-2024-10121"/>
    <d v="2024-10-08T00:00:00"/>
    <x v="10"/>
    <x v="0"/>
    <d v="2024-08-18T00:00:00"/>
    <s v="CUST-6096"/>
    <s v="Sneha Kapoor"/>
    <x v="1"/>
    <x v="1"/>
    <s v="Bihar"/>
    <s v="Patna"/>
    <x v="2"/>
    <x v="11"/>
    <s v="Prime Phones 540"/>
    <x v="3"/>
    <n v="1"/>
    <n v="1823.67"/>
    <n v="0.2"/>
    <n v="1458.94"/>
    <n v="1458.9360000000001"/>
    <n v="893.2"/>
    <n v="0.38777300717783375"/>
    <n v="565.74"/>
    <n v="565.7360000000001"/>
    <x v="0"/>
    <x v="2"/>
    <n v="-51"/>
    <s v="Invalid"/>
    <m/>
  </r>
  <r>
    <s v="ORD-2025-10122"/>
    <d v="2025-08-22T00:00:00"/>
    <x v="1"/>
    <x v="1"/>
    <d v="2025-08-26T00:00:00"/>
    <s v="CUST-2044"/>
    <s v="Kabir Singh"/>
    <x v="1"/>
    <x v="2"/>
    <s v="Andhra Pradesh"/>
    <s v="Vijayawada"/>
    <x v="2"/>
    <x v="12"/>
    <s v="Max Machines 948"/>
    <x v="0"/>
    <n v="5"/>
    <n v="3482.92"/>
    <n v="0"/>
    <n v="17414.599999999999"/>
    <n v="17414.599999999999"/>
    <n v="11760.91"/>
    <n v="0.3246523032398102"/>
    <n v="5653.69"/>
    <n v="5653.6899999999987"/>
    <x v="1"/>
    <x v="1"/>
    <n v="4"/>
    <s v="Clean"/>
    <m/>
  </r>
  <r>
    <s v="ORD-2024-10123"/>
    <d v="2024-11-30T00:00:00"/>
    <x v="3"/>
    <x v="0"/>
    <d v="2024-04-12T00:00:00"/>
    <s v="CUST-1721"/>
    <s v="Ananya Rao"/>
    <x v="1"/>
    <x v="1"/>
    <s v="Assam"/>
    <s v="Guwahati"/>
    <x v="1"/>
    <x v="4"/>
    <s v="Max Chairs 786"/>
    <x v="0"/>
    <n v="3"/>
    <n v="170.35"/>
    <n v="0"/>
    <n v="511.05"/>
    <n v="511.04999999999995"/>
    <n v="367.18"/>
    <n v="0.28151844242246349"/>
    <n v="143.87"/>
    <n v="143.86999999999995"/>
    <x v="0"/>
    <x v="0"/>
    <n v="-232"/>
    <s v="Invalid"/>
    <m/>
  </r>
  <r>
    <s v="ORD-2024-10124"/>
    <d v="2024-05-24T00:00:00"/>
    <x v="4"/>
    <x v="0"/>
    <d v="2024-05-25T00:00:00"/>
    <s v="CUST-1007"/>
    <s v="Sneha Kapoor"/>
    <x v="1"/>
    <x v="0"/>
    <s v="Punjab"/>
    <s v="Ludhiana"/>
    <x v="2"/>
    <x v="6"/>
    <s v="Max Copiers 970"/>
    <x v="1"/>
    <n v="1"/>
    <n v="634.13"/>
    <n v="0"/>
    <n v="808.67"/>
    <n v="634.13"/>
    <n v="453.35"/>
    <n v="0.28508350022865969"/>
    <n v="180.78"/>
    <n v="180.77999999999997"/>
    <x v="1"/>
    <x v="2"/>
    <n v="1"/>
    <s v="Clean"/>
    <s v="conflicting duplicate"/>
  </r>
  <r>
    <s v="ORD-2024-10125"/>
    <d v="2024-07-21T00:00:00"/>
    <x v="0"/>
    <x v="0"/>
    <d v="2024-07-24T00:00:00"/>
    <s v="CUST-4450"/>
    <s v="Isha Nair"/>
    <x v="2"/>
    <x v="2"/>
    <s v="Karnataka"/>
    <s v="Bengaluru"/>
    <x v="2"/>
    <x v="6"/>
    <s v="Pro Copiers 769"/>
    <x v="3"/>
    <n v="9"/>
    <n v="465.06"/>
    <n v="-0.15"/>
    <n v="4185.54"/>
    <n v="4813.3709999999992"/>
    <n v="3443.74"/>
    <m/>
    <n v="741.8"/>
    <m/>
    <x v="0"/>
    <x v="0"/>
    <n v="3"/>
    <s v="Invalid"/>
    <m/>
  </r>
  <r>
    <s v="ORD-2025-10126"/>
    <d v="2025-07-17T00:00:00"/>
    <x v="0"/>
    <x v="1"/>
    <d v="2025-07-18T00:00:00"/>
    <s v="CUST-7924"/>
    <s v="Neha Gupta"/>
    <x v="1"/>
    <x v="3"/>
    <s v="Rajasthan"/>
    <s v="Udaipur"/>
    <x v="1"/>
    <x v="1"/>
    <s v="Basic Tables 753"/>
    <x v="1"/>
    <n v="6"/>
    <n v="3235.27"/>
    <n v="0.25"/>
    <n v="14558.72"/>
    <n v="14558.715"/>
    <n v="9591.48"/>
    <n v="0.34118636157105903"/>
    <n v="4967.24"/>
    <n v="4967.2350000000006"/>
    <x v="1"/>
    <x v="2"/>
    <n v="1"/>
    <s v="Clean"/>
    <m/>
  </r>
  <r>
    <s v="ORD-2025-10127"/>
    <d v="2025-09-24T00:00:00"/>
    <x v="9"/>
    <x v="1"/>
    <d v="2025-09-26T00:00:00"/>
    <s v="CUST-1715"/>
    <s v="Priya Menon"/>
    <x v="2"/>
    <x v="0"/>
    <s v="Delhi"/>
    <s v="New Delhi"/>
    <x v="2"/>
    <x v="6"/>
    <s v="Prime Copiers 651"/>
    <x v="3"/>
    <n v="3"/>
    <n v="1593.86"/>
    <n v="0.1"/>
    <n v="4303.42"/>
    <n v="4303.4220000000005"/>
    <n v="2568.5700000000002"/>
    <n v="0.40313313451481175"/>
    <n v="1734.85"/>
    <n v="1734.8520000000003"/>
    <x v="0"/>
    <x v="0"/>
    <n v="2"/>
    <s v="Clean"/>
    <m/>
  </r>
  <r>
    <s v="ORD-2025-10128"/>
    <d v="2025-01-30T00:00:00"/>
    <x v="8"/>
    <x v="1"/>
    <d v="2025-01-26T00:00:00"/>
    <s v="CUST-6802"/>
    <s v="Priya Menon"/>
    <x v="2"/>
    <x v="3"/>
    <s v="Madhya Pradesh"/>
    <s v="Indore"/>
    <x v="0"/>
    <x v="8"/>
    <s v="Basic Storage 321"/>
    <x v="0"/>
    <n v="2"/>
    <n v="3039.3"/>
    <n v="0.05"/>
    <n v="5774.67"/>
    <n v="5774.67"/>
    <n v="3518.36"/>
    <n v="0.39072535746631409"/>
    <n v="2256.31"/>
    <n v="2256.31"/>
    <x v="0"/>
    <x v="0"/>
    <n v="-4"/>
    <s v="Invalid"/>
    <m/>
  </r>
  <r>
    <s v="ORD-2024-10129"/>
    <d v="2024-12-13T00:00:00"/>
    <x v="7"/>
    <x v="0"/>
    <d v="2024-12-16T00:00:00"/>
    <s v="CUST-9328"/>
    <s v="Neha Gupta"/>
    <x v="1"/>
    <x v="1"/>
    <s v="Odisha"/>
    <s v="Bhubaneswar"/>
    <x v="1"/>
    <x v="3"/>
    <s v="Prime Furnishings 710"/>
    <x v="3"/>
    <n v="5"/>
    <n v="923.45"/>
    <n v="0.05"/>
    <n v="4386.3900000000003"/>
    <n v="4386.3874999999998"/>
    <n v="3366.88"/>
    <n v="0.2324253158208206"/>
    <n v="1019.51"/>
    <n v="1019.5074999999997"/>
    <x v="0"/>
    <x v="2"/>
    <n v="3"/>
    <s v="Clean"/>
    <m/>
  </r>
  <r>
    <s v="ORD-2024-10130"/>
    <d v="2024-07-19T00:00:00"/>
    <x v="0"/>
    <x v="0"/>
    <d v="2024-07-25T00:00:00"/>
    <s v="CUST-2588"/>
    <s v="Isha Nair"/>
    <x v="1"/>
    <x v="3"/>
    <s v="Goa"/>
    <s v="Panaji"/>
    <x v="0"/>
    <x v="9"/>
    <s v="Elite Binders 723"/>
    <x v="3"/>
    <n v="7"/>
    <n v="2741.29"/>
    <n v="0.05"/>
    <n v="18229.580000000002"/>
    <n v="18229.5785"/>
    <n v="15139.15"/>
    <n v="0.16952824773211295"/>
    <n v="3090.43"/>
    <n v="3090.4285"/>
    <x v="0"/>
    <x v="0"/>
    <n v="6"/>
    <s v="Clean"/>
    <m/>
  </r>
  <r>
    <s v="ORD-2024-10131"/>
    <d v="2024-01-27T00:00:00"/>
    <x v="8"/>
    <x v="0"/>
    <d v="2024-02-02T00:00:00"/>
    <s v="CUST-5435"/>
    <s v="Arjun Bose"/>
    <x v="0"/>
    <x v="3"/>
    <s v="Gujarat"/>
    <s v="Ahmedabad"/>
    <x v="0"/>
    <x v="7"/>
    <s v="Smart Labels 878"/>
    <x v="1"/>
    <n v="5"/>
    <n v="218.42"/>
    <n v="0.2"/>
    <n v="873.68"/>
    <n v="873.68"/>
    <n v="661.72"/>
    <n v="0.24260598846259493"/>
    <n v="211.96"/>
    <n v="211.95999999999992"/>
    <x v="2"/>
    <x v="1"/>
    <n v="6"/>
    <s v="Clean"/>
    <m/>
  </r>
  <r>
    <s v="ORD-2025-10132"/>
    <d v="2025-09-29T00:00:00"/>
    <x v="9"/>
    <x v="1"/>
    <d v="2025-04-10T00:00:00"/>
    <s v="CUST-7637"/>
    <s v="Ananya Rao"/>
    <x v="3"/>
    <x v="1"/>
    <s v="Jharkhand"/>
    <s v="Ranchi"/>
    <x v="0"/>
    <x v="0"/>
    <s v="Pro Paper 934"/>
    <x v="1"/>
    <n v="9"/>
    <n v="373.91"/>
    <n v="0.2"/>
    <n v="2692.15"/>
    <n v="2692.152"/>
    <n v="2044.49"/>
    <n v="0.24057408348414205"/>
    <n v="647.66"/>
    <n v="647.66200000000003"/>
    <x v="0"/>
    <x v="0"/>
    <n v="-172"/>
    <s v="Invalid"/>
    <m/>
  </r>
  <r>
    <s v="ORD-2024-10133"/>
    <d v="2024-04-11T00:00:00"/>
    <x v="5"/>
    <x v="0"/>
    <d v="2024-04-11T00:00:00"/>
    <s v="CUST-3602"/>
    <s v="Kabir Singh"/>
    <x v="2"/>
    <x v="1"/>
    <s v="Assam"/>
    <s v="Guwahati"/>
    <x v="2"/>
    <x v="12"/>
    <s v="Classic Machines 886"/>
    <x v="2"/>
    <n v="2"/>
    <n v="533.08000000000004"/>
    <n v="0"/>
    <n v="1066.1600000000001"/>
    <n v="1066.1600000000001"/>
    <n v="656.3"/>
    <n v="0.38442635251744589"/>
    <n v="409.86"/>
    <n v="409.86000000000013"/>
    <x v="3"/>
    <x v="1"/>
    <n v="0"/>
    <s v="Clean"/>
    <m/>
  </r>
  <r>
    <s v="ORD-2024-10134"/>
    <d v="2024-12-13T00:00:00"/>
    <x v="7"/>
    <x v="0"/>
    <d v="2024-12-18T00:00:00"/>
    <s v="CUST-9441"/>
    <s v="Karan Malhotra"/>
    <x v="0"/>
    <x v="3"/>
    <s v="Goa"/>
    <s v="Panaji"/>
    <x v="2"/>
    <x v="11"/>
    <s v="Prime Phones 419"/>
    <x v="0"/>
    <n v="8"/>
    <n v="3372.15"/>
    <n v="0.15"/>
    <n v="22930.62"/>
    <n v="22930.62"/>
    <n v="16875.55"/>
    <n v="0.26406045715292475"/>
    <n v="6055.07"/>
    <n v="6055.07"/>
    <x v="0"/>
    <x v="0"/>
    <n v="5"/>
    <s v="Clean"/>
    <m/>
  </r>
  <r>
    <s v="ORD-2025-10135"/>
    <d v="2025-07-14T00:00:00"/>
    <x v="0"/>
    <x v="1"/>
    <d v="2025-07-14T00:00:00"/>
    <s v="CUST-7361"/>
    <s v="Vikram Iyer"/>
    <x v="3"/>
    <x v="1"/>
    <s v="West Bengal"/>
    <s v="Kolkata"/>
    <x v="1"/>
    <x v="10"/>
    <s v="Elite Bookcases 266"/>
    <x v="4"/>
    <n v="5"/>
    <n v="383.1"/>
    <n v="0.25"/>
    <n v="1436.62"/>
    <n v="1436.625"/>
    <n v="912.52"/>
    <n v="0.36481684503610895"/>
    <n v="524.1"/>
    <n v="524.10500000000002"/>
    <x v="2"/>
    <x v="1"/>
    <n v="0"/>
    <s v="Warning"/>
    <m/>
  </r>
  <r>
    <s v="ORD-2025-10136"/>
    <d v="2025-08-24T00:00:00"/>
    <x v="1"/>
    <x v="1"/>
    <d v="2025-08-24T00:00:00"/>
    <s v="CUST-1148"/>
    <s v="Diya Patel"/>
    <x v="1"/>
    <x v="2"/>
    <s v="Kerala"/>
    <s v="Kochi"/>
    <x v="1"/>
    <x v="10"/>
    <s v="Prime Bookcases 954"/>
    <x v="3"/>
    <n v="1"/>
    <n v="3424.78"/>
    <n v="0"/>
    <n v="3424.78"/>
    <n v="3424.78"/>
    <n v="1951.45"/>
    <n v="0.43019697615613267"/>
    <n v="1473.33"/>
    <n v="1473.3300000000002"/>
    <x v="0"/>
    <x v="0"/>
    <n v="0"/>
    <s v="Clean"/>
    <m/>
  </r>
  <r>
    <s v="ORD-2025-10137"/>
    <d v="2025-09-02T00:00:00"/>
    <x v="9"/>
    <x v="1"/>
    <d v="2025-02-15T00:00:00"/>
    <s v="CUST-3350"/>
    <s v="Mira Das"/>
    <x v="3"/>
    <x v="1"/>
    <s v="Jharkhand"/>
    <s v="Ranchi"/>
    <x v="0"/>
    <x v="9"/>
    <s v="Max Binders 362"/>
    <x v="3"/>
    <n v="9"/>
    <n v="4330.33"/>
    <n v="0.2"/>
    <n v="31178.38"/>
    <n v="31178.376000000004"/>
    <n v="21421.09"/>
    <n v="0.31295042435821552"/>
    <n v="9757.2900000000009"/>
    <n v="9757.2860000000037"/>
    <x v="0"/>
    <x v="0"/>
    <n v="-199"/>
    <s v="Invalid"/>
    <m/>
  </r>
  <r>
    <s v="ORD-2025-10138"/>
    <d v="2025-01-09T00:00:00"/>
    <x v="8"/>
    <x v="1"/>
    <d v="2025-09-01T00:00:00"/>
    <s v="CUST-7932"/>
    <s v="Sneha Kapoor"/>
    <x v="1"/>
    <x v="0"/>
    <s v="Rajasthan"/>
    <s v="Jaipur"/>
    <x v="1"/>
    <x v="4"/>
    <s v="Prime Chairs 261"/>
    <x v="1"/>
    <n v="8"/>
    <n v="2667.07"/>
    <n v="0.1"/>
    <n v="19202.900000000001"/>
    <n v="19202.904000000002"/>
    <n v="15526.62"/>
    <n v="0.19144416906942829"/>
    <n v="3676.28"/>
    <n v="3676.2840000000015"/>
    <x v="0"/>
    <x v="0"/>
    <n v="235"/>
    <s v="Clean"/>
    <m/>
  </r>
  <r>
    <s v="ORD-2024-10139"/>
    <d v="2024-01-20T00:00:00"/>
    <x v="8"/>
    <x v="0"/>
    <d v="2024-01-26T00:00:00"/>
    <s v="CUST-7173"/>
    <s v="Diya Patel"/>
    <x v="3"/>
    <x v="1"/>
    <s v="Jharkhand"/>
    <s v="Ranchi"/>
    <x v="2"/>
    <x v="12"/>
    <s v="Basic Machines 185"/>
    <x v="3"/>
    <n v="8"/>
    <n v="4003.05"/>
    <n v="0.25"/>
    <n v="24018.3"/>
    <n v="24018.300000000003"/>
    <n v="14070.78"/>
    <n v="0.41416419979765434"/>
    <n v="9947.52"/>
    <n v="9947.5200000000023"/>
    <x v="0"/>
    <x v="0"/>
    <n v="6"/>
    <s v="Clean"/>
    <m/>
  </r>
  <r>
    <s v="ORD-2025-10140"/>
    <d v="2025-03-02T00:00:00"/>
    <x v="11"/>
    <x v="1"/>
    <d v="2025-07-03T00:00:00"/>
    <s v="CUST-4225"/>
    <s v="Neha Gupta"/>
    <x v="3"/>
    <x v="2"/>
    <s v="Karnataka"/>
    <s v="Bengaluru"/>
    <x v="0"/>
    <x v="7"/>
    <s v="Basic Labels 509"/>
    <x v="3"/>
    <n v="8"/>
    <n v="1287.6300000000001"/>
    <n v="0"/>
    <n v="10301.040000000001"/>
    <n v="10301.040000000001"/>
    <n v="6564.06"/>
    <n v="0.3627769623261341"/>
    <n v="3736.98"/>
    <n v="3736.9800000000005"/>
    <x v="0"/>
    <x v="0"/>
    <n v="123"/>
    <s v="Clean"/>
    <m/>
  </r>
  <r>
    <s v="ORD-2024-10141"/>
    <d v="2024-05-31T00:00:00"/>
    <x v="4"/>
    <x v="0"/>
    <d v="2024-01-06T00:00:00"/>
    <s v="CUST-2149"/>
    <s v="Mira Das"/>
    <x v="2"/>
    <x v="2"/>
    <s v="Karnataka"/>
    <s v="Bengaluru"/>
    <x v="1"/>
    <x v="10"/>
    <s v="Elite Bookcases 696"/>
    <x v="1"/>
    <n v="3"/>
    <n v="2914.55"/>
    <n v="0"/>
    <n v="8743.65"/>
    <n v="8743.6500000000015"/>
    <n v="6603.76"/>
    <n v="0.24473646589239059"/>
    <n v="2139.89"/>
    <n v="2139.8900000000012"/>
    <x v="0"/>
    <x v="0"/>
    <n v="-146"/>
    <s v="Invalid"/>
    <m/>
  </r>
  <r>
    <s v="ORD-2024-10142"/>
    <d v="2024-03-23T00:00:00"/>
    <x v="11"/>
    <x v="0"/>
    <d v="2024-03-29T00:00:00"/>
    <s v="CUST-3314"/>
    <s v="Priya Menon"/>
    <x v="2"/>
    <x v="0"/>
    <s v="Delhi"/>
    <s v="New Delhi"/>
    <x v="1"/>
    <x v="10"/>
    <s v="Elite Bookcases 772"/>
    <x v="1"/>
    <n v="7"/>
    <n v="634.29"/>
    <n v="0.1"/>
    <n v="3996.03"/>
    <n v="3996.027"/>
    <n v="2859.51"/>
    <n v="0.28441174196270441"/>
    <n v="1136.52"/>
    <n v="1136.5169999999998"/>
    <x v="0"/>
    <x v="2"/>
    <n v="6"/>
    <s v="Clean"/>
    <m/>
  </r>
  <r>
    <s v="ORD-2024-10143"/>
    <d v="2024-03-30T00:00:00"/>
    <x v="11"/>
    <x v="0"/>
    <d v="2024-03-26T00:00:00"/>
    <s v="CUST-8944"/>
    <s v="Aditi Sen"/>
    <x v="3"/>
    <x v="0"/>
    <s v="Rajasthan"/>
    <s v="Jaipur"/>
    <x v="2"/>
    <x v="11"/>
    <s v="Classic Phones 142"/>
    <x v="0"/>
    <n v="5"/>
    <n v="907.54"/>
    <n v="0.15"/>
    <n v="3857.04"/>
    <n v="3857.0449999999996"/>
    <n v="2769.26"/>
    <n v="0.28202548842442843"/>
    <n v="1087.78"/>
    <n v="1087.7849999999994"/>
    <x v="0"/>
    <x v="0"/>
    <n v="-4"/>
    <s v="Invalid"/>
    <s v="conflicting duplicate"/>
  </r>
  <r>
    <s v="ORD-2024-10144"/>
    <d v="2024-03-24T00:00:00"/>
    <x v="11"/>
    <x v="0"/>
    <d v="2024-03-26T00:00:00"/>
    <s v="CUST-3144"/>
    <s v="Priya Menon"/>
    <x v="0"/>
    <x v="3"/>
    <s v="Gujarat"/>
    <s v="Ahmedabad"/>
    <x v="0"/>
    <x v="0"/>
    <s v="Pro Paper 575"/>
    <x v="0"/>
    <n v="1"/>
    <n v="3409.5"/>
    <n v="0.1"/>
    <n v="3068.55"/>
    <n v="3068.55"/>
    <n v="1916.16"/>
    <n v="0.3755487119323459"/>
    <n v="1152.3900000000001"/>
    <n v="1152.3900000000001"/>
    <x v="0"/>
    <x v="2"/>
    <n v="2"/>
    <s v="Clean"/>
    <m/>
  </r>
  <r>
    <s v="ORD-2024-10145"/>
    <d v="2024-07-06T00:00:00"/>
    <x v="0"/>
    <x v="0"/>
    <d v="2024-06-15T00:00:00"/>
    <s v="CUST-6747"/>
    <s v="Kabir Singh"/>
    <x v="1"/>
    <x v="2"/>
    <s v="Telangana"/>
    <s v="Hyderabad"/>
    <x v="2"/>
    <x v="5"/>
    <s v="Elite Accessories 905"/>
    <x v="2"/>
    <n v="7"/>
    <n v="2147.9899999999998"/>
    <n v="0.25"/>
    <n v="11276.95"/>
    <n v="11276.947499999998"/>
    <n v="6908.76"/>
    <n v="0.38735548782150481"/>
    <n v="4368.1899999999996"/>
    <n v="4368.1874999999982"/>
    <x v="1"/>
    <x v="2"/>
    <n v="-21"/>
    <s v="Invalid"/>
    <m/>
  </r>
  <r>
    <s v="ORD-2025-10146"/>
    <d v="2025-11-04T00:00:00"/>
    <x v="3"/>
    <x v="1"/>
    <d v="2025-04-13T00:00:00"/>
    <s v="CUST-6161"/>
    <s v="Mira Das"/>
    <x v="1"/>
    <x v="3"/>
    <s v="Goa"/>
    <s v="Panaji"/>
    <x v="0"/>
    <x v="0"/>
    <s v="Smart Paper 899"/>
    <x v="3"/>
    <n v="4"/>
    <n v="4182.1499999999996"/>
    <n v="0.1"/>
    <n v="15055.74"/>
    <n v="15055.74"/>
    <n v="9808.83"/>
    <n v="0.34849897779850075"/>
    <n v="5246.91"/>
    <n v="5246.91"/>
    <x v="0"/>
    <x v="0"/>
    <n v="-205"/>
    <s v="Invalid"/>
    <m/>
  </r>
  <r>
    <s v="ORD-2025-10147"/>
    <d v="2025-07-30T00:00:00"/>
    <x v="0"/>
    <x v="1"/>
    <d v="2025-08-01T00:00:00"/>
    <s v="CUST-1460"/>
    <s v="Sneha Kapoor"/>
    <x v="1"/>
    <x v="2"/>
    <s v="Tamil Nadu"/>
    <s v="Chennai"/>
    <x v="0"/>
    <x v="8"/>
    <s v="Classic Storage 423"/>
    <x v="1"/>
    <n v="9"/>
    <n v="3165.43"/>
    <n v="0.1"/>
    <n v="25639.98"/>
    <n v="25639.983"/>
    <n v="21635.08"/>
    <n v="0.1561975684617263"/>
    <n v="4004.9"/>
    <n v="4004.9029999999984"/>
    <x v="0"/>
    <x v="0"/>
    <n v="2"/>
    <s v="Clean"/>
    <m/>
  </r>
  <r>
    <s v="ORD-2024-10148"/>
    <d v="2024-12-23T00:00:00"/>
    <x v="7"/>
    <x v="0"/>
    <d v="2024-12-30T00:00:00"/>
    <s v="CUST-2692"/>
    <s v="Priya Menon"/>
    <x v="3"/>
    <x v="3"/>
    <s v="Goa"/>
    <s v="Panaji"/>
    <x v="1"/>
    <x v="3"/>
    <s v="Classic Furnishings 743"/>
    <x v="2"/>
    <n v="8"/>
    <n v="386.1"/>
    <n v="0.1"/>
    <n v="2779.92"/>
    <n v="2779.92"/>
    <n v="1744.05"/>
    <n v="0.37262583095916435"/>
    <n v="1035.8699999999999"/>
    <n v="1035.8700000000001"/>
    <x v="0"/>
    <x v="0"/>
    <n v="7"/>
    <s v="Clean"/>
    <m/>
  </r>
  <r>
    <s v="ORD-2025-10149"/>
    <d v="2025-09-02T00:00:00"/>
    <x v="9"/>
    <x v="1"/>
    <d v="2025-02-13T00:00:00"/>
    <s v="CUST-2822"/>
    <s v="Mira Das"/>
    <x v="3"/>
    <x v="3"/>
    <s v="Madhya Pradesh"/>
    <s v="Indore"/>
    <x v="2"/>
    <x v="11"/>
    <s v="Smart Phones 336"/>
    <x v="4"/>
    <n v="8"/>
    <n v="1696.07"/>
    <n v="0.25"/>
    <n v="10176.42"/>
    <n v="10176.42"/>
    <n v="7604.47"/>
    <n v="0.252736227474888"/>
    <n v="2571.9499999999998"/>
    <n v="2571.9499999999998"/>
    <x v="0"/>
    <x v="0"/>
    <n v="-201"/>
    <s v="Invalid/Warning"/>
    <m/>
  </r>
  <r>
    <s v="ORD-2024-10150"/>
    <d v="2024-01-30T00:00:00"/>
    <x v="8"/>
    <x v="0"/>
    <d v="2024-01-30T00:00:00"/>
    <s v="CUST-5876"/>
    <s v="Aarav Sharma"/>
    <x v="1"/>
    <x v="3"/>
    <s v="Rajasthan"/>
    <s v="Udaipur"/>
    <x v="2"/>
    <x v="6"/>
    <s v="Eco Copiers 381"/>
    <x v="1"/>
    <n v="7"/>
    <n v="2527.61"/>
    <n v="0.25"/>
    <n v="13269.95"/>
    <n v="13269.952499999999"/>
    <n v="8977.1"/>
    <n v="0.32350172315989822"/>
    <n v="4292.8500000000004"/>
    <n v="4292.8524999999991"/>
    <x v="0"/>
    <x v="0"/>
    <n v="0"/>
    <s v="Clean"/>
    <m/>
  </r>
  <r>
    <s v="ORD-2024-10151"/>
    <d v="2024-04-03T00:00:00"/>
    <x v="5"/>
    <x v="0"/>
    <d v="2024-12-03T00:00:00"/>
    <s v="CUST-4661"/>
    <s v="Arjun Bose"/>
    <x v="0"/>
    <x v="4"/>
    <s v="Gujarat"/>
    <s v="Ahmedabad"/>
    <x v="1"/>
    <x v="10"/>
    <s v="Max Bookcases 595"/>
    <x v="2"/>
    <n v="1"/>
    <n v="1554.12"/>
    <n v="0.1"/>
    <n v="1398.71"/>
    <n v="1398.7079999999999"/>
    <n v="1056.92"/>
    <n v="0.24435979489643286"/>
    <n v="341.79"/>
    <n v="341.78799999999978"/>
    <x v="0"/>
    <x v="0"/>
    <n v="244"/>
    <s v="Warning"/>
    <m/>
  </r>
  <r>
    <s v="ORD-2024-10152"/>
    <d v="2024-06-27T00:00:00"/>
    <x v="2"/>
    <x v="0"/>
    <d v="2024-06-27T00:00:00"/>
    <s v="CUST-6011"/>
    <s v="Neha Gupta"/>
    <x v="3"/>
    <x v="4"/>
    <s v="Madhya Pradesh"/>
    <s v="Indore"/>
    <x v="2"/>
    <x v="6"/>
    <s v="Max Copiers 992"/>
    <x v="3"/>
    <n v="2"/>
    <n v="3859.11"/>
    <n v="0"/>
    <n v="7718.22"/>
    <n v="7718.22"/>
    <n v="5355.93"/>
    <n v="0.30606668376905555"/>
    <n v="2362.29"/>
    <n v="2362.29"/>
    <x v="2"/>
    <x v="2"/>
    <n v="0"/>
    <s v="Warning"/>
    <m/>
  </r>
  <r>
    <s v="ORD-2024-10153"/>
    <d v="2024-06-14T00:00:00"/>
    <x v="2"/>
    <x v="0"/>
    <d v="2024-06-17T00:00:00"/>
    <s v="CUST-6160"/>
    <s v="Kabir Singh"/>
    <x v="1"/>
    <x v="2"/>
    <s v="Kerala"/>
    <s v="Kochi"/>
    <x v="1"/>
    <x v="1"/>
    <s v="Pro Tables 407"/>
    <x v="0"/>
    <n v="6"/>
    <n v="1088.04"/>
    <n v="0.1"/>
    <n v="5875.42"/>
    <n v="5875.4160000000002"/>
    <n v="4380.55"/>
    <n v="0.25442726098032886"/>
    <n v="1494.87"/>
    <n v="1494.866"/>
    <x v="2"/>
    <x v="2"/>
    <n v="3"/>
    <s v="Clean"/>
    <m/>
  </r>
  <r>
    <s v="ORD-2025-10154"/>
    <d v="2025-09-23T00:00:00"/>
    <x v="9"/>
    <x v="1"/>
    <d v="2025-09-25T00:00:00"/>
    <s v="CUST-6971"/>
    <s v="Aditi Sen"/>
    <x v="0"/>
    <x v="1"/>
    <s v="Odisha"/>
    <s v="Bhubaneswar"/>
    <x v="0"/>
    <x v="7"/>
    <s v="Prime Labels 559"/>
    <x v="3"/>
    <n v="7"/>
    <n v="3280.31"/>
    <n v="0"/>
    <n v="22962.17"/>
    <n v="22962.17"/>
    <n v="15716.5"/>
    <n v="0.31554813852523517"/>
    <n v="7245.67"/>
    <n v="7245.6699999999983"/>
    <x v="1"/>
    <x v="2"/>
    <n v="2"/>
    <s v="Clean"/>
    <m/>
  </r>
  <r>
    <s v="ORD-2024-10155"/>
    <d v="2024-12-02T00:00:00"/>
    <x v="7"/>
    <x v="0"/>
    <d v="2024-02-11T00:00:00"/>
    <s v="CUST-7764"/>
    <s v="Priya Menon"/>
    <x v="0"/>
    <x v="2"/>
    <s v="Tamil Nadu"/>
    <s v="Chennai"/>
    <x v="1"/>
    <x v="10"/>
    <s v="Classic Bookcases 847"/>
    <x v="1"/>
    <n v="1"/>
    <n v="2599.12"/>
    <n v="0.15"/>
    <n v="2209.25"/>
    <n v="2209.252"/>
    <n v="1523.78"/>
    <n v="0.31027334138432372"/>
    <n v="685.47"/>
    <n v="685.47199999999998"/>
    <x v="0"/>
    <x v="0"/>
    <n v="-295"/>
    <s v="Invalid"/>
    <m/>
  </r>
  <r>
    <s v="ORD-2025-10156"/>
    <d v="2025-01-26T00:00:00"/>
    <x v="8"/>
    <x v="1"/>
    <d v="2025-03-02T00:00:00"/>
    <s v="CUST-8327"/>
    <s v="Karan Malhotra"/>
    <x v="2"/>
    <x v="3"/>
    <s v="Rajasthan"/>
    <s v="Udaipur"/>
    <x v="1"/>
    <x v="3"/>
    <s v="Classic Furnishings 655"/>
    <x v="1"/>
    <n v="3"/>
    <n v="2859.32"/>
    <n v="0.1"/>
    <n v="7720.16"/>
    <n v="7720.1640000000007"/>
    <n v="5881"/>
    <n v="0.23822861794127695"/>
    <n v="1839.16"/>
    <n v="1839.1640000000007"/>
    <x v="1"/>
    <x v="2"/>
    <n v="35"/>
    <s v="Clean"/>
    <m/>
  </r>
  <r>
    <s v="ORD-2025-10157"/>
    <d v="2025-03-27T00:00:00"/>
    <x v="11"/>
    <x v="1"/>
    <d v="2025-03-27T00:00:00"/>
    <s v="CUST-4058"/>
    <s v="Vikram Iyer"/>
    <x v="1"/>
    <x v="1"/>
    <s v="Bihar"/>
    <s v="Patna"/>
    <x v="2"/>
    <x v="12"/>
    <s v="Eco Machines 657"/>
    <x v="0"/>
    <n v="7"/>
    <n v="2305.37"/>
    <n v="0.25"/>
    <n v="12103.19"/>
    <n v="12103.192500000001"/>
    <n v="6717.87"/>
    <n v="0.44495057812225997"/>
    <n v="5385.32"/>
    <n v="5385.3225000000011"/>
    <x v="0"/>
    <x v="0"/>
    <n v="0"/>
    <s v="Clean"/>
    <m/>
  </r>
  <r>
    <s v="ORD-2024-10158"/>
    <d v="2024-10-22T00:00:00"/>
    <x v="10"/>
    <x v="0"/>
    <d v="2024-10-24T00:00:00"/>
    <s v="CUST-1142"/>
    <s v="Rohan Mehta"/>
    <x v="1"/>
    <x v="2"/>
    <s v="Andhra Pradesh"/>
    <s v="Vijayawada"/>
    <x v="1"/>
    <x v="10"/>
    <s v="Pro Bookcases 430"/>
    <x v="3"/>
    <n v="3"/>
    <n v="915.84"/>
    <n v="0.15"/>
    <n v="2335.39"/>
    <n v="2335.3919999999998"/>
    <n v="1466.15"/>
    <n v="0.3722038955344541"/>
    <n v="869.24"/>
    <n v="869.24199999999973"/>
    <x v="0"/>
    <x v="0"/>
    <n v="2"/>
    <s v="Clean"/>
    <m/>
  </r>
  <r>
    <s v="ORD-2024-10159"/>
    <d v="2024-09-09T00:00:00"/>
    <x v="9"/>
    <x v="0"/>
    <d v="2024-09-11T00:00:00"/>
    <s v="CUST-2324"/>
    <s v="Neha Gupta"/>
    <x v="3"/>
    <x v="2"/>
    <s v="Telangana"/>
    <s v="Hyderabad"/>
    <x v="1"/>
    <x v="10"/>
    <s v="Max Bookcases 881"/>
    <x v="2"/>
    <n v="1"/>
    <n v="4199.54"/>
    <n v="0.05"/>
    <n v="3989.56"/>
    <n v="3989.5629999999996"/>
    <n v="2381.38"/>
    <n v="0.40309753223598666"/>
    <n v="1608.18"/>
    <n v="1608.1829999999995"/>
    <x v="0"/>
    <x v="0"/>
    <n v="2"/>
    <s v="Clean"/>
    <m/>
  </r>
  <r>
    <s v="ORD-2025-10160"/>
    <d v="2025-01-30T00:00:00"/>
    <x v="8"/>
    <x v="1"/>
    <d v="2025-04-02T00:00:00"/>
    <s v="CUST-7717"/>
    <s v="Priya Menon"/>
    <x v="2"/>
    <x v="0"/>
    <s v="Haryana"/>
    <s v="Gurugram"/>
    <x v="1"/>
    <x v="4"/>
    <s v="Elite Chairs 998"/>
    <x v="1"/>
    <n v="9"/>
    <n v="4430.5"/>
    <n v="0.15"/>
    <n v="33893.32"/>
    <n v="33893.324999999997"/>
    <n v="25750.35"/>
    <n v="0.24025305867748292"/>
    <n v="8142.97"/>
    <n v="8142.9749999999985"/>
    <x v="2"/>
    <x v="1"/>
    <n v="62"/>
    <s v="Clean"/>
    <m/>
  </r>
  <r>
    <s v="ORD-2025-10161"/>
    <d v="2025-08-10T00:00:00"/>
    <x v="1"/>
    <x v="1"/>
    <d v="2025-10-06T00:00:00"/>
    <s v="CUST-4932"/>
    <s v="Vikram Iyer"/>
    <x v="1"/>
    <x v="3"/>
    <s v="Maharashtra"/>
    <s v="Mumbai"/>
    <x v="0"/>
    <x v="0"/>
    <s v="Max Paper 113"/>
    <x v="0"/>
    <n v="4"/>
    <n v="1260.42"/>
    <n v="0.05"/>
    <n v="4789.6000000000004"/>
    <n v="4789.5960000000005"/>
    <n v="4037.64"/>
    <n v="0.1569977927157114"/>
    <n v="751.96"/>
    <n v="751.95600000000059"/>
    <x v="2"/>
    <x v="1"/>
    <n v="57"/>
    <s v="Clean"/>
    <m/>
  </r>
  <r>
    <s v="ORD-2025-10162"/>
    <d v="2025-07-24T00:00:00"/>
    <x v="0"/>
    <x v="1"/>
    <d v="2025-07-30T00:00:00"/>
    <s v="CUST-2367"/>
    <s v="Arjun Bose"/>
    <x v="0"/>
    <x v="3"/>
    <s v="Rajasthan"/>
    <s v="Udaipur"/>
    <x v="0"/>
    <x v="9"/>
    <s v="Smart Binders 267"/>
    <x v="3"/>
    <n v="1"/>
    <n v="1643.41"/>
    <n v="0"/>
    <n v="1643.41"/>
    <n v="1643.41"/>
    <n v="907.4"/>
    <n v="0.44785537388722235"/>
    <n v="736.01"/>
    <n v="736.0100000000001"/>
    <x v="2"/>
    <x v="1"/>
    <n v="6"/>
    <s v="Clean"/>
    <m/>
  </r>
  <r>
    <s v="ORD-2024-10163"/>
    <d v="2024-09-03T00:00:00"/>
    <x v="9"/>
    <x v="0"/>
    <d v="2024-03-14T00:00:00"/>
    <s v="CUST-4830"/>
    <s v="Neha Gupta"/>
    <x v="1"/>
    <x v="3"/>
    <s v="Goa"/>
    <s v="Panaji"/>
    <x v="1"/>
    <x v="3"/>
    <s v="Pro Furnishings 108"/>
    <x v="0"/>
    <n v="8"/>
    <n v="4472.84"/>
    <n v="0"/>
    <n v="35997.620000000003"/>
    <n v="35782.720000000001"/>
    <n v="26424.41"/>
    <n v="0.2615315437171909"/>
    <n v="9358.31"/>
    <n v="9358.3100000000013"/>
    <x v="2"/>
    <x v="2"/>
    <n v="-173"/>
    <s v="Invalid"/>
    <m/>
  </r>
  <r>
    <s v="ORD-2025-10164"/>
    <d v="2025-09-21T00:00:00"/>
    <x v="9"/>
    <x v="1"/>
    <d v="2025-09-26T00:00:00"/>
    <s v="CUST-2548"/>
    <s v="Rohan Mehta"/>
    <x v="3"/>
    <x v="3"/>
    <s v="Gujarat"/>
    <s v="Ahmedabad"/>
    <x v="1"/>
    <x v="1"/>
    <s v="Elite Tables 389"/>
    <x v="4"/>
    <n v="6"/>
    <n v="2903.58"/>
    <n v="0.1"/>
    <n v="15679.33"/>
    <n v="15679.332"/>
    <n v="12477.82"/>
    <n v="0.20418675999717339"/>
    <n v="3201.51"/>
    <n v="3201.5120000000006"/>
    <x v="2"/>
    <x v="2"/>
    <n v="5"/>
    <s v="Warning"/>
    <m/>
  </r>
  <r>
    <s v="ORD-2025-10165"/>
    <d v="2025-09-09T00:00:00"/>
    <x v="9"/>
    <x v="1"/>
    <d v="2025-09-14T00:00:00"/>
    <s v="CUST-3833"/>
    <s v="Rahul Verma"/>
    <x v="1"/>
    <x v="1"/>
    <s v="West Bengal"/>
    <s v="Kolkata"/>
    <x v="1"/>
    <x v="10"/>
    <s v="Pro Bookcases 595"/>
    <x v="0"/>
    <n v="1"/>
    <n v="3154.42"/>
    <n v="0.25"/>
    <n v="2365.8200000000002"/>
    <n v="2365.8150000000001"/>
    <n v="1547.99"/>
    <n v="0.34568425679945392"/>
    <n v="817.83"/>
    <n v="817.82500000000005"/>
    <x v="0"/>
    <x v="0"/>
    <n v="5"/>
    <s v="Clean"/>
    <m/>
  </r>
  <r>
    <s v="ORD-2024-10166"/>
    <d v="2024-11-22T00:00:00"/>
    <x v="3"/>
    <x v="0"/>
    <d v="2024-11-29T00:00:00"/>
    <s v="CUST-4598"/>
    <s v="Mira Das"/>
    <x v="3"/>
    <x v="1"/>
    <s v="Bihar"/>
    <s v="Patna"/>
    <x v="1"/>
    <x v="4"/>
    <s v="Max Chairs 148"/>
    <x v="3"/>
    <n v="4"/>
    <n v="3422.99"/>
    <n v="0.25"/>
    <n v="10268.969999999999"/>
    <n v="10268.969999999999"/>
    <n v="6470.92"/>
    <n v="0.36985695741637181"/>
    <n v="3798.05"/>
    <n v="3798.0499999999993"/>
    <x v="0"/>
    <x v="0"/>
    <n v="7"/>
    <s v="Clean"/>
    <m/>
  </r>
  <r>
    <s v="ORD-2025-10167"/>
    <d v="2025-02-20T00:00:00"/>
    <x v="6"/>
    <x v="1"/>
    <d v="2025-02-26T00:00:00"/>
    <s v="CUST-7215"/>
    <s v="Karan Malhotra"/>
    <x v="1"/>
    <x v="3"/>
    <s v="Gujarat"/>
    <s v="Ahmedabad"/>
    <x v="0"/>
    <x v="7"/>
    <s v="Basic Labels 671"/>
    <x v="2"/>
    <n v="1"/>
    <n v="2557.85"/>
    <n v="0.2"/>
    <n v="2046.28"/>
    <n v="2046.28"/>
    <n v="1449.54"/>
    <n v="0.29162186992982386"/>
    <n v="596.74"/>
    <n v="596.74"/>
    <x v="0"/>
    <x v="0"/>
    <n v="6"/>
    <s v="Clean"/>
    <m/>
  </r>
  <r>
    <s v="ORD-2025-10168"/>
    <d v="2025-08-18T00:00:00"/>
    <x v="1"/>
    <x v="1"/>
    <d v="2025-08-18T00:00:00"/>
    <s v="CUST-7770"/>
    <s v="Arjun Bose"/>
    <x v="3"/>
    <x v="2"/>
    <s v="Karnataka"/>
    <s v="Bengaluru"/>
    <x v="0"/>
    <x v="8"/>
    <s v="Elite Storage 628"/>
    <x v="2"/>
    <n v="9"/>
    <n v="3030.93"/>
    <n v="0.15"/>
    <n v="23186.61"/>
    <n v="23186.6145"/>
    <n v="17906.54"/>
    <n v="0.22772080417345961"/>
    <n v="5280.07"/>
    <n v="5280.0744999999988"/>
    <x v="0"/>
    <x v="2"/>
    <n v="0"/>
    <s v="Clean"/>
    <m/>
  </r>
  <r>
    <s v="ORD-2025-10169"/>
    <d v="2025-01-20T00:00:00"/>
    <x v="8"/>
    <x v="1"/>
    <d v="2025-01-23T00:00:00"/>
    <s v="CUST-9756"/>
    <s v="Kabir Singh"/>
    <x v="0"/>
    <x v="3"/>
    <s v="Maharashtra"/>
    <s v="Mumbai"/>
    <x v="2"/>
    <x v="5"/>
    <s v="Eco Accessories 590"/>
    <x v="1"/>
    <n v="5"/>
    <n v="639.27"/>
    <n v="0.2"/>
    <n v="2557.08"/>
    <n v="2557.08"/>
    <n v="2025.69"/>
    <n v="0.2078112534609789"/>
    <n v="531.39"/>
    <n v="531.38999999999987"/>
    <x v="0"/>
    <x v="1"/>
    <n v="3"/>
    <s v="Clean"/>
    <m/>
  </r>
  <r>
    <s v="ORD-2025-10170"/>
    <d v="2025-09-13T00:00:00"/>
    <x v="9"/>
    <x v="1"/>
    <d v="2025-09-13T00:00:00"/>
    <s v="CUST-2261"/>
    <s v="Diya Patel"/>
    <x v="0"/>
    <x v="1"/>
    <s v="Assam"/>
    <s v="Guwahati"/>
    <x v="0"/>
    <x v="2"/>
    <s v="Pro Art 734"/>
    <x v="3"/>
    <n v="8"/>
    <n v="733.9"/>
    <n v="0.05"/>
    <n v="5577.64"/>
    <n v="5577.6399999999994"/>
    <n v="3541.29"/>
    <n v="0.36509168752375548"/>
    <n v="2036.35"/>
    <n v="2036.3499999999995"/>
    <x v="2"/>
    <x v="2"/>
    <n v="0"/>
    <s v="Clean"/>
    <m/>
  </r>
  <r>
    <s v="ORD-2024-10143"/>
    <d v="2024-03-30T00:00:00"/>
    <x v="11"/>
    <x v="0"/>
    <d v="2024-03-26T00:00:00"/>
    <s v="CUST-8944"/>
    <s v="Aditi Sen"/>
    <x v="3"/>
    <x v="0"/>
    <s v="Rajasthan"/>
    <s v="Jaipur"/>
    <x v="2"/>
    <x v="11"/>
    <s v="Classic Phones 142"/>
    <x v="0"/>
    <n v="5"/>
    <n v="907.54"/>
    <n v="0.15"/>
    <n v="4099.6899999999996"/>
    <n v="3857.0449999999996"/>
    <n v="2769.26"/>
    <n v="0.28202548842442843"/>
    <n v="1087.78"/>
    <n v="1087.7849999999994"/>
    <x v="0"/>
    <x v="2"/>
    <n v="-4"/>
    <s v="Invalid"/>
    <s v="conflicting duplicate"/>
  </r>
  <r>
    <s v="ORD-2025-10172"/>
    <d v="2025-02-23T00:00:00"/>
    <x v="6"/>
    <x v="1"/>
    <d v="2025-02-25T00:00:00"/>
    <s v="CUST-3436"/>
    <s v="Karan Malhotra"/>
    <x v="2"/>
    <x v="1"/>
    <s v="Bihar"/>
    <s v="Patna"/>
    <x v="0"/>
    <x v="7"/>
    <s v="Basic Labels 876"/>
    <x v="1"/>
    <n v="5"/>
    <n v="4246.2700000000004"/>
    <n v="0.25"/>
    <n v="15923.51"/>
    <n v="15923.512500000001"/>
    <n v="11291.8"/>
    <n v="0.29087253832971849"/>
    <n v="4631.71"/>
    <n v="4631.7125000000015"/>
    <x v="0"/>
    <x v="0"/>
    <n v="2"/>
    <s v="Clean"/>
    <m/>
  </r>
  <r>
    <s v="ORD-2025-10173"/>
    <d v="2025-02-08T00:00:00"/>
    <x v="6"/>
    <x v="1"/>
    <d v="2025-10-08T00:00:00"/>
    <s v="CUST-4845"/>
    <s v="Karan Malhotra"/>
    <x v="2"/>
    <x v="0"/>
    <s v="Delhi"/>
    <s v="New Delhi"/>
    <x v="1"/>
    <x v="3"/>
    <s v="Prime Furnishings 381"/>
    <x v="1"/>
    <n v="9"/>
    <n v="2962.62"/>
    <n v="0.1"/>
    <n v="23997.22"/>
    <n v="23997.221999999998"/>
    <n v="16134.63"/>
    <n v="0.32764592501582057"/>
    <n v="7862.59"/>
    <n v="7862.5919999999987"/>
    <x v="1"/>
    <x v="2"/>
    <n v="242"/>
    <s v="Clean"/>
    <m/>
  </r>
  <r>
    <s v="ORD-2024-10174"/>
    <d v="2024-02-05T00:00:00"/>
    <x v="6"/>
    <x v="0"/>
    <d v="2024-08-05T00:00:00"/>
    <s v="CUST-6153"/>
    <s v="Priya Menon"/>
    <x v="3"/>
    <x v="0"/>
    <s v="Punjab"/>
    <s v="Ludhiana"/>
    <x v="2"/>
    <x v="6"/>
    <s v="Prime Copiers 440"/>
    <x v="0"/>
    <n v="1"/>
    <n v="2312.25"/>
    <n v="0.25"/>
    <n v="1734.19"/>
    <n v="1734.1875"/>
    <n v="1386.07"/>
    <n v="0.20073809781237614"/>
    <n v="348.12"/>
    <n v="348.11750000000006"/>
    <x v="0"/>
    <x v="0"/>
    <n v="182"/>
    <s v="Clean"/>
    <m/>
  </r>
  <r>
    <s v="ORD-2025-10175"/>
    <d v="2025-09-28T00:00:00"/>
    <x v="9"/>
    <x v="1"/>
    <d v="2025-04-10T00:00:00"/>
    <s v="CUST-5475"/>
    <s v="Karan Malhotra"/>
    <x v="1"/>
    <x v="2"/>
    <s v="Karnataka"/>
    <s v="Bengaluru"/>
    <x v="1"/>
    <x v="10"/>
    <s v="Pro Bookcases 319"/>
    <x v="2"/>
    <n v="6"/>
    <n v="1620.53"/>
    <n v="0.15"/>
    <n v="8264.7000000000007"/>
    <n v="8264.7029999999995"/>
    <n v="4768.75"/>
    <n v="0.42299801940856191"/>
    <n v="3495.95"/>
    <n v="3495.9529999999995"/>
    <x v="2"/>
    <x v="2"/>
    <n v="-171"/>
    <s v="Invalid"/>
    <m/>
  </r>
  <r>
    <s v="ORD-2024-10176"/>
    <d v="2024-01-27T00:00:00"/>
    <x v="8"/>
    <x v="0"/>
    <d v="2024-03-02T00:00:00"/>
    <s v="CUST-5580"/>
    <s v="Arjun Bose"/>
    <x v="1"/>
    <x v="1"/>
    <s v="Bihar"/>
    <s v="Patna"/>
    <x v="2"/>
    <x v="12"/>
    <s v="Basic Machines 584"/>
    <x v="1"/>
    <n v="7"/>
    <n v="2673.42"/>
    <n v="0.15"/>
    <n v="15906.85"/>
    <n v="15906.849000000002"/>
    <n v="11014.46"/>
    <n v="0.30756493633654297"/>
    <n v="4892.3900000000003"/>
    <n v="4892.3890000000029"/>
    <x v="0"/>
    <x v="2"/>
    <n v="35"/>
    <s v="Clean"/>
    <m/>
  </r>
  <r>
    <s v="ORD-2025-10177"/>
    <d v="2025-03-18T00:00:00"/>
    <x v="11"/>
    <x v="1"/>
    <d v="2025-03-26T00:00:00"/>
    <s v="CUST-3027"/>
    <s v="Vikram Iyer"/>
    <x v="2"/>
    <x v="1"/>
    <s v="Jharkhand"/>
    <s v="Ranchi"/>
    <x v="1"/>
    <x v="10"/>
    <s v="Pro Bookcases 612"/>
    <x v="3"/>
    <n v="8"/>
    <n v="3563.09"/>
    <n v="0.15"/>
    <n v="24229.01"/>
    <n v="24229.011999999999"/>
    <n v="13910.64"/>
    <n v="0.42586845885420338"/>
    <n v="10318.370000000001"/>
    <n v="10318.371999999999"/>
    <x v="0"/>
    <x v="0"/>
    <n v="8"/>
    <s v="Clean"/>
    <m/>
  </r>
  <r>
    <s v="ORD-2024-10178"/>
    <d v="2024-01-06T00:00:00"/>
    <x v="8"/>
    <x v="0"/>
    <d v="2024-06-03T00:00:00"/>
    <s v="CUST-4399"/>
    <s v="Sneha Kapoor"/>
    <x v="3"/>
    <x v="4"/>
    <s v="Bihar"/>
    <s v="Patna"/>
    <x v="0"/>
    <x v="2"/>
    <s v="Classic Art 573"/>
    <x v="1"/>
    <n v="8"/>
    <n v="3879.95"/>
    <n v="0"/>
    <n v="31039.599999999999"/>
    <n v="31039.599999999999"/>
    <n v="20866.72"/>
    <n v="0.32773875952009685"/>
    <n v="10172.879999999999"/>
    <n v="10172.879999999997"/>
    <x v="0"/>
    <x v="0"/>
    <n v="149"/>
    <s v="Warning"/>
    <m/>
  </r>
  <r>
    <s v="ORD-2024-10179"/>
    <d v="2024-09-30T00:00:00"/>
    <x v="9"/>
    <x v="0"/>
    <d v="2024-09-30T00:00:00"/>
    <s v="CUST-3092"/>
    <s v="Isha Nair"/>
    <x v="2"/>
    <x v="2"/>
    <s v="Telangana"/>
    <s v="Hyderabad"/>
    <x v="0"/>
    <x v="2"/>
    <s v="Eco Art 854"/>
    <x v="3"/>
    <n v="4"/>
    <n v="3281.74"/>
    <n v="0"/>
    <n v="13126.96"/>
    <n v="13126.96"/>
    <n v="10732.44"/>
    <n v="0.18241237879905162"/>
    <n v="2394.52"/>
    <n v="2394.5199999999986"/>
    <x v="0"/>
    <x v="0"/>
    <n v="0"/>
    <s v="Clean"/>
    <m/>
  </r>
  <r>
    <s v="ORD-2024-10180"/>
    <d v="2024-03-15T00:00:00"/>
    <x v="11"/>
    <x v="0"/>
    <d v="2024-03-19T00:00:00"/>
    <s v="CUST-1778"/>
    <s v="Ananya Rao"/>
    <x v="1"/>
    <x v="2"/>
    <s v="Tamil Nadu"/>
    <s v="Chennai"/>
    <x v="1"/>
    <x v="3"/>
    <s v="Classic Furnishings 996"/>
    <x v="3"/>
    <n v="4"/>
    <n v="3186.3"/>
    <n v="0.25"/>
    <n v="9558.9"/>
    <n v="9558.9000000000015"/>
    <n v="5516.76"/>
    <n v="0.42286664783604816"/>
    <n v="4042.14"/>
    <n v="4042.1400000000012"/>
    <x v="1"/>
    <x v="2"/>
    <n v="4"/>
    <s v="Clean"/>
    <m/>
  </r>
  <r>
    <s v="ORD-2024-10181"/>
    <d v="2024-08-26T00:00:00"/>
    <x v="1"/>
    <x v="0"/>
    <d v="2024-08-26T00:00:00"/>
    <s v="CUST-3787"/>
    <s v="Mira Das"/>
    <x v="3"/>
    <x v="0"/>
    <s v="Uttar Pradesh"/>
    <s v="Noida"/>
    <x v="0"/>
    <x v="9"/>
    <s v="Prime Binders 735"/>
    <x v="2"/>
    <n v="7"/>
    <n v="844.59"/>
    <n v="0.1"/>
    <n v="5320.92"/>
    <n v="5320.9170000000004"/>
    <n v="3041.5"/>
    <n v="0.42838800154183954"/>
    <n v="2279.42"/>
    <n v="2279.4170000000004"/>
    <x v="0"/>
    <x v="0"/>
    <n v="0"/>
    <s v="Clean"/>
    <m/>
  </r>
  <r>
    <s v="ORD-2025-10182"/>
    <d v="2025-09-09T00:00:00"/>
    <x v="9"/>
    <x v="1"/>
    <d v="2025-10-09T00:00:00"/>
    <s v="CUST-5119"/>
    <s v="Priya Menon"/>
    <x v="3"/>
    <x v="2"/>
    <s v="Tamil Nadu"/>
    <s v="Chennai"/>
    <x v="0"/>
    <x v="2"/>
    <s v="Pro Art 587"/>
    <x v="0"/>
    <n v="4"/>
    <n v="2551.4499999999998"/>
    <n v="0"/>
    <n v="10205.799999999999"/>
    <n v="10205.799999999999"/>
    <n v="5986.31"/>
    <n v="0.41344039663720622"/>
    <n v="4219.49"/>
    <n v="4219.4899999999989"/>
    <x v="0"/>
    <x v="0"/>
    <n v="30"/>
    <s v="Clean"/>
    <m/>
  </r>
  <r>
    <s v="ORD-2024-10183"/>
    <d v="2024-10-16T00:00:00"/>
    <x v="10"/>
    <x v="0"/>
    <d v="2024-10-16T00:00:00"/>
    <s v="CUST-4121"/>
    <s v="Ananya Rao"/>
    <x v="3"/>
    <x v="1"/>
    <s v="Bihar"/>
    <s v="Patna"/>
    <x v="2"/>
    <x v="12"/>
    <s v="Basic Machines 575"/>
    <x v="3"/>
    <n v="7"/>
    <n v="775.77"/>
    <n v="0"/>
    <n v="5430.39"/>
    <n v="5430.3899999999994"/>
    <n v="3707.66"/>
    <n v="0.31723872502711586"/>
    <n v="1722.73"/>
    <n v="1722.7299999999996"/>
    <x v="0"/>
    <x v="0"/>
    <n v="0"/>
    <s v="Clean"/>
    <m/>
  </r>
  <r>
    <s v="ORD-2025-10184"/>
    <d v="2025-06-24T00:00:00"/>
    <x v="2"/>
    <x v="1"/>
    <d v="2025-06-27T00:00:00"/>
    <s v="CUST-3366"/>
    <s v="Vikram Iyer"/>
    <x v="3"/>
    <x v="2"/>
    <s v="Telangana"/>
    <s v="Hyderabad"/>
    <x v="2"/>
    <x v="6"/>
    <s v="Elite Copiers 788"/>
    <x v="3"/>
    <n v="7"/>
    <n v="2304.86"/>
    <n v="0.2"/>
    <n v="12907.22"/>
    <n v="12907.216"/>
    <n v="8327.89"/>
    <n v="0.3547880503433119"/>
    <n v="4579.33"/>
    <n v="4579.3260000000009"/>
    <x v="0"/>
    <x v="2"/>
    <n v="3"/>
    <s v="Clean"/>
    <m/>
  </r>
  <r>
    <s v="ORD-2024-10185"/>
    <d v="2024-02-04T00:00:00"/>
    <x v="6"/>
    <x v="0"/>
    <d v="2024-06-04T00:00:00"/>
    <s v="CUST-1358"/>
    <s v="Vikram Iyer"/>
    <x v="2"/>
    <x v="3"/>
    <s v="Madhya Pradesh"/>
    <s v="Indore"/>
    <x v="1"/>
    <x v="10"/>
    <s v="Max Bookcases 472"/>
    <x v="3"/>
    <n v="2"/>
    <n v="888.98"/>
    <n v="0"/>
    <n v="1777.96"/>
    <n v="1777.96"/>
    <n v="1021.16"/>
    <n v="0.42565637022205227"/>
    <n v="756.8"/>
    <n v="756.80000000000007"/>
    <x v="1"/>
    <x v="2"/>
    <n v="121"/>
    <s v="Clean"/>
    <m/>
  </r>
  <r>
    <s v="ORD-2024-10186"/>
    <d v="2024-11-05T00:00:00"/>
    <x v="3"/>
    <x v="0"/>
    <d v="2024-11-13T00:00:00"/>
    <s v="CUST-4968"/>
    <s v="Arjun Bose"/>
    <x v="0"/>
    <x v="4"/>
    <s v="Punjab"/>
    <s v="Ludhiana"/>
    <x v="0"/>
    <x v="7"/>
    <s v="Smart Labels 475"/>
    <x v="0"/>
    <n v="2"/>
    <n v="1003.17"/>
    <n v="0.2"/>
    <n v="1605.07"/>
    <n v="1605.0720000000001"/>
    <n v="1337.28"/>
    <n v="0.16684111366966722"/>
    <n v="267.79000000000002"/>
    <n v="267.79200000000014"/>
    <x v="0"/>
    <x v="0"/>
    <n v="8"/>
    <s v="Warning"/>
    <m/>
  </r>
  <r>
    <s v="ORD-2024-10187"/>
    <d v="2024-07-19T00:00:00"/>
    <x v="0"/>
    <x v="0"/>
    <d v="2024-07-20T00:00:00"/>
    <s v="CUST-2778"/>
    <s v="Vikram Iyer"/>
    <x v="0"/>
    <x v="2"/>
    <s v="Tamil Nadu"/>
    <s v="Chennai"/>
    <x v="1"/>
    <x v="1"/>
    <s v="Basic Tables 417"/>
    <x v="2"/>
    <n v="7"/>
    <n v="3608.43"/>
    <n v="0.05"/>
    <n v="23996.06"/>
    <n v="23996.059499999996"/>
    <n v="20167.28"/>
    <n v="0.15955867670689838"/>
    <n v="3828.78"/>
    <n v="3828.7794999999969"/>
    <x v="0"/>
    <x v="0"/>
    <n v="1"/>
    <s v="Clean"/>
    <m/>
  </r>
  <r>
    <s v="ORD-2025-10188"/>
    <d v="2025-01-05T00:00:00"/>
    <x v="8"/>
    <x v="1"/>
    <d v="2025-02-05T00:00:00"/>
    <s v="CUST-3109"/>
    <s v="Mira Das"/>
    <x v="0"/>
    <x v="3"/>
    <s v="Madhya Pradesh"/>
    <s v="Indore"/>
    <x v="1"/>
    <x v="4"/>
    <s v="Pro Chairs 844"/>
    <x v="1"/>
    <n v="3"/>
    <n v="2905.74"/>
    <n v="0"/>
    <n v="8717.2199999999993"/>
    <n v="8717.2199999999993"/>
    <n v="6215.96"/>
    <n v="0.28693321953558582"/>
    <n v="2501.2600000000002"/>
    <n v="2501.2599999999993"/>
    <x v="0"/>
    <x v="2"/>
    <n v="31"/>
    <s v="Clean"/>
    <m/>
  </r>
  <r>
    <s v="ORD-2025-10189"/>
    <d v="2025-05-21T00:00:00"/>
    <x v="4"/>
    <x v="1"/>
    <d v="2025-05-28T00:00:00"/>
    <s v="CUST-3422"/>
    <s v="Priya Menon"/>
    <x v="2"/>
    <x v="1"/>
    <s v="West Bengal"/>
    <s v="Kolkata"/>
    <x v="1"/>
    <x v="10"/>
    <s v="Elite Bookcases 883"/>
    <x v="1"/>
    <n v="2"/>
    <n v="3559.57"/>
    <n v="0.1"/>
    <n v="6553.95"/>
    <n v="6407.2260000000006"/>
    <n v="4923.09"/>
    <n v="0.23163471992403581"/>
    <n v="1484.14"/>
    <n v="1484.1360000000004"/>
    <x v="0"/>
    <x v="0"/>
    <n v="7"/>
    <s v="Clean"/>
    <m/>
  </r>
  <r>
    <s v="ORD-2025-10190"/>
    <d v="2025-06-05T00:00:00"/>
    <x v="2"/>
    <x v="1"/>
    <d v="2025-07-05T00:00:00"/>
    <s v="CUST-3375"/>
    <s v="Arjun Bose"/>
    <x v="0"/>
    <x v="3"/>
    <s v="Rajasthan"/>
    <s v="Udaipur"/>
    <x v="1"/>
    <x v="10"/>
    <s v="Basic Bookcases 754"/>
    <x v="2"/>
    <n v="9"/>
    <n v="3318.24"/>
    <n v="0"/>
    <n v="25384.54"/>
    <n v="29864.159999999996"/>
    <n v="16872.39"/>
    <n v="0.43502881045373448"/>
    <n v="8512.15"/>
    <n v="12991.769999999997"/>
    <x v="0"/>
    <x v="0"/>
    <n v="30"/>
    <s v="Clean"/>
    <m/>
  </r>
  <r>
    <s v="ORD-2025-10191"/>
    <d v="2025-04-20T00:00:00"/>
    <x v="5"/>
    <x v="1"/>
    <d v="2025-04-21T00:00:00"/>
    <s v="CUST-5138"/>
    <s v="Aditi Sen"/>
    <x v="0"/>
    <x v="2"/>
    <s v="Tamil Nadu"/>
    <s v="Chennai"/>
    <x v="0"/>
    <x v="8"/>
    <s v="Eco Storage 158"/>
    <x v="2"/>
    <n v="3"/>
    <n v="540.09"/>
    <n v="0.1"/>
    <n v="1458.24"/>
    <n v="1458.2429999999999"/>
    <n v="943.32"/>
    <n v="0.35311192990468659"/>
    <n v="514.91999999999996"/>
    <n v="514.92299999999989"/>
    <x v="0"/>
    <x v="0"/>
    <n v="1"/>
    <s v="Clean"/>
    <m/>
  </r>
  <r>
    <s v="ORD-2024-10192"/>
    <d v="2024-10-19T00:00:00"/>
    <x v="10"/>
    <x v="0"/>
    <d v="2024-10-24T00:00:00"/>
    <s v="CUST-7410"/>
    <s v="Sneha Kapoor"/>
    <x v="1"/>
    <x v="2"/>
    <s v="Tamil Nadu"/>
    <s v="Chennai"/>
    <x v="1"/>
    <x v="10"/>
    <s v="Prime Bookcases 602"/>
    <x v="0"/>
    <n v="6"/>
    <n v="4308.3999999999996"/>
    <n v="0.65"/>
    <n v="25850.400000000001"/>
    <n v="9047.64"/>
    <n v="19397.68"/>
    <n v="-1.1439491403283069"/>
    <n v="6452.72"/>
    <n v="-10350.040000000001"/>
    <x v="0"/>
    <x v="0"/>
    <n v="5"/>
    <s v="Clean"/>
    <m/>
  </r>
  <r>
    <s v="ORD-2024-10193"/>
    <d v="2024-09-12T00:00:00"/>
    <x v="9"/>
    <x v="0"/>
    <d v="2024-12-16T00:00:00"/>
    <s v="CUST-7115"/>
    <s v="Isha Nair"/>
    <x v="3"/>
    <x v="3"/>
    <s v="Gujarat"/>
    <s v="Ahmedabad"/>
    <x v="1"/>
    <x v="4"/>
    <s v="Eco Chairs 438"/>
    <x v="2"/>
    <n v="4"/>
    <n v="2191.0300000000002"/>
    <n v="0"/>
    <n v="8764.1200000000008"/>
    <n v="8764.1200000000008"/>
    <n v="7220.05"/>
    <n v="0.17618083732308554"/>
    <n v="1544.07"/>
    <n v="1544.0700000000006"/>
    <x v="0"/>
    <x v="0"/>
    <n v="95"/>
    <s v="Clean"/>
    <m/>
  </r>
  <r>
    <s v="ORD-2024-10194"/>
    <d v="2024-06-23T00:00:00"/>
    <x v="2"/>
    <x v="0"/>
    <d v="2024-06-28T00:00:00"/>
    <s v="CUST-9853"/>
    <s v="Priya Menon"/>
    <x v="1"/>
    <x v="0"/>
    <s v="Punjab"/>
    <s v="Ludhiana"/>
    <x v="2"/>
    <x v="6"/>
    <s v="Prime Copiers 142"/>
    <x v="1"/>
    <n v="6"/>
    <n v="1956.63"/>
    <n v="0.2"/>
    <n v="9391.82"/>
    <n v="9391.8240000000005"/>
    <n v="6013.22"/>
    <n v="0.35973885370935399"/>
    <n v="3378.6"/>
    <n v="3378.6040000000003"/>
    <x v="1"/>
    <x v="2"/>
    <n v="5"/>
    <s v="Clean"/>
    <m/>
  </r>
  <r>
    <s v="ORD-2025-10195"/>
    <d v="2025-01-28T00:00:00"/>
    <x v="8"/>
    <x v="1"/>
    <d v="2025-01-31T00:00:00"/>
    <s v="CUST-3637"/>
    <s v="Priya Menon"/>
    <x v="0"/>
    <x v="3"/>
    <s v="Maharashtra"/>
    <s v="Mumbai"/>
    <x v="1"/>
    <x v="3"/>
    <s v="Prime Furnishings 433"/>
    <x v="2"/>
    <n v="9"/>
    <n v="858.39"/>
    <n v="0.05"/>
    <n v="7339.23"/>
    <n v="7339.2344999999996"/>
    <n v="5434.12"/>
    <n v="0.25957945614082772"/>
    <n v="1905.11"/>
    <n v="1905.1144999999997"/>
    <x v="2"/>
    <x v="2"/>
    <n v="3"/>
    <s v="Clean"/>
    <m/>
  </r>
  <r>
    <s v="ORD-2025-10196"/>
    <d v="2025-07-22T00:00:00"/>
    <x v="0"/>
    <x v="1"/>
    <d v="2025-07-24T00:00:00"/>
    <s v="CUST-4328"/>
    <s v="Neha Gupta"/>
    <x v="3"/>
    <x v="2"/>
    <s v="Andhra Pradesh"/>
    <s v="Vijayawada"/>
    <x v="1"/>
    <x v="3"/>
    <s v="Smart Furnishings 685"/>
    <x v="1"/>
    <n v="5"/>
    <n v="1922.83"/>
    <n v="0"/>
    <n v="9614.15"/>
    <n v="9614.15"/>
    <n v="7576.84"/>
    <n v="0.21190744891644084"/>
    <n v="2037.31"/>
    <n v="2037.3099999999995"/>
    <x v="0"/>
    <x v="0"/>
    <n v="2"/>
    <s v="Clean"/>
    <m/>
  </r>
  <r>
    <s v="ORD-2024-10197"/>
    <d v="2024-01-22T00:00:00"/>
    <x v="8"/>
    <x v="0"/>
    <d v="2024-01-25T00:00:00"/>
    <s v="CUST-8028"/>
    <s v="Kabir Singh"/>
    <x v="3"/>
    <x v="0"/>
    <s v="Uttar Pradesh"/>
    <s v="Noida"/>
    <x v="0"/>
    <x v="8"/>
    <s v="Elite Storage 915"/>
    <x v="2"/>
    <n v="3"/>
    <n v="1212.03"/>
    <n v="0.1"/>
    <n v="3272.48"/>
    <n v="3272.4810000000002"/>
    <n v="2517.44"/>
    <n v="0.23072433422837293"/>
    <n v="755.04"/>
    <n v="755.04100000000017"/>
    <x v="0"/>
    <x v="0"/>
    <n v="3"/>
    <s v="Clean"/>
    <m/>
  </r>
  <r>
    <s v="ORD-2025-10198"/>
    <d v="2025-03-31T00:00:00"/>
    <x v="11"/>
    <x v="1"/>
    <d v="2025-07-04T00:00:00"/>
    <s v="CUST-6106"/>
    <s v="Rahul Verma"/>
    <x v="1"/>
    <x v="1"/>
    <s v="Bihar"/>
    <s v="Patna"/>
    <x v="0"/>
    <x v="8"/>
    <s v="Basic Storage 961"/>
    <x v="0"/>
    <n v="5"/>
    <n v="4096.4399999999996"/>
    <n v="0.15"/>
    <n v="17409.87"/>
    <n v="17409.869999999995"/>
    <n v="14076.25"/>
    <n v="0.19147874165631312"/>
    <n v="3333.62"/>
    <n v="3333.6199999999953"/>
    <x v="0"/>
    <x v="0"/>
    <n v="95"/>
    <s v="Clean"/>
    <m/>
  </r>
  <r>
    <s v="ORD-2024-10199"/>
    <d v="2024-05-06T00:00:00"/>
    <x v="4"/>
    <x v="0"/>
    <d v="2024-06-06T00:00:00"/>
    <s v="CUST-7820"/>
    <s v="Sneha Kapoor"/>
    <x v="0"/>
    <x v="3"/>
    <s v="Gujarat"/>
    <s v="Ahmedabad"/>
    <x v="0"/>
    <x v="2"/>
    <s v="Classic Art 968"/>
    <x v="0"/>
    <n v="1"/>
    <n v="1184.58"/>
    <n v="0.05"/>
    <n v="1125.3499999999999"/>
    <n v="1125.3509999999999"/>
    <n v="676.97"/>
    <n v="0.39843657667696558"/>
    <n v="448.38"/>
    <n v="448.38099999999986"/>
    <x v="3"/>
    <x v="1"/>
    <n v="31"/>
    <s v="Clean"/>
    <m/>
  </r>
  <r>
    <s v="ORD-2024-10200"/>
    <d v="2024-03-12T00:00:00"/>
    <x v="11"/>
    <x v="0"/>
    <d v="2024-12-03T00:00:00"/>
    <s v="CUST-4536"/>
    <s v="Rahul Verma"/>
    <x v="3"/>
    <x v="1"/>
    <s v="Bihar"/>
    <s v="Patna"/>
    <x v="2"/>
    <x v="12"/>
    <s v="Prime Machines 806"/>
    <x v="4"/>
    <n v="6"/>
    <n v="2185.58"/>
    <n v="0.25"/>
    <n v="9835.11"/>
    <n v="9835.11"/>
    <n v="5437.64"/>
    <n v="0.44711955433136996"/>
    <n v="4397.47"/>
    <n v="4397.47"/>
    <x v="0"/>
    <x v="0"/>
    <n v="266"/>
    <s v="Warning"/>
    <m/>
  </r>
  <r>
    <s v="ORD-2025-10201"/>
    <d v="2025-06-27T00:00:00"/>
    <x v="2"/>
    <x v="1"/>
    <d v="2025-05-07T00:00:00"/>
    <s v="CUST-7047"/>
    <s v="Priya Menon"/>
    <x v="1"/>
    <x v="0"/>
    <s v="Rajasthan"/>
    <s v="Jaipur"/>
    <x v="2"/>
    <x v="6"/>
    <s v="Classic Copiers 479"/>
    <x v="2"/>
    <n v="5"/>
    <n v="2868.44"/>
    <n v="0.1"/>
    <n v="12907.98"/>
    <n v="12907.980000000001"/>
    <n v="9197.08"/>
    <n v="0.28748882474252369"/>
    <n v="3710.9"/>
    <n v="3710.9000000000015"/>
    <x v="2"/>
    <x v="1"/>
    <n v="-51"/>
    <s v="Invalid"/>
    <m/>
  </r>
  <r>
    <s v="ORD-2025-10202"/>
    <d v="2025-07-26T00:00:00"/>
    <x v="0"/>
    <x v="1"/>
    <d v="2025-08-03T00:00:00"/>
    <s v="CUST-8005"/>
    <s v="Vikram Iyer"/>
    <x v="0"/>
    <x v="3"/>
    <s v="Madhya Pradesh"/>
    <s v="Indore"/>
    <x v="0"/>
    <x v="7"/>
    <s v="Basic Labels 511"/>
    <x v="0"/>
    <n v="2"/>
    <n v="2503.5300000000002"/>
    <n v="-0.16"/>
    <n v="4756.71"/>
    <n v="5808.1895999999997"/>
    <n v="2954.86"/>
    <m/>
    <n v="1801.85"/>
    <m/>
    <x v="1"/>
    <x v="1"/>
    <n v="8"/>
    <s v="Invalid"/>
    <m/>
  </r>
  <r>
    <s v="ORD-2025-10203"/>
    <d v="2025-03-28T00:00:00"/>
    <x v="11"/>
    <x v="1"/>
    <d v="2025-03-28T00:00:00"/>
    <s v="CUST-9378"/>
    <s v="Sneha Kapoor"/>
    <x v="2"/>
    <x v="3"/>
    <s v="Goa"/>
    <s v="Panaji"/>
    <x v="2"/>
    <x v="5"/>
    <s v="Prime Accessories 733"/>
    <x v="3"/>
    <n v="8"/>
    <n v="1740.94"/>
    <n v="0.05"/>
    <n v="13231.14"/>
    <n v="13231.144"/>
    <n v="11290.06"/>
    <n v="0.14670568168557463"/>
    <n v="1941.08"/>
    <n v="1941.0840000000007"/>
    <x v="0"/>
    <x v="0"/>
    <n v="0"/>
    <s v="Clean"/>
    <m/>
  </r>
  <r>
    <s v="ORD-2024-10204"/>
    <d v="2024-03-28T00:00:00"/>
    <x v="11"/>
    <x v="0"/>
    <d v="2024-03-30T00:00:00"/>
    <s v="CUST-3384"/>
    <s v="Sneha Kapoor"/>
    <x v="2"/>
    <x v="3"/>
    <s v="Rajasthan"/>
    <s v="Udaipur"/>
    <x v="2"/>
    <x v="5"/>
    <s v="Max Accessories 186"/>
    <x v="0"/>
    <n v="1"/>
    <n v="570.34"/>
    <n v="0.15"/>
    <n v="484.79"/>
    <n v="484.78899999999999"/>
    <n v="333.54"/>
    <n v="0.3119893396921134"/>
    <n v="151.25"/>
    <n v="151.24899999999997"/>
    <x v="0"/>
    <x v="0"/>
    <n v="2"/>
    <s v="Clean"/>
    <m/>
  </r>
  <r>
    <s v="ORD-2025-10205"/>
    <d v="2025-07-20T00:00:00"/>
    <x v="0"/>
    <x v="1"/>
    <d v="2025-07-23T00:00:00"/>
    <s v="CUST-1986"/>
    <s v="Mira Das"/>
    <x v="3"/>
    <x v="1"/>
    <s v="West Bengal"/>
    <s v="Kolkata"/>
    <x v="1"/>
    <x v="1"/>
    <s v="Elite Tables 318"/>
    <x v="0"/>
    <n v="4"/>
    <n v="477.69"/>
    <n v="0.15"/>
    <n v="1624.15"/>
    <n v="1624.146"/>
    <n v="1217.99"/>
    <n v="0.25007357712914968"/>
    <n v="406.16"/>
    <n v="406.15599999999995"/>
    <x v="0"/>
    <x v="0"/>
    <n v="3"/>
    <s v="Clean"/>
    <m/>
  </r>
  <r>
    <s v="ORD-2025-10206"/>
    <d v="2025-04-21T00:00:00"/>
    <x v="5"/>
    <x v="1"/>
    <d v="2025-04-26T00:00:00"/>
    <s v="CUST-3338"/>
    <s v="Ananya Rao"/>
    <x v="0"/>
    <x v="3"/>
    <s v="Maharashtra"/>
    <s v="Mumbai"/>
    <x v="0"/>
    <x v="7"/>
    <s v="Smart Labels 354"/>
    <x v="1"/>
    <n v="6"/>
    <n v="873.59"/>
    <n v="0.2"/>
    <n v="4193.2299999999996"/>
    <n v="4193.232"/>
    <n v="3329.99"/>
    <n v="0.2058655471483572"/>
    <n v="863.24"/>
    <n v="863.24200000000019"/>
    <x v="0"/>
    <x v="0"/>
    <n v="5"/>
    <s v="Clean"/>
    <m/>
  </r>
  <r>
    <s v="ORD-2025-10207"/>
    <d v="2025-05-18T00:00:00"/>
    <x v="4"/>
    <x v="1"/>
    <d v="2025-05-20T00:00:00"/>
    <s v="CUST-2343"/>
    <s v="Diya Patel"/>
    <x v="1"/>
    <x v="0"/>
    <s v="Uttar Pradesh"/>
    <s v="Noida"/>
    <x v="1"/>
    <x v="3"/>
    <s v="Pro Furnishings 981"/>
    <x v="2"/>
    <n v="2"/>
    <n v="215.13"/>
    <n v="0"/>
    <n v="430.26"/>
    <n v="430.26"/>
    <n v="286.38"/>
    <n v="0.33440245432994004"/>
    <n v="143.88"/>
    <n v="143.88"/>
    <x v="0"/>
    <x v="0"/>
    <n v="2"/>
    <s v="Clean"/>
    <m/>
  </r>
  <r>
    <s v="ORD-2024-10208"/>
    <d v="2024-10-07T00:00:00"/>
    <x v="10"/>
    <x v="0"/>
    <d v="2024-07-16T00:00:00"/>
    <s v="CUST-3362"/>
    <s v="Aarav Sharma"/>
    <x v="3"/>
    <x v="3"/>
    <s v="Goa"/>
    <s v="Panaji"/>
    <x v="1"/>
    <x v="10"/>
    <s v="Eco Bookcases 671"/>
    <x v="0"/>
    <n v="2"/>
    <n v="1095.45"/>
    <n v="0.2"/>
    <n v="1752.72"/>
    <n v="1752.7200000000003"/>
    <n v="996.41"/>
    <n v="0.43150645853302305"/>
    <n v="756.31"/>
    <n v="756.31000000000029"/>
    <x v="0"/>
    <x v="0"/>
    <n v="-83"/>
    <s v="Invalid"/>
    <m/>
  </r>
  <r>
    <s v="ORD-2025-10209"/>
    <d v="2025-06-29T00:00:00"/>
    <x v="2"/>
    <x v="1"/>
    <d v="2025-05-07T00:00:00"/>
    <s v="CUST-3662"/>
    <s v="Diya Patel"/>
    <x v="0"/>
    <x v="0"/>
    <s v="Punjab"/>
    <s v="Ludhiana"/>
    <x v="1"/>
    <x v="4"/>
    <s v="Max Chairs 151"/>
    <x v="1"/>
    <n v="1"/>
    <n v="999.83"/>
    <n v="0"/>
    <n v="999.83"/>
    <n v="999.83"/>
    <n v="634.91"/>
    <n v="0.3649820469479812"/>
    <n v="364.92"/>
    <n v="364.92000000000007"/>
    <x v="0"/>
    <x v="0"/>
    <n v="-53"/>
    <s v="Invalid"/>
    <m/>
  </r>
  <r>
    <s v="ORD-2025-10210"/>
    <d v="2025-08-13T00:00:00"/>
    <x v="1"/>
    <x v="1"/>
    <d v="2025-08-14T00:00:00"/>
    <s v="CUST-4947"/>
    <s v="Rohan Mehta"/>
    <x v="1"/>
    <x v="2"/>
    <s v="Andhra Pradesh"/>
    <s v="Vijayawada"/>
    <x v="0"/>
    <x v="0"/>
    <s v="Prime Paper 903"/>
    <x v="2"/>
    <n v="9"/>
    <n v="864.98"/>
    <n v="0.1"/>
    <n v="7006.34"/>
    <n v="7006.3379999999997"/>
    <n v="4640.88"/>
    <n v="0.33761688345609359"/>
    <n v="2365.46"/>
    <n v="2365.4579999999996"/>
    <x v="0"/>
    <x v="0"/>
    <n v="1"/>
    <s v="Clean"/>
    <m/>
  </r>
  <r>
    <s v="ORD-2024-10211"/>
    <d v="2024-03-15T00:00:00"/>
    <x v="11"/>
    <x v="0"/>
    <d v="2024-03-18T00:00:00"/>
    <s v="CUST-3076"/>
    <s v="Kabir Singh"/>
    <x v="3"/>
    <x v="2"/>
    <s v="Karnataka"/>
    <s v="Bengaluru"/>
    <x v="2"/>
    <x v="12"/>
    <s v="Classic Machines 944"/>
    <x v="0"/>
    <n v="1"/>
    <n v="4131.3599999999997"/>
    <n v="0"/>
    <n v="4131.3599999999997"/>
    <n v="4131.3599999999997"/>
    <n v="2937.07"/>
    <n v="0.28907914100925591"/>
    <n v="1194.29"/>
    <n v="1194.2899999999995"/>
    <x v="3"/>
    <x v="2"/>
    <n v="3"/>
    <s v="Clean"/>
    <m/>
  </r>
  <r>
    <s v="ORD-2024-10212"/>
    <d v="2024-05-16T00:00:00"/>
    <x v="4"/>
    <x v="0"/>
    <d v="2024-05-17T00:00:00"/>
    <s v="CUST-2222"/>
    <s v="Rohan Mehta"/>
    <x v="2"/>
    <x v="1"/>
    <s v="West Bengal"/>
    <s v="Kolkata"/>
    <x v="2"/>
    <x v="6"/>
    <s v="Basic Copiers 222"/>
    <x v="0"/>
    <n v="8"/>
    <n v="4221.95"/>
    <n v="0.2"/>
    <n v="27020.48"/>
    <n v="27020.48"/>
    <n v="22885.24"/>
    <n v="0.15304095264036752"/>
    <n v="4135.24"/>
    <n v="4135.239999999998"/>
    <x v="0"/>
    <x v="0"/>
    <n v="1"/>
    <s v="Clean"/>
    <m/>
  </r>
  <r>
    <s v="ORD-2024-10213"/>
    <d v="2024-09-21T00:00:00"/>
    <x v="9"/>
    <x v="0"/>
    <d v="2024-09-21T00:00:00"/>
    <s v="CUST-3610"/>
    <s v="Ananya Rao"/>
    <x v="1"/>
    <x v="1"/>
    <s v="Odisha"/>
    <s v="Bhubaneswar"/>
    <x v="2"/>
    <x v="11"/>
    <s v="Max Phones 329"/>
    <x v="1"/>
    <n v="2"/>
    <n v="214.5"/>
    <n v="0.15"/>
    <n v="364.65"/>
    <n v="364.65"/>
    <n v="280.74"/>
    <n v="0.23011106540518297"/>
    <n v="83.91"/>
    <n v="83.909999999999968"/>
    <x v="0"/>
    <x v="0"/>
    <n v="0"/>
    <s v="Clean"/>
    <m/>
  </r>
  <r>
    <s v="ORD-2024-10214"/>
    <d v="2024-05-15T00:00:00"/>
    <x v="4"/>
    <x v="0"/>
    <d v="2024-05-21T00:00:00"/>
    <s v="CUST-9136"/>
    <s v="Isha Nair"/>
    <x v="1"/>
    <x v="1"/>
    <s v="Bihar"/>
    <s v="Patna"/>
    <x v="2"/>
    <x v="5"/>
    <s v="Classic Accessories 840"/>
    <x v="0"/>
    <n v="4"/>
    <n v="4332.7299999999996"/>
    <n v="0.2"/>
    <n v="13864.74"/>
    <n v="13864.735999999999"/>
    <n v="11294.06"/>
    <n v="0.18541110339208763"/>
    <n v="2570.6799999999998"/>
    <n v="2570.6759999999995"/>
    <x v="0"/>
    <x v="0"/>
    <n v="6"/>
    <s v="Clean"/>
    <m/>
  </r>
  <r>
    <s v="ORD-2024-10215"/>
    <d v="2024-03-17T00:00:00"/>
    <x v="11"/>
    <x v="0"/>
    <d v="2024-03-23T00:00:00"/>
    <s v="CUST-1301"/>
    <s v="Rahul Verma"/>
    <x v="0"/>
    <x v="0"/>
    <s v="Haryana"/>
    <s v="Gurugram"/>
    <x v="2"/>
    <x v="5"/>
    <s v="Classic Accessories 757"/>
    <x v="2"/>
    <n v="3"/>
    <n v="248.18"/>
    <n v="0.05"/>
    <n v="707.31"/>
    <n v="707.31299999999999"/>
    <n v="569"/>
    <n v="0.19554709159876885"/>
    <n v="138.31"/>
    <n v="138.31299999999999"/>
    <x v="0"/>
    <x v="0"/>
    <n v="6"/>
    <s v="Clean"/>
    <m/>
  </r>
  <r>
    <s v="ORD-2024-10216"/>
    <d v="2024-01-03T00:00:00"/>
    <x v="8"/>
    <x v="0"/>
    <d v="2024-04-03T00:00:00"/>
    <s v="CUST-8603"/>
    <s v="Mira Das"/>
    <x v="0"/>
    <x v="3"/>
    <s v="Madhya Pradesh"/>
    <s v="Indore"/>
    <x v="0"/>
    <x v="0"/>
    <s v="Prime Paper 286"/>
    <x v="2"/>
    <n v="8"/>
    <n v="3202.4"/>
    <n v="0.25"/>
    <n v="19214.400000000001"/>
    <n v="19214.400000000001"/>
    <n v="10916.01"/>
    <n v="0.43188389957531853"/>
    <n v="8298.39"/>
    <n v="8298.3900000000012"/>
    <x v="0"/>
    <x v="0"/>
    <n v="91"/>
    <s v="Clean"/>
    <m/>
  </r>
  <r>
    <s v="ORD-2025-10217"/>
    <d v="2025-04-10T00:00:00"/>
    <x v="5"/>
    <x v="1"/>
    <d v="2025-04-15T00:00:00"/>
    <s v="CUST-4330"/>
    <s v="Isha Nair"/>
    <x v="0"/>
    <x v="3"/>
    <s v="Gujarat"/>
    <s v="Ahmedabad"/>
    <x v="1"/>
    <x v="1"/>
    <s v="Basic Tables 400"/>
    <x v="3"/>
    <n v="8"/>
    <n v="1839.87"/>
    <n v="0.25"/>
    <n v="11039.22"/>
    <n v="11039.22"/>
    <n v="7642.91"/>
    <n v="0.30765851210502188"/>
    <n v="3396.31"/>
    <n v="3396.3099999999995"/>
    <x v="3"/>
    <x v="2"/>
    <n v="5"/>
    <s v="Clean"/>
    <m/>
  </r>
  <r>
    <s v="ORD-2025-10218"/>
    <d v="2025-01-04T00:00:00"/>
    <x v="8"/>
    <x v="1"/>
    <d v="2025-04-08T00:00:00"/>
    <s v="CUST-4533"/>
    <s v="Aditi Sen"/>
    <x v="0"/>
    <x v="1"/>
    <s v="Odisha"/>
    <s v="Bhubaneswar"/>
    <x v="1"/>
    <x v="10"/>
    <s v="Basic Bookcases 405"/>
    <x v="0"/>
    <n v="5"/>
    <n v="1021.28"/>
    <n v="0.1"/>
    <n v="4595.76"/>
    <n v="4595.76"/>
    <n v="3396.8"/>
    <n v="0.26088394520166414"/>
    <n v="1198.96"/>
    <n v="1198.96"/>
    <x v="1"/>
    <x v="1"/>
    <n v="94"/>
    <s v="Clean"/>
    <m/>
  </r>
  <r>
    <s v="ORD-2025-10219"/>
    <d v="2025-02-26T00:00:00"/>
    <x v="6"/>
    <x v="1"/>
    <d v="2025-02-27T00:00:00"/>
    <s v="CUST-8270"/>
    <s v="Priya Menon"/>
    <x v="2"/>
    <x v="3"/>
    <s v="Gujarat"/>
    <s v="Ahmedabad"/>
    <x v="1"/>
    <x v="10"/>
    <s v="Classic Bookcases 139"/>
    <x v="3"/>
    <n v="5"/>
    <n v="258.27999999999997"/>
    <n v="0"/>
    <n v="1291.4000000000001"/>
    <n v="1291.3999999999999"/>
    <n v="756.93"/>
    <n v="0.41386866966083319"/>
    <n v="534.47"/>
    <n v="534.46999999999991"/>
    <x v="0"/>
    <x v="0"/>
    <n v="1"/>
    <s v="Clean"/>
    <m/>
  </r>
  <r>
    <s v="ORD-2024-10220"/>
    <d v="2024-06-18T00:00:00"/>
    <x v="2"/>
    <x v="0"/>
    <d v="2024-06-19T00:00:00"/>
    <s v="CUST-1472"/>
    <s v="Rahul Verma"/>
    <x v="0"/>
    <x v="1"/>
    <s v="Bihar"/>
    <s v="Patna"/>
    <x v="2"/>
    <x v="12"/>
    <s v="Elite Machines 290"/>
    <x v="2"/>
    <n v="2"/>
    <n v="121.49"/>
    <n v="0.85"/>
    <n v="242.98"/>
    <n v="36.447000000000003"/>
    <n v="161.41999999999999"/>
    <n v="-3.4288967541910162"/>
    <n v="81.56"/>
    <n v="-124.97299999999998"/>
    <x v="0"/>
    <x v="0"/>
    <n v="1"/>
    <s v="Clean"/>
    <m/>
  </r>
  <r>
    <s v="ORD-2024-10221"/>
    <d v="2024-09-03T00:00:00"/>
    <x v="9"/>
    <x v="0"/>
    <d v="2024-09-03T00:00:00"/>
    <s v="CUST-1031"/>
    <s v="Sneha Kapoor"/>
    <x v="0"/>
    <x v="2"/>
    <s v="Kerala"/>
    <s v="Kochi"/>
    <x v="0"/>
    <x v="8"/>
    <s v="Elite Storage 925"/>
    <x v="2"/>
    <n v="4"/>
    <n v="2810.17"/>
    <n v="0.15"/>
    <n v="9554.58"/>
    <n v="9554.5779999999995"/>
    <n v="6068.47"/>
    <n v="0.36486258210462036"/>
    <n v="3486.11"/>
    <n v="3486.1079999999993"/>
    <x v="1"/>
    <x v="1"/>
    <n v="0"/>
    <s v="Clean"/>
    <m/>
  </r>
  <r>
    <s v="ORD-2025-10222"/>
    <d v="2025-12-01T00:00:00"/>
    <x v="7"/>
    <x v="1"/>
    <d v="2025-01-15T00:00:00"/>
    <s v="CUST-2495"/>
    <s v="Mira Das"/>
    <x v="2"/>
    <x v="2"/>
    <s v="Karnataka"/>
    <s v="Bengaluru"/>
    <x v="1"/>
    <x v="4"/>
    <s v="Classic Chairs 231"/>
    <x v="1"/>
    <n v="4"/>
    <n v="1531.53"/>
    <n v="0.2"/>
    <n v="4900.8999999999996"/>
    <n v="4900.8959999999997"/>
    <n v="3552.69"/>
    <n v="0.27509377877024932"/>
    <n v="1348.21"/>
    <n v="1348.2059999999997"/>
    <x v="0"/>
    <x v="0"/>
    <n v="-320"/>
    <s v="Invalid"/>
    <m/>
  </r>
  <r>
    <s v="ORD-2025-10223"/>
    <d v="2025-04-29T00:00:00"/>
    <x v="5"/>
    <x v="1"/>
    <d v="2025-02-05T00:00:00"/>
    <s v="CUST-4583"/>
    <s v="Vikram Iyer"/>
    <x v="1"/>
    <x v="3"/>
    <s v="Goa"/>
    <s v="Panaji"/>
    <x v="0"/>
    <x v="8"/>
    <s v="Prime Storage 818"/>
    <x v="2"/>
    <n v="6"/>
    <n v="4308.09"/>
    <n v="0"/>
    <n v="25848.54"/>
    <n v="25848.54"/>
    <n v="17729.09"/>
    <n v="0.31411638723115504"/>
    <n v="8119.45"/>
    <n v="8119.4500000000007"/>
    <x v="0"/>
    <x v="0"/>
    <n v="-83"/>
    <s v="Invalid"/>
    <m/>
  </r>
  <r>
    <s v="ORD-2025-10224"/>
    <d v="2025-02-19T00:00:00"/>
    <x v="6"/>
    <x v="1"/>
    <d v="2025-02-26T00:00:00"/>
    <s v="CUST-5319"/>
    <s v="Mira Das"/>
    <x v="2"/>
    <x v="3"/>
    <s v="Maharashtra"/>
    <s v="Mumbai"/>
    <x v="1"/>
    <x v="3"/>
    <s v="Elite Furnishings 449"/>
    <x v="2"/>
    <n v="3"/>
    <n v="490.3"/>
    <n v="0.2"/>
    <n v="1176.72"/>
    <n v="1176.72"/>
    <n v="654.33000000000004"/>
    <n v="0.44393738527432181"/>
    <n v="522.39"/>
    <n v="522.39"/>
    <x v="2"/>
    <x v="2"/>
    <n v="7"/>
    <s v="Clean"/>
    <m/>
  </r>
  <r>
    <s v="ORD-2024-10273"/>
    <d v="2024-08-18T00:00:00"/>
    <x v="1"/>
    <x v="0"/>
    <d v="2024-08-24T00:00:00"/>
    <s v="CUST-7389"/>
    <s v="Arjun Bose"/>
    <x v="0"/>
    <x v="2"/>
    <s v="Andhra Pradesh"/>
    <s v="Vijayawada"/>
    <x v="1"/>
    <x v="4"/>
    <s v="Eco Chairs 314"/>
    <x v="2"/>
    <n v="7"/>
    <n v="557.21"/>
    <n v="0.1"/>
    <n v="3510.42"/>
    <n v="3510.4230000000002"/>
    <n v="2191.5"/>
    <n v="0.37571625983535323"/>
    <n v="1213.48"/>
    <n v="1318.9230000000002"/>
    <x v="0"/>
    <x v="0"/>
    <n v="6"/>
    <s v="Clean"/>
    <s v="conflicting duplicate"/>
  </r>
  <r>
    <s v="ORD-2024-10226"/>
    <d v="2024-02-09T00:00:00"/>
    <x v="6"/>
    <x v="0"/>
    <d v="2024-10-09T00:00:00"/>
    <s v="CUST-1266"/>
    <s v="Mira Das"/>
    <x v="2"/>
    <x v="3"/>
    <s v="Goa"/>
    <s v="Panaji"/>
    <x v="2"/>
    <x v="11"/>
    <s v="Classic Phones 548"/>
    <x v="3"/>
    <n v="6"/>
    <n v="1032.47"/>
    <n v="0.15"/>
    <n v="5265.6"/>
    <n v="5265.5969999999998"/>
    <n v="4293.1099999999997"/>
    <n v="0.18468694053114967"/>
    <n v="787.57"/>
    <n v="972.48700000000008"/>
    <x v="0"/>
    <x v="0"/>
    <n v="243"/>
    <s v="Clean"/>
    <m/>
  </r>
  <r>
    <s v="ORD-2025-10227"/>
    <d v="2025-10-04T00:00:00"/>
    <x v="10"/>
    <x v="1"/>
    <d v="2025-04-15T00:00:00"/>
    <s v="CUST-2545"/>
    <s v="Diya Patel"/>
    <x v="3"/>
    <x v="4"/>
    <s v="Kerala"/>
    <s v="Kochi"/>
    <x v="2"/>
    <x v="6"/>
    <s v="Max Copiers 363"/>
    <x v="1"/>
    <n v="1"/>
    <n v="2208.27"/>
    <n v="0.1"/>
    <n v="1987.44"/>
    <n v="1987.443"/>
    <n v="1110.23"/>
    <n v="0.44137768982556985"/>
    <n v="877.21"/>
    <n v="877.21299999999997"/>
    <x v="0"/>
    <x v="0"/>
    <n v="-172"/>
    <s v="Invalid/Warning"/>
    <m/>
  </r>
  <r>
    <s v="ORD-2024-10228"/>
    <d v="2024-05-07T00:00:00"/>
    <x v="4"/>
    <x v="0"/>
    <d v="2024-12-07T00:00:00"/>
    <s v="CUST-2819"/>
    <s v="Ananya Rao"/>
    <x v="1"/>
    <x v="3"/>
    <s v="Goa"/>
    <s v="Panaji"/>
    <x v="0"/>
    <x v="9"/>
    <s v="Prime Binders 507"/>
    <x v="2"/>
    <n v="3"/>
    <n v="577.75"/>
    <n v="0.15"/>
    <n v="1473.26"/>
    <n v="1473.2625"/>
    <n v="899.86"/>
    <n v="0.38920592901808065"/>
    <n v="573.4"/>
    <n v="573.40250000000003"/>
    <x v="0"/>
    <x v="0"/>
    <n v="214"/>
    <s v="Clean"/>
    <m/>
  </r>
  <r>
    <s v="ORD-2024-10229"/>
    <d v="2024-04-24T00:00:00"/>
    <x v="5"/>
    <x v="0"/>
    <d v="2024-04-28T00:00:00"/>
    <s v="CUST-1076"/>
    <s v="Karan Malhotra"/>
    <x v="1"/>
    <x v="2"/>
    <s v="Telangana"/>
    <s v="Hyderabad"/>
    <x v="0"/>
    <x v="7"/>
    <s v="Smart Labels 914"/>
    <x v="0"/>
    <n v="1"/>
    <n v="3194.37"/>
    <n v="0.15"/>
    <n v="2715.21"/>
    <n v="2715.2145"/>
    <n v="1551.55"/>
    <n v="0.42857184948003191"/>
    <n v="1163.6600000000001"/>
    <n v="1163.6645000000001"/>
    <x v="0"/>
    <x v="0"/>
    <n v="4"/>
    <s v="Clean"/>
    <m/>
  </r>
  <r>
    <s v="ORD-2025-10230"/>
    <d v="2025-06-28T00:00:00"/>
    <x v="2"/>
    <x v="1"/>
    <d v="2025-07-04T00:00:00"/>
    <s v="CUST-1943"/>
    <s v="Rohan Mehta"/>
    <x v="0"/>
    <x v="2"/>
    <s v="Telangana"/>
    <s v="Hyderabad"/>
    <x v="1"/>
    <x v="10"/>
    <s v="Smart Bookcases 662"/>
    <x v="2"/>
    <n v="3"/>
    <n v="2886.23"/>
    <n v="0"/>
    <n v="8658.69"/>
    <n v="8658.69"/>
    <n v="5535.94"/>
    <n v="0.36064924370776652"/>
    <n v="3122.75"/>
    <n v="3122.7500000000009"/>
    <x v="1"/>
    <x v="2"/>
    <n v="6"/>
    <s v="Clean"/>
    <m/>
  </r>
  <r>
    <s v="ORD-2024-10231"/>
    <d v="2024-05-28T00:00:00"/>
    <x v="4"/>
    <x v="0"/>
    <d v="2024-03-06T00:00:00"/>
    <s v="CUST-3434"/>
    <s v="Neha Gupta"/>
    <x v="1"/>
    <x v="0"/>
    <s v="Rajasthan"/>
    <s v="Jaipur"/>
    <x v="0"/>
    <x v="0"/>
    <s v="Eco Paper 937"/>
    <x v="3"/>
    <n v="8"/>
    <n v="1540.33"/>
    <n v="0.1"/>
    <n v="11090.38"/>
    <n v="11090.376"/>
    <n v="8840.9500000000007"/>
    <n v="0.20282684734944958"/>
    <n v="2249.4299999999998"/>
    <n v="2249.4259999999995"/>
    <x v="0"/>
    <x v="0"/>
    <n v="-83"/>
    <s v="Invalid"/>
    <m/>
  </r>
  <r>
    <s v="ORD-2024-10232"/>
    <d v="2024-02-05T00:00:00"/>
    <x v="6"/>
    <x v="0"/>
    <d v="2024-05-02T00:00:00"/>
    <s v="CUST-9139"/>
    <s v="Ananya Rao"/>
    <x v="2"/>
    <x v="0"/>
    <s v="Rajasthan"/>
    <s v="Jaipur"/>
    <x v="0"/>
    <x v="7"/>
    <s v="Max Labels 370"/>
    <x v="2"/>
    <n v="7"/>
    <n v="2183.38"/>
    <n v="0.25"/>
    <n v="11462.74"/>
    <n v="11462.744999999999"/>
    <n v="7163.54"/>
    <n v="0.37505894094302888"/>
    <n v="4299.2"/>
    <n v="4299.204999999999"/>
    <x v="1"/>
    <x v="1"/>
    <n v="87"/>
    <s v="Clean"/>
    <m/>
  </r>
  <r>
    <s v="ORD-2025-10233"/>
    <d v="2025-04-06T00:00:00"/>
    <x v="5"/>
    <x v="1"/>
    <d v="2025-10-06T00:00:00"/>
    <s v="CUST-5341"/>
    <s v="Rahul Verma"/>
    <x v="0"/>
    <x v="2"/>
    <s v="Andhra Pradesh"/>
    <s v="Vijayawada"/>
    <x v="2"/>
    <x v="11"/>
    <s v="Classic Phones 530"/>
    <x v="3"/>
    <n v="4"/>
    <n v="223.37"/>
    <n v="0.25"/>
    <n v="670.11"/>
    <n v="670.11"/>
    <n v="559.57000000000005"/>
    <n v="0.16495799197146732"/>
    <n v="110.54"/>
    <n v="110.53999999999996"/>
    <x v="0"/>
    <x v="0"/>
    <n v="183"/>
    <s v="Clean"/>
    <m/>
  </r>
  <r>
    <s v="ORD-2024-10234"/>
    <d v="2024-10-14T00:00:00"/>
    <x v="10"/>
    <x v="0"/>
    <d v="2024-10-14T00:00:00"/>
    <s v="CUST-3710"/>
    <s v="Vikram Iyer"/>
    <x v="2"/>
    <x v="2"/>
    <s v="Karnataka"/>
    <s v="Bengaluru"/>
    <x v="1"/>
    <x v="10"/>
    <s v="Smart Bookcases 328"/>
    <x v="4"/>
    <n v="8"/>
    <n v="3904.59"/>
    <n v="0"/>
    <n v="31236.720000000001"/>
    <n v="31236.720000000001"/>
    <n v="26377.7"/>
    <n v="0.15555474454424154"/>
    <n v="4859.0200000000004"/>
    <n v="4859.0200000000004"/>
    <x v="0"/>
    <x v="0"/>
    <n v="0"/>
    <s v="Warning"/>
    <m/>
  </r>
  <r>
    <s v="ORD-2024-10235"/>
    <d v="2024-09-02T00:00:00"/>
    <x v="9"/>
    <x v="0"/>
    <d v="2024-03-09T00:00:00"/>
    <s v="CUST-9754"/>
    <s v="Kabir Singh"/>
    <x v="3"/>
    <x v="0"/>
    <s v="Delhi"/>
    <s v="New Delhi"/>
    <x v="1"/>
    <x v="3"/>
    <s v="Eco Furnishings 981"/>
    <x v="2"/>
    <n v="9"/>
    <n v="1353.61"/>
    <n v="0.1"/>
    <n v="10964.24"/>
    <n v="10964.241"/>
    <n v="9262.4699999999993"/>
    <n v="0.15521101734265058"/>
    <n v="1701.77"/>
    <n v="1701.7710000000006"/>
    <x v="0"/>
    <x v="0"/>
    <n v="-177"/>
    <s v="Invalid"/>
    <m/>
  </r>
  <r>
    <s v="ORD-2024-10236"/>
    <d v="2024-11-02T00:00:00"/>
    <x v="3"/>
    <x v="0"/>
    <d v="2024-11-03T00:00:00"/>
    <s v="CUST-6256"/>
    <s v="Rahul Verma"/>
    <x v="1"/>
    <x v="3"/>
    <s v="Rajasthan"/>
    <s v="Udaipur"/>
    <x v="0"/>
    <x v="8"/>
    <s v="Basic Storage 195"/>
    <x v="3"/>
    <n v="6"/>
    <n v="2671.29"/>
    <n v="0.05"/>
    <n v="15226.35"/>
    <n v="15226.352999999999"/>
    <n v="11145.28"/>
    <n v="0.26802695300706603"/>
    <n v="4081.07"/>
    <n v="4081.0729999999985"/>
    <x v="0"/>
    <x v="0"/>
    <n v="1"/>
    <s v="Clean"/>
    <m/>
  </r>
  <r>
    <s v="ORD-2024-10237"/>
    <d v="2024-10-14T00:00:00"/>
    <x v="10"/>
    <x v="0"/>
    <d v="2024-10-21T00:00:00"/>
    <s v="CUST-7113"/>
    <s v="Priya Menon"/>
    <x v="2"/>
    <x v="0"/>
    <s v="Uttar Pradesh"/>
    <s v="Noida"/>
    <x v="1"/>
    <x v="10"/>
    <s v="Elite Bookcases 907"/>
    <x v="2"/>
    <n v="6"/>
    <n v="4062.78"/>
    <n v="0"/>
    <n v="24376.68"/>
    <n v="24376.68"/>
    <n v="18533.39"/>
    <n v="0.23970819652224998"/>
    <n v="5843.29"/>
    <n v="5843.2900000000009"/>
    <x v="0"/>
    <x v="0"/>
    <n v="7"/>
    <s v="Clean"/>
    <m/>
  </r>
  <r>
    <s v="ORD-2024-10238"/>
    <d v="2024-08-27T00:00:00"/>
    <x v="1"/>
    <x v="0"/>
    <d v="2024-08-27T00:00:00"/>
    <s v="CUST-3827"/>
    <s v="Mira Das"/>
    <x v="0"/>
    <x v="0"/>
    <s v="Haryana"/>
    <s v="Gurugram"/>
    <x v="2"/>
    <x v="6"/>
    <s v="Smart Copiers 471"/>
    <x v="3"/>
    <n v="9"/>
    <n v="2330.3000000000002"/>
    <n v="0"/>
    <n v="20972.7"/>
    <n v="20972.7"/>
    <n v="13504.88"/>
    <n v="0.35607337157352181"/>
    <n v="7467.82"/>
    <n v="7467.8200000000015"/>
    <x v="0"/>
    <x v="0"/>
    <n v="0"/>
    <s v="Clean"/>
    <m/>
  </r>
  <r>
    <s v="ORD-2024-10239"/>
    <d v="2024-01-12T00:00:00"/>
    <x v="8"/>
    <x v="0"/>
    <d v="2024-01-17T00:00:00"/>
    <s v="CUST-2375"/>
    <s v="Arjun Bose"/>
    <x v="0"/>
    <x v="2"/>
    <s v="Andhra Pradesh"/>
    <s v="Vijayawada"/>
    <x v="0"/>
    <x v="8"/>
    <s v="Prime Storage 625"/>
    <x v="2"/>
    <n v="7"/>
    <n v="4005.05"/>
    <n v="0.55000000000000004"/>
    <n v="26633.58"/>
    <n v="12615.907499999999"/>
    <n v="18838.75"/>
    <n v="-0.4932536561480021"/>
    <n v="7794.83"/>
    <n v="-6222.8425000000007"/>
    <x v="0"/>
    <x v="0"/>
    <n v="5"/>
    <s v="Clean"/>
    <m/>
  </r>
  <r>
    <s v="ORD-2024-10240"/>
    <d v="2024-09-21T00:00:00"/>
    <x v="9"/>
    <x v="0"/>
    <d v="2024-09-21T00:00:00"/>
    <s v="CUST-2233"/>
    <s v="Kabir Singh"/>
    <x v="2"/>
    <x v="2"/>
    <s v="Karnataka"/>
    <s v="Bengaluru"/>
    <x v="2"/>
    <x v="12"/>
    <s v="Smart Machines 801"/>
    <x v="2"/>
    <n v="2"/>
    <n v="1960.06"/>
    <n v="0.2"/>
    <n v="3136.1"/>
    <n v="3136.096"/>
    <n v="2279.4899999999998"/>
    <n v="0.273144061916472"/>
    <n v="856.61"/>
    <n v="856.60600000000022"/>
    <x v="0"/>
    <x v="0"/>
    <n v="0"/>
    <s v="Clean"/>
    <m/>
  </r>
  <r>
    <s v="ORD-2024-10241"/>
    <d v="2024-12-17T00:00:00"/>
    <x v="7"/>
    <x v="0"/>
    <d v="2024-12-23T00:00:00"/>
    <s v="CUST-9778"/>
    <s v="Aarav Sharma"/>
    <x v="2"/>
    <x v="2"/>
    <s v="Telangana"/>
    <s v="Hyderabad"/>
    <x v="0"/>
    <x v="9"/>
    <s v="Max Binders 170"/>
    <x v="2"/>
    <n v="9"/>
    <n v="2315.1"/>
    <n v="0"/>
    <n v="20835.900000000001"/>
    <n v="20835.899999999998"/>
    <n v="13928.19"/>
    <n v="0.33152923559817421"/>
    <n v="6907.71"/>
    <n v="6907.7099999999973"/>
    <x v="0"/>
    <x v="0"/>
    <n v="6"/>
    <s v="Clean"/>
    <m/>
  </r>
  <r>
    <s v="ORD-2025-10242"/>
    <d v="2025-07-06T00:00:00"/>
    <x v="0"/>
    <x v="1"/>
    <d v="2025-06-07T00:00:00"/>
    <s v="CUST-6949"/>
    <s v="Sneha Kapoor"/>
    <x v="2"/>
    <x v="0"/>
    <s v="Haryana"/>
    <s v="Gurugram"/>
    <x v="0"/>
    <x v="8"/>
    <s v="Basic Storage 737"/>
    <x v="3"/>
    <n v="1"/>
    <n v="1617.2"/>
    <n v="0.25"/>
    <n v="1212.9000000000001"/>
    <n v="1212.9000000000001"/>
    <n v="690.52"/>
    <n v="0.4306867837414462"/>
    <n v="522.38"/>
    <n v="522.38000000000011"/>
    <x v="2"/>
    <x v="2"/>
    <n v="-29"/>
    <s v="Invalid"/>
    <m/>
  </r>
  <r>
    <s v="ORD-2025-10243"/>
    <d v="2025-07-02T00:00:00"/>
    <x v="0"/>
    <x v="1"/>
    <d v="2025-07-02T00:00:00"/>
    <s v="CUST-3430"/>
    <s v="Arjun Bose"/>
    <x v="0"/>
    <x v="0"/>
    <s v="Uttar Pradesh"/>
    <s v="Noida"/>
    <x v="0"/>
    <x v="2"/>
    <s v="Classic Art 126"/>
    <x v="0"/>
    <n v="3"/>
    <n v="1999.24"/>
    <n v="0.05"/>
    <n v="5697.83"/>
    <n v="5697.8339999999998"/>
    <n v="4251.5"/>
    <n v="0.25383926593860051"/>
    <n v="1446.33"/>
    <n v="1446.3339999999998"/>
    <x v="0"/>
    <x v="0"/>
    <n v="0"/>
    <s v="Clean"/>
    <m/>
  </r>
  <r>
    <s v="ORD-2025-10244"/>
    <d v="2025-07-29T00:00:00"/>
    <x v="0"/>
    <x v="1"/>
    <d v="2025-02-08T00:00:00"/>
    <s v="CUST-6310"/>
    <s v="Sneha Kapoor"/>
    <x v="1"/>
    <x v="4"/>
    <s v="Madhya Pradesh"/>
    <s v="Indore"/>
    <x v="2"/>
    <x v="5"/>
    <s v="Prime Accessories 243"/>
    <x v="2"/>
    <n v="1"/>
    <n v="4499.46"/>
    <n v="0.1"/>
    <n v="4049.51"/>
    <n v="4049.5140000000001"/>
    <n v="2509.1999999999998"/>
    <n v="0.38037008885510715"/>
    <n v="1540.31"/>
    <n v="1540.3140000000003"/>
    <x v="0"/>
    <x v="0"/>
    <n v="-171"/>
    <s v="Invalid/Warning"/>
    <m/>
  </r>
  <r>
    <s v="ORD-2024-10245"/>
    <d v="2024-08-23T00:00:00"/>
    <x v="1"/>
    <x v="0"/>
    <d v="2024-08-24T00:00:00"/>
    <s v="CUST-6008"/>
    <s v="Neha Gupta"/>
    <x v="0"/>
    <x v="2"/>
    <s v="Telangana"/>
    <s v="Hyderabad"/>
    <x v="1"/>
    <x v="10"/>
    <s v="Eco Bookcases 768"/>
    <x v="1"/>
    <n v="6"/>
    <n v="1021.89"/>
    <n v="0"/>
    <n v="6131.34"/>
    <n v="6131.34"/>
    <n v="4060.88"/>
    <n v="0.33768474754295147"/>
    <n v="2070.46"/>
    <n v="2070.46"/>
    <x v="0"/>
    <x v="0"/>
    <n v="1"/>
    <s v="Clean"/>
    <m/>
  </r>
  <r>
    <s v="ORD-2024-10246"/>
    <d v="2024-10-18T00:00:00"/>
    <x v="10"/>
    <x v="0"/>
    <d v="2024-10-24T00:00:00"/>
    <s v="CUST-1704"/>
    <s v="Neha Gupta"/>
    <x v="3"/>
    <x v="2"/>
    <s v="Kerala"/>
    <s v="Kochi"/>
    <x v="1"/>
    <x v="4"/>
    <s v="Pro Chairs 316"/>
    <x v="0"/>
    <n v="3"/>
    <n v="3275.93"/>
    <n v="0"/>
    <n v="9827.7900000000009"/>
    <n v="9827.7899999999991"/>
    <n v="5478.28"/>
    <n v="0.44257254174132737"/>
    <n v="4349.51"/>
    <n v="4349.5099999999993"/>
    <x v="0"/>
    <x v="0"/>
    <n v="6"/>
    <s v="Clean"/>
    <m/>
  </r>
  <r>
    <s v="ORD-2024-10247"/>
    <d v="2024-04-05T00:00:00"/>
    <x v="5"/>
    <x v="0"/>
    <d v="2024-09-05T00:00:00"/>
    <s v="CUST-1827"/>
    <s v="Ananya Rao"/>
    <x v="2"/>
    <x v="0"/>
    <s v="Punjab"/>
    <s v="Ludhiana"/>
    <x v="2"/>
    <x v="12"/>
    <s v="Classic Machines 819"/>
    <x v="1"/>
    <n v="3"/>
    <n v="231.95"/>
    <n v="0.25"/>
    <n v="521.89"/>
    <n v="521.88749999999993"/>
    <n v="444.52"/>
    <n v="0.14824555100476627"/>
    <n v="77.37"/>
    <n v="77.36749999999995"/>
    <x v="1"/>
    <x v="1"/>
    <n v="153"/>
    <s v="Clean"/>
    <m/>
  </r>
  <r>
    <s v="ORD-2024-10248"/>
    <d v="2024-07-25T00:00:00"/>
    <x v="0"/>
    <x v="0"/>
    <d v="2024-01-08T00:00:00"/>
    <s v="CUST-6663"/>
    <s v="Rahul Verma"/>
    <x v="2"/>
    <x v="0"/>
    <s v="Rajasthan"/>
    <s v="Jaipur"/>
    <x v="2"/>
    <x v="5"/>
    <s v="Smart Accessories 572"/>
    <x v="0"/>
    <n v="8"/>
    <n v="2493.4"/>
    <n v="0.25"/>
    <n v="14960.4"/>
    <n v="14960.400000000001"/>
    <n v="12500.84"/>
    <n v="0.16440469506162944"/>
    <n v="2459.56"/>
    <n v="2459.5600000000013"/>
    <x v="0"/>
    <x v="0"/>
    <n v="-199"/>
    <s v="Invalid"/>
    <m/>
  </r>
  <r>
    <s v="ORD-2024-10249"/>
    <d v="2024-06-02T00:00:00"/>
    <x v="2"/>
    <x v="0"/>
    <d v="2024-07-06T00:00:00"/>
    <s v="CUST-6278"/>
    <s v="Rohan Mehta"/>
    <x v="3"/>
    <x v="1"/>
    <s v="Odisha"/>
    <s v="Bhubaneswar"/>
    <x v="0"/>
    <x v="7"/>
    <s v="Basic Labels 432"/>
    <x v="0"/>
    <n v="9"/>
    <n v="787.91"/>
    <n v="0.15"/>
    <n v="6027.51"/>
    <n v="6027.5114999999996"/>
    <n v="4883.82"/>
    <n v="0.18974522072666306"/>
    <n v="1143.69"/>
    <n v="1143.6914999999999"/>
    <x v="0"/>
    <x v="0"/>
    <n v="34"/>
    <s v="Clean"/>
    <m/>
  </r>
  <r>
    <s v="ORD-2025-10250"/>
    <d v="2025-08-01T00:00:00"/>
    <x v="1"/>
    <x v="1"/>
    <d v="2025-08-02T00:00:00"/>
    <s v="CUST-2305"/>
    <s v="Mira Das"/>
    <x v="2"/>
    <x v="0"/>
    <s v="Rajasthan"/>
    <s v="Jaipur"/>
    <x v="1"/>
    <x v="3"/>
    <s v="Classic Furnishings 378"/>
    <x v="2"/>
    <n v="4"/>
    <n v="2790.29"/>
    <n v="0.2"/>
    <n v="8928.93"/>
    <n v="8928.9279999999999"/>
    <n v="5634.38"/>
    <n v="0.36897464062875185"/>
    <n v="3294.55"/>
    <n v="3294.5479999999998"/>
    <x v="0"/>
    <x v="0"/>
    <n v="1"/>
    <s v="Clean"/>
    <m/>
  </r>
  <r>
    <s v="ORD-2024-10251"/>
    <d v="2024-02-21T00:00:00"/>
    <x v="6"/>
    <x v="0"/>
    <d v="2024-02-27T00:00:00"/>
    <s v="CUST-5351"/>
    <s v="Arjun Bose"/>
    <x v="1"/>
    <x v="1"/>
    <s v="West Bengal"/>
    <s v="Kolkata"/>
    <x v="1"/>
    <x v="3"/>
    <s v="Prime Furnishings 781"/>
    <x v="3"/>
    <n v="5"/>
    <n v="3373.86"/>
    <n v="0.15"/>
    <n v="14338.9"/>
    <n v="14338.904999999999"/>
    <n v="11897.65"/>
    <n v="0.17025393501107647"/>
    <n v="2441.25"/>
    <n v="2441.2549999999992"/>
    <x v="2"/>
    <x v="2"/>
    <n v="6"/>
    <s v="Clean"/>
    <m/>
  </r>
  <r>
    <s v="ORD-2025-10252"/>
    <d v="2025-06-04T00:00:00"/>
    <x v="2"/>
    <x v="1"/>
    <d v="2025-04-10T00:00:00"/>
    <s v="CUST-6268"/>
    <s v="Ananya Rao"/>
    <x v="2"/>
    <x v="3"/>
    <s v="Gujarat"/>
    <s v="Ahmedabad"/>
    <x v="1"/>
    <x v="1"/>
    <s v="Prime Tables 263"/>
    <x v="0"/>
    <n v="6"/>
    <n v="1022.16"/>
    <n v="0"/>
    <n v="6132.96"/>
    <n v="6132.96"/>
    <n v="4881.1000000000004"/>
    <n v="0.20412003339333692"/>
    <n v="1251.8599999999999"/>
    <n v="1251.8599999999997"/>
    <x v="0"/>
    <x v="0"/>
    <n v="-55"/>
    <s v="Invalid"/>
    <m/>
  </r>
  <r>
    <s v="ORD-2025-10253"/>
    <d v="2025-06-25T00:00:00"/>
    <x v="2"/>
    <x v="1"/>
    <d v="2025-06-28T00:00:00"/>
    <s v="CUST-2103"/>
    <s v="Arjun Bose"/>
    <x v="2"/>
    <x v="0"/>
    <s v="Haryana"/>
    <s v="Gurugram"/>
    <x v="0"/>
    <x v="8"/>
    <s v="Basic Storage 269"/>
    <x v="2"/>
    <n v="2"/>
    <n v="1455.92"/>
    <n v="0.2"/>
    <n v="2329.4699999999998"/>
    <n v="2329.4720000000002"/>
    <n v="1603.62"/>
    <n v="0.31159507390515973"/>
    <n v="725.85"/>
    <n v="725.85200000000032"/>
    <x v="2"/>
    <x v="2"/>
    <n v="3"/>
    <s v="Clean"/>
    <m/>
  </r>
  <r>
    <s v="ORD-2024-10254"/>
    <d v="2024-12-09T00:00:00"/>
    <x v="7"/>
    <x v="0"/>
    <d v="2024-09-13T00:00:00"/>
    <s v="CUST-5394"/>
    <s v="Priya Menon"/>
    <x v="1"/>
    <x v="0"/>
    <s v="Rajasthan"/>
    <s v="Jaipur"/>
    <x v="2"/>
    <x v="11"/>
    <s v="Classic Phones 442"/>
    <x v="1"/>
    <n v="6"/>
    <n v="832.79"/>
    <n v="0.05"/>
    <n v="4746.8999999999996"/>
    <n v="4746.9029999999993"/>
    <n v="2825.38"/>
    <n v="0.40479508428969363"/>
    <n v="1472.89"/>
    <n v="1921.5229999999992"/>
    <x v="1"/>
    <x v="1"/>
    <n v="-87"/>
    <s v="Invalid"/>
    <m/>
  </r>
  <r>
    <s v="ORD-2025-10255"/>
    <d v="2025-01-01T00:00:00"/>
    <x v="8"/>
    <x v="1"/>
    <d v="2025-03-01T00:00:00"/>
    <s v="CUST-6853"/>
    <s v="Ananya Rao"/>
    <x v="0"/>
    <x v="3"/>
    <s v="Madhya Pradesh"/>
    <s v="Indore"/>
    <x v="2"/>
    <x v="5"/>
    <s v="Elite Accessories 978"/>
    <x v="1"/>
    <n v="7"/>
    <n v="1000.55"/>
    <n v="0.2"/>
    <n v="5603.08"/>
    <n v="5603.08"/>
    <n v="3132.52"/>
    <n v="0.44092891766671188"/>
    <n v="2470.56"/>
    <n v="2470.56"/>
    <x v="0"/>
    <x v="2"/>
    <n v="59"/>
    <s v="Clean"/>
    <m/>
  </r>
  <r>
    <s v="ORD-2025-10256"/>
    <d v="2025-04-02T00:00:00"/>
    <x v="5"/>
    <x v="1"/>
    <d v="2025-02-10T00:00:00"/>
    <s v="CUST-1549"/>
    <s v="Isha Nair"/>
    <x v="2"/>
    <x v="3"/>
    <s v="Maharashtra"/>
    <s v="Mumbai"/>
    <x v="2"/>
    <x v="11"/>
    <s v="Eco Phones 132"/>
    <x v="2"/>
    <n v="7"/>
    <n v="1830"/>
    <n v="0"/>
    <n v="12810"/>
    <n v="12810"/>
    <n v="9334.1200000000008"/>
    <n v="0.27134113973458229"/>
    <n v="3475.88"/>
    <n v="3475.8799999999992"/>
    <x v="0"/>
    <x v="0"/>
    <n v="-51"/>
    <s v="Invalid"/>
    <m/>
  </r>
  <r>
    <s v="ORD-2024-10257"/>
    <d v="2024-05-11T00:00:00"/>
    <x v="4"/>
    <x v="0"/>
    <d v="2024-03-11T00:00:00"/>
    <s v="CUST-8411"/>
    <s v="Ananya Rao"/>
    <x v="0"/>
    <x v="1"/>
    <s v="West Bengal"/>
    <s v="Kolkata"/>
    <x v="1"/>
    <x v="1"/>
    <s v="Prime Tables 481"/>
    <x v="2"/>
    <n v="9"/>
    <n v="2260.61"/>
    <n v="0.05"/>
    <n v="19328.22"/>
    <n v="19328.215500000002"/>
    <n v="12039.5"/>
    <n v="0.3771023507058891"/>
    <n v="7288.72"/>
    <n v="7288.7155000000021"/>
    <x v="0"/>
    <x v="0"/>
    <n v="-61"/>
    <s v="Invalid"/>
    <m/>
  </r>
  <r>
    <s v="ORD-2025-10258"/>
    <d v="2025-09-08T00:00:00"/>
    <x v="9"/>
    <x v="1"/>
    <d v="2025-12-08T00:00:00"/>
    <s v="CUST-5615"/>
    <s v="Diya Patel"/>
    <x v="2"/>
    <x v="2"/>
    <s v="Karnataka"/>
    <s v="Bengaluru"/>
    <x v="2"/>
    <x v="5"/>
    <s v="Smart Accessories 180"/>
    <x v="0"/>
    <n v="2"/>
    <n v="3237.27"/>
    <n v="0"/>
    <n v="6474.54"/>
    <n v="6474.54"/>
    <n v="5095.91"/>
    <n v="0.21293095725719513"/>
    <n v="1378.63"/>
    <n v="1378.63"/>
    <x v="0"/>
    <x v="1"/>
    <n v="91"/>
    <s v="Clean"/>
    <m/>
  </r>
  <r>
    <s v="ORD-2024-10259"/>
    <d v="2024-12-30T00:00:00"/>
    <x v="7"/>
    <x v="0"/>
    <d v="2025-04-01T00:00:00"/>
    <s v="CUST-8467"/>
    <s v="Sneha Kapoor"/>
    <x v="2"/>
    <x v="2"/>
    <s v="Tamil Nadu"/>
    <s v="Chennai"/>
    <x v="1"/>
    <x v="1"/>
    <s v="Smart Tables 774"/>
    <x v="1"/>
    <n v="2"/>
    <n v="3720.07"/>
    <n v="0.25"/>
    <n v="5580.11"/>
    <n v="5580.1050000000005"/>
    <n v="4307.01"/>
    <n v="0.22814893268137429"/>
    <n v="1273.0999999999999"/>
    <n v="1273.0950000000003"/>
    <x v="0"/>
    <x v="0"/>
    <n v="92"/>
    <s v="Clean"/>
    <m/>
  </r>
  <r>
    <s v="ORD-2024-10260"/>
    <d v="2024-06-21T00:00:00"/>
    <x v="2"/>
    <x v="0"/>
    <d v="2024-06-29T00:00:00"/>
    <s v="CUST-5174"/>
    <s v="Neha Gupta"/>
    <x v="0"/>
    <x v="2"/>
    <s v="Tamil Nadu"/>
    <s v="Chennai"/>
    <x v="2"/>
    <x v="12"/>
    <s v="Prime Machines 793"/>
    <x v="3"/>
    <n v="8"/>
    <n v="2853.92"/>
    <n v="0.2"/>
    <n v="18265.09"/>
    <n v="18265.088"/>
    <n v="10437.14"/>
    <n v="0.42857433810338064"/>
    <n v="7827.95"/>
    <n v="7827.9480000000003"/>
    <x v="0"/>
    <x v="0"/>
    <n v="8"/>
    <s v="Clean"/>
    <m/>
  </r>
  <r>
    <s v="ORD-2025-10261"/>
    <d v="2025-09-23T00:00:00"/>
    <x v="9"/>
    <x v="1"/>
    <d v="2025-09-27T00:00:00"/>
    <s v="CUST-3543"/>
    <s v="Aditi Sen"/>
    <x v="2"/>
    <x v="1"/>
    <s v="West Bengal"/>
    <s v="Kolkata"/>
    <x v="0"/>
    <x v="9"/>
    <s v="Elite Binders 827"/>
    <x v="1"/>
    <n v="7"/>
    <n v="2897.12"/>
    <n v="0.25"/>
    <n v="15209.88"/>
    <n v="15209.880000000001"/>
    <n v="10891.15"/>
    <n v="0.28394241111698454"/>
    <n v="4318.7299999999996"/>
    <n v="4318.7300000000014"/>
    <x v="3"/>
    <x v="2"/>
    <n v="4"/>
    <s v="Clean"/>
    <m/>
  </r>
  <r>
    <s v="ORD-2025-10262"/>
    <d v="2025-06-18T00:00:00"/>
    <x v="2"/>
    <x v="1"/>
    <d v="2025-06-24T00:00:00"/>
    <s v="CUST-7623"/>
    <s v="Sneha Kapoor"/>
    <x v="2"/>
    <x v="0"/>
    <s v="Rajasthan"/>
    <s v="Jaipur"/>
    <x v="0"/>
    <x v="7"/>
    <s v="Prime Labels 326"/>
    <x v="3"/>
    <n v="3"/>
    <n v="686.74"/>
    <n v="0.2"/>
    <n v="1648.18"/>
    <n v="1648.1760000000004"/>
    <n v="987.91"/>
    <n v="0.40060406170214846"/>
    <n v="660.27"/>
    <n v="660.26600000000042"/>
    <x v="3"/>
    <x v="1"/>
    <n v="6"/>
    <s v="Clean"/>
    <m/>
  </r>
  <r>
    <s v="ORD-2025-10263"/>
    <d v="2025-05-26T00:00:00"/>
    <x v="4"/>
    <x v="1"/>
    <d v="2025-01-06T00:00:00"/>
    <s v="CUST-6153"/>
    <s v="Arjun Bose"/>
    <x v="1"/>
    <x v="0"/>
    <s v="Delhi"/>
    <s v="New Delhi"/>
    <x v="2"/>
    <x v="11"/>
    <s v="Eco Phones 245"/>
    <x v="1"/>
    <n v="4"/>
    <n v="3349.86"/>
    <n v="0"/>
    <n v="13399.44"/>
    <n v="13399.44"/>
    <n v="8581.35"/>
    <n v="0.3595739821962709"/>
    <n v="4818.09"/>
    <n v="4818.09"/>
    <x v="2"/>
    <x v="2"/>
    <n v="-140"/>
    <s v="Invalid"/>
    <m/>
  </r>
  <r>
    <s v="ORD-2025-10264"/>
    <d v="2025-06-08T00:00:00"/>
    <x v="2"/>
    <x v="1"/>
    <d v="2025-10-08T00:00:00"/>
    <s v="CUST-8265"/>
    <s v="Rohan Mehta"/>
    <x v="1"/>
    <x v="0"/>
    <s v="Delhi"/>
    <s v="New Delhi"/>
    <x v="0"/>
    <x v="9"/>
    <s v="Smart Binders 905"/>
    <x v="0"/>
    <n v="9"/>
    <n v="4042.45"/>
    <n v="0.1"/>
    <n v="32743.84"/>
    <n v="32743.844999999998"/>
    <n v="22452.05"/>
    <n v="0.314312353970647"/>
    <n v="10291.790000000001"/>
    <n v="10291.794999999998"/>
    <x v="2"/>
    <x v="2"/>
    <n v="122"/>
    <s v="Clean"/>
    <m/>
  </r>
  <r>
    <s v="ORD-2024-10265"/>
    <d v="2024-05-16T00:00:00"/>
    <x v="4"/>
    <x v="0"/>
    <d v="2024-05-21T00:00:00"/>
    <s v="CUST-4750"/>
    <s v="Diya Patel"/>
    <x v="1"/>
    <x v="1"/>
    <s v="Bihar"/>
    <s v="Patna"/>
    <x v="2"/>
    <x v="6"/>
    <s v="Pro Copiers 599"/>
    <x v="3"/>
    <n v="4"/>
    <n v="1503.07"/>
    <n v="0"/>
    <n v="6012.28"/>
    <n v="6012.28"/>
    <n v="3927.64"/>
    <n v="0.34673035853286938"/>
    <n v="2084.64"/>
    <n v="2084.64"/>
    <x v="0"/>
    <x v="0"/>
    <n v="5"/>
    <s v="Clean"/>
    <m/>
  </r>
  <r>
    <s v="ORD-2024-10266"/>
    <d v="2024-11-14T00:00:00"/>
    <x v="3"/>
    <x v="0"/>
    <d v="2024-11-22T00:00:00"/>
    <s v="CUST-3974"/>
    <s v="Priya Menon"/>
    <x v="2"/>
    <x v="1"/>
    <s v="Bihar"/>
    <s v="Patna"/>
    <x v="1"/>
    <x v="10"/>
    <s v="Basic Bookcases 570"/>
    <x v="1"/>
    <n v="1"/>
    <n v="582.37"/>
    <n v="0.15"/>
    <n v="495.01"/>
    <n v="495.0145"/>
    <n v="285.13"/>
    <n v="0.42399667080459258"/>
    <n v="209.88"/>
    <n v="209.8845"/>
    <x v="1"/>
    <x v="1"/>
    <n v="8"/>
    <s v="Clean"/>
    <m/>
  </r>
  <r>
    <s v="ORD-2025-10267"/>
    <d v="2025-03-05T00:00:00"/>
    <x v="11"/>
    <x v="1"/>
    <d v="2025-10-05T00:00:00"/>
    <s v="CUST-7114"/>
    <s v="Neha Gupta"/>
    <x v="3"/>
    <x v="3"/>
    <s v="Maharashtra"/>
    <s v="Mumbai"/>
    <x v="0"/>
    <x v="8"/>
    <s v="Classic Storage 926"/>
    <x v="0"/>
    <n v="3"/>
    <n v="4339.24"/>
    <n v="0"/>
    <n v="13017.72"/>
    <n v="13017.72"/>
    <n v="10170.57"/>
    <n v="0.21871341525244051"/>
    <n v="2847.15"/>
    <n v="2847.1499999999996"/>
    <x v="0"/>
    <x v="0"/>
    <n v="214"/>
    <s v="Clean"/>
    <m/>
  </r>
  <r>
    <s v="ORD-2025-10268"/>
    <d v="2025-05-28T00:00:00"/>
    <x v="4"/>
    <x v="1"/>
    <d v="2025-04-06T00:00:00"/>
    <s v="CUST-4431"/>
    <s v="Diya Patel"/>
    <x v="2"/>
    <x v="1"/>
    <s v="Jharkhand"/>
    <s v="Ranchi"/>
    <x v="1"/>
    <x v="3"/>
    <s v="Basic Furnishings 372"/>
    <x v="2"/>
    <n v="4"/>
    <n v="261.8"/>
    <n v="0.25"/>
    <n v="785.4"/>
    <n v="785.40000000000009"/>
    <n v="557.22"/>
    <n v="0.29052711993888469"/>
    <n v="228.18"/>
    <n v="228.18000000000006"/>
    <x v="0"/>
    <x v="0"/>
    <n v="-52"/>
    <s v="Invalid"/>
    <m/>
  </r>
  <r>
    <s v="ORD-2025-10269"/>
    <d v="2025-08-17T00:00:00"/>
    <x v="1"/>
    <x v="1"/>
    <d v="2025-08-17T00:00:00"/>
    <s v="CUST-1488"/>
    <s v="Aarav Sharma"/>
    <x v="3"/>
    <x v="0"/>
    <s v="Punjab"/>
    <s v="Ludhiana"/>
    <x v="2"/>
    <x v="5"/>
    <s v="Prime Accessories 367"/>
    <x v="2"/>
    <n v="7"/>
    <n v="632.20000000000005"/>
    <n v="0.25"/>
    <n v="3319.05"/>
    <n v="3319.05"/>
    <n v="2124.6"/>
    <n v="0.35987707325891449"/>
    <n v="1194.45"/>
    <n v="1194.4500000000003"/>
    <x v="0"/>
    <x v="0"/>
    <n v="0"/>
    <s v="Clean"/>
    <m/>
  </r>
  <r>
    <s v="ORD-2025-10270"/>
    <d v="2025-02-10T00:00:00"/>
    <x v="6"/>
    <x v="1"/>
    <d v="2025-02-12T00:00:00"/>
    <s v="CUST-1586"/>
    <s v="Rahul Verma"/>
    <x v="1"/>
    <x v="3"/>
    <s v="Rajasthan"/>
    <s v="Udaipur"/>
    <x v="1"/>
    <x v="1"/>
    <s v="Max Tables 526"/>
    <x v="1"/>
    <n v="1"/>
    <n v="1925.86"/>
    <n v="0"/>
    <n v="1925.86"/>
    <n v="1925.86"/>
    <n v="1321.89"/>
    <n v="0.31361054282242729"/>
    <n v="603.97"/>
    <n v="603.9699999999998"/>
    <x v="0"/>
    <x v="0"/>
    <n v="2"/>
    <s v="Clean"/>
    <m/>
  </r>
  <r>
    <s v="ORD-2024-10271"/>
    <d v="2024-01-12T00:00:00"/>
    <x v="8"/>
    <x v="0"/>
    <d v="2024-01-13T00:00:00"/>
    <s v="CUST-2487"/>
    <s v="Aditi Sen"/>
    <x v="2"/>
    <x v="0"/>
    <s v="Uttar Pradesh"/>
    <s v="Noida"/>
    <x v="2"/>
    <x v="12"/>
    <s v="Prime Machines 794"/>
    <x v="1"/>
    <n v="3"/>
    <n v="827.44"/>
    <n v="0"/>
    <n v="2482.3200000000002"/>
    <n v="2482.3200000000002"/>
    <n v="1520.21"/>
    <n v="0.38758500112797706"/>
    <n v="962.11"/>
    <n v="962.11000000000013"/>
    <x v="0"/>
    <x v="0"/>
    <n v="1"/>
    <s v="Clean"/>
    <m/>
  </r>
  <r>
    <s v="ORD-2024-10272"/>
    <d v="2024-12-21T00:00:00"/>
    <x v="7"/>
    <x v="0"/>
    <d v="2024-12-25T00:00:00"/>
    <s v="CUST-8009"/>
    <s v="Aditi Sen"/>
    <x v="0"/>
    <x v="2"/>
    <s v="Telangana"/>
    <s v="Hyderabad"/>
    <x v="0"/>
    <x v="9"/>
    <s v="Max Binders 927"/>
    <x v="3"/>
    <n v="7"/>
    <n v="1667.75"/>
    <n v="0"/>
    <n v="11674.25"/>
    <n v="11674.25"/>
    <n v="9621.19"/>
    <n v="0.17586226095894808"/>
    <n v="2053.06"/>
    <n v="2053.0599999999995"/>
    <x v="3"/>
    <x v="1"/>
    <n v="4"/>
    <s v="Clean"/>
    <m/>
  </r>
  <r>
    <s v="ORD-2024-10273"/>
    <d v="2024-08-18T00:00:00"/>
    <x v="1"/>
    <x v="0"/>
    <d v="2024-08-24T00:00:00"/>
    <s v="CUST-7389"/>
    <s v="Arjun Bose"/>
    <x v="0"/>
    <x v="2"/>
    <s v="Andhra Pradesh"/>
    <s v="Vijayawada"/>
    <x v="1"/>
    <x v="4"/>
    <s v="Eco Chairs 314"/>
    <x v="2"/>
    <n v="7"/>
    <n v="557.21"/>
    <n v="0.1"/>
    <n v="3797.79"/>
    <n v="3510.4230000000002"/>
    <n v="2191.5"/>
    <n v="0.37571625983535323"/>
    <n v="1213.48"/>
    <n v="1318.9230000000002"/>
    <x v="0"/>
    <x v="2"/>
    <n v="6"/>
    <s v="Clean"/>
    <s v="conflicting duplicate"/>
  </r>
  <r>
    <s v="ORD-2025-10274"/>
    <d v="2025-02-13T00:00:00"/>
    <x v="6"/>
    <x v="1"/>
    <d v="2025-02-13T00:00:00"/>
    <s v="CUST-8249"/>
    <s v="Isha Nair"/>
    <x v="0"/>
    <x v="1"/>
    <s v="Bihar"/>
    <s v="Patna"/>
    <x v="0"/>
    <x v="0"/>
    <s v="Basic Paper 657"/>
    <x v="0"/>
    <n v="9"/>
    <n v="2521.63"/>
    <n v="0"/>
    <n v="22694.67"/>
    <n v="22694.670000000002"/>
    <n v="15405.36"/>
    <n v="0.32119039404406413"/>
    <n v="7289.31"/>
    <n v="7289.3100000000013"/>
    <x v="0"/>
    <x v="2"/>
    <n v="0"/>
    <s v="Clean"/>
    <m/>
  </r>
  <r>
    <s v="ORD-2024-10275"/>
    <d v="2024-07-04T00:00:00"/>
    <x v="0"/>
    <x v="0"/>
    <d v="2024-04-14T00:00:00"/>
    <s v="CUST-4202"/>
    <s v="Rohan Mehta"/>
    <x v="0"/>
    <x v="2"/>
    <s v="Kerala"/>
    <s v="Kochi"/>
    <x v="2"/>
    <x v="6"/>
    <s v="Pro Copiers 406"/>
    <x v="3"/>
    <n v="6"/>
    <n v="4246.71"/>
    <n v="0.15"/>
    <n v="21658.22"/>
    <n v="21658.221000000001"/>
    <n v="15490.69"/>
    <n v="0.28476627881856043"/>
    <n v="6167.53"/>
    <n v="6167.5310000000009"/>
    <x v="3"/>
    <x v="2"/>
    <n v="-81"/>
    <s v="Invalid"/>
    <m/>
  </r>
  <r>
    <s v="ORD-2024-10276"/>
    <d v="2024-02-15T00:00:00"/>
    <x v="6"/>
    <x v="0"/>
    <d v="2024-02-22T00:00:00"/>
    <s v="CUST-2875"/>
    <s v="Priya Menon"/>
    <x v="1"/>
    <x v="1"/>
    <s v="West Bengal"/>
    <s v="Kolkata"/>
    <x v="1"/>
    <x v="3"/>
    <s v="Eco Furnishings 678"/>
    <x v="1"/>
    <n v="1"/>
    <n v="980.51"/>
    <n v="0"/>
    <n v="980.51"/>
    <n v="980.51"/>
    <n v="660.92"/>
    <n v="0.32594262169687205"/>
    <n v="319.58999999999997"/>
    <n v="319.59000000000003"/>
    <x v="0"/>
    <x v="0"/>
    <n v="7"/>
    <s v="Clean"/>
    <m/>
  </r>
  <r>
    <s v="ORD-2024-10277"/>
    <d v="2024-01-22T00:00:00"/>
    <x v="8"/>
    <x v="0"/>
    <d v="2024-01-23T00:00:00"/>
    <s v="CUST-7039"/>
    <s v="Aarav Sharma"/>
    <x v="1"/>
    <x v="4"/>
    <s v="Assam"/>
    <s v="Guwahati"/>
    <x v="1"/>
    <x v="4"/>
    <s v="Basic Chairs 141"/>
    <x v="0"/>
    <n v="6"/>
    <n v="3391.53"/>
    <n v="-0.14000000000000001"/>
    <n v="15261.89"/>
    <n v="23198.065200000005"/>
    <n v="8413.5300000000007"/>
    <m/>
    <n v="6848.36"/>
    <m/>
    <x v="0"/>
    <x v="0"/>
    <n v="1"/>
    <s v="Invalid/Warning"/>
    <m/>
  </r>
  <r>
    <s v="ORD-2025-10278"/>
    <d v="2025-04-06T00:00:00"/>
    <x v="5"/>
    <x v="1"/>
    <d v="2025-04-06T00:00:00"/>
    <s v="CUST-2819"/>
    <s v="Isha Nair"/>
    <x v="2"/>
    <x v="0"/>
    <s v="Haryana"/>
    <s v="Gurugram"/>
    <x v="2"/>
    <x v="5"/>
    <s v="Elite Accessories 291"/>
    <x v="0"/>
    <n v="1"/>
    <n v="2133.73"/>
    <n v="0.15"/>
    <n v="2008.39"/>
    <n v="1813.6704999999999"/>
    <n v="1002.57"/>
    <n v="0.4472149158295291"/>
    <n v="811.1"/>
    <n v="811.1004999999999"/>
    <x v="2"/>
    <x v="1"/>
    <n v="0"/>
    <s v="Clean"/>
    <m/>
  </r>
  <r>
    <s v="ORD-2025-10279"/>
    <d v="2025-07-03T00:00:00"/>
    <x v="0"/>
    <x v="1"/>
    <d v="2025-03-14T00:00:00"/>
    <s v="CUST-8242"/>
    <s v="Priya Menon"/>
    <x v="1"/>
    <x v="0"/>
    <s v="Delhi"/>
    <s v="New Delhi"/>
    <x v="2"/>
    <x v="5"/>
    <s v="Pro Accessories 207"/>
    <x v="1"/>
    <n v="1"/>
    <n v="3979.64"/>
    <n v="0.05"/>
    <n v="3780.66"/>
    <n v="3780.6579999999999"/>
    <n v="2148.31"/>
    <n v="0.43176293650470365"/>
    <n v="1632.35"/>
    <n v="1632.348"/>
    <x v="0"/>
    <x v="2"/>
    <n v="-111"/>
    <s v="Invalid"/>
    <m/>
  </r>
  <r>
    <s v="ORD-2024-10280"/>
    <d v="2024-04-09T00:00:00"/>
    <x v="5"/>
    <x v="0"/>
    <d v="2024-10-04T00:00:00"/>
    <s v="CUST-4571"/>
    <s v="Rohan Mehta"/>
    <x v="1"/>
    <x v="3"/>
    <s v="Maharashtra"/>
    <s v="Mumbai"/>
    <x v="0"/>
    <x v="8"/>
    <s v="Max Storage 564"/>
    <x v="2"/>
    <n v="1"/>
    <n v="4359.12"/>
    <n v="0.05"/>
    <n v="4141.16"/>
    <n v="4141.1639999999998"/>
    <n v="2754.17"/>
    <n v="0.33492853700070796"/>
    <n v="1386.99"/>
    <n v="1386.9939999999997"/>
    <x v="0"/>
    <x v="0"/>
    <n v="178"/>
    <s v="Clean"/>
    <m/>
  </r>
  <r>
    <s v="ORD-2024-10281"/>
    <d v="2024-12-23T00:00:00"/>
    <x v="7"/>
    <x v="0"/>
    <d v="2024-12-26T00:00:00"/>
    <s v="CUST-4098"/>
    <s v="Aditi Sen"/>
    <x v="0"/>
    <x v="2"/>
    <s v="Karnataka"/>
    <s v="Bengaluru"/>
    <x v="2"/>
    <x v="6"/>
    <s v="Prime Copiers 961"/>
    <x v="3"/>
    <n v="9"/>
    <n v="993.67"/>
    <n v="0"/>
    <n v="8943.0300000000007"/>
    <n v="8943.0299999999988"/>
    <n v="5165.38"/>
    <n v="0.42241276167026154"/>
    <n v="3777.65"/>
    <n v="3777.6499999999987"/>
    <x v="0"/>
    <x v="0"/>
    <n v="3"/>
    <s v="Clean"/>
    <m/>
  </r>
  <r>
    <s v="ORD-2025-10282"/>
    <d v="2025-07-25T00:00:00"/>
    <x v="0"/>
    <x v="1"/>
    <d v="2025-07-27T00:00:00"/>
    <s v="CUST-2052"/>
    <s v="Kabir Singh"/>
    <x v="0"/>
    <x v="1"/>
    <s v="Jharkhand"/>
    <s v="Ranchi"/>
    <x v="0"/>
    <x v="9"/>
    <s v="Basic Binders 637"/>
    <x v="0"/>
    <n v="6"/>
    <n v="3438.38"/>
    <n v="0.2"/>
    <n v="16504.22"/>
    <n v="16504.223999999998"/>
    <n v="11262.71"/>
    <n v="0.31758621308096641"/>
    <n v="5241.51"/>
    <n v="5241.5139999999992"/>
    <x v="0"/>
    <x v="0"/>
    <n v="2"/>
    <s v="Clean"/>
    <m/>
  </r>
  <r>
    <s v="ORD-2024-10283"/>
    <d v="2024-01-10T00:00:00"/>
    <x v="8"/>
    <x v="0"/>
    <d v="2024-10-02T00:00:00"/>
    <s v="CUST-9445"/>
    <s v="Karan Malhotra"/>
    <x v="3"/>
    <x v="1"/>
    <s v="Assam"/>
    <s v="Guwahati"/>
    <x v="1"/>
    <x v="1"/>
    <s v="Classic Tables 811"/>
    <x v="0"/>
    <n v="2"/>
    <n v="2298"/>
    <n v="0"/>
    <n v="4596"/>
    <n v="4596"/>
    <n v="3220.33"/>
    <n v="0.29931897302001742"/>
    <n v="1375.67"/>
    <n v="1375.67"/>
    <x v="0"/>
    <x v="0"/>
    <n v="266"/>
    <s v="Clean"/>
    <m/>
  </r>
  <r>
    <s v="ORD-2025-10284"/>
    <d v="2025-03-13T00:00:00"/>
    <x v="11"/>
    <x v="1"/>
    <d v="2025-03-20T00:00:00"/>
    <s v="CUST-6568"/>
    <s v="Vikram Iyer"/>
    <x v="0"/>
    <x v="3"/>
    <s v="Maharashtra"/>
    <s v="Mumbai"/>
    <x v="1"/>
    <x v="3"/>
    <s v="Classic Furnishings 819"/>
    <x v="2"/>
    <n v="1"/>
    <n v="1814.01"/>
    <n v="0"/>
    <n v="1814.01"/>
    <n v="1814.01"/>
    <n v="1033.47"/>
    <n v="0.43028428729720342"/>
    <n v="780.54"/>
    <n v="780.54"/>
    <x v="0"/>
    <x v="0"/>
    <n v="7"/>
    <s v="Clean"/>
    <m/>
  </r>
  <r>
    <s v="ORD-2024-10285"/>
    <d v="2024-12-08T00:00:00"/>
    <x v="7"/>
    <x v="0"/>
    <d v="2024-12-14T00:00:00"/>
    <s v="CUST-2076"/>
    <s v="Karan Malhotra"/>
    <x v="0"/>
    <x v="1"/>
    <s v="Odisha"/>
    <s v="Bhubaneswar"/>
    <x v="1"/>
    <x v="1"/>
    <s v="Prime Tables 542"/>
    <x v="1"/>
    <n v="3"/>
    <n v="1576.92"/>
    <n v="0"/>
    <n v="4730.76"/>
    <n v="4730.76"/>
    <n v="3139.73"/>
    <n v="0.33631594077907145"/>
    <n v="1591.03"/>
    <n v="1591.0300000000002"/>
    <x v="0"/>
    <x v="2"/>
    <n v="6"/>
    <s v="Clean"/>
    <m/>
  </r>
  <r>
    <s v="ORD-2025-10286"/>
    <d v="2025-08-15T00:00:00"/>
    <x v="1"/>
    <x v="1"/>
    <d v="2025-08-20T00:00:00"/>
    <s v="CUST-5610"/>
    <s v="Neha Gupta"/>
    <x v="3"/>
    <x v="0"/>
    <s v="Rajasthan"/>
    <s v="Jaipur"/>
    <x v="0"/>
    <x v="8"/>
    <s v="Basic Storage 771"/>
    <x v="3"/>
    <n v="9"/>
    <n v="4081.77"/>
    <n v="0"/>
    <n v="36735.93"/>
    <n v="36735.93"/>
    <n v="30820.84"/>
    <n v="0.16101647624001897"/>
    <n v="5915.09"/>
    <n v="5915.09"/>
    <x v="0"/>
    <x v="0"/>
    <n v="5"/>
    <s v="Clean"/>
    <m/>
  </r>
  <r>
    <s v="ORD-2024-10287"/>
    <d v="2024-02-28T00:00:00"/>
    <x v="6"/>
    <x v="0"/>
    <d v="2024-03-02T00:00:00"/>
    <s v="CUST-5823"/>
    <s v="Priya Menon"/>
    <x v="1"/>
    <x v="0"/>
    <s v="Delhi"/>
    <s v="New Delhi"/>
    <x v="1"/>
    <x v="3"/>
    <s v="Pro Furnishings 848"/>
    <x v="2"/>
    <n v="7"/>
    <n v="701.8"/>
    <n v="0.1"/>
    <n v="4421.34"/>
    <n v="4421.3399999999992"/>
    <n v="2489.98"/>
    <n v="0.43682684435035524"/>
    <n v="1931.36"/>
    <n v="1931.3599999999992"/>
    <x v="2"/>
    <x v="2"/>
    <n v="3"/>
    <s v="Clean"/>
    <m/>
  </r>
  <r>
    <s v="ORD-2024-10288"/>
    <d v="2024-09-05T00:00:00"/>
    <x v="9"/>
    <x v="0"/>
    <d v="2024-07-09T00:00:00"/>
    <s v="CUST-7095"/>
    <s v="Neha Gupta"/>
    <x v="1"/>
    <x v="2"/>
    <s v="Tamil Nadu"/>
    <s v="Chennai"/>
    <x v="2"/>
    <x v="6"/>
    <s v="Prime Copiers 924"/>
    <x v="3"/>
    <n v="3"/>
    <n v="2555.66"/>
    <n v="0.15"/>
    <n v="6516.93"/>
    <n v="6516.9329999999991"/>
    <n v="4511.54"/>
    <n v="0.30772036477895343"/>
    <n v="2005.39"/>
    <n v="2005.3929999999991"/>
    <x v="0"/>
    <x v="1"/>
    <n v="-58"/>
    <s v="Invalid"/>
    <m/>
  </r>
  <r>
    <s v="ORD-2024-10289"/>
    <d v="2024-06-24T00:00:00"/>
    <x v="2"/>
    <x v="0"/>
    <d v="2024-06-24T00:00:00"/>
    <s v="CUST-4805"/>
    <s v="Rohan Mehta"/>
    <x v="1"/>
    <x v="1"/>
    <s v="Bihar"/>
    <s v="Patna"/>
    <x v="0"/>
    <x v="9"/>
    <s v="Classic Binders 721"/>
    <x v="1"/>
    <n v="2"/>
    <n v="4359.8999999999996"/>
    <n v="0.15"/>
    <n v="7411.83"/>
    <n v="7411.829999999999"/>
    <n v="4904.63"/>
    <n v="0.3382700358750807"/>
    <n v="2507.1999999999998"/>
    <n v="2507.1999999999989"/>
    <x v="0"/>
    <x v="0"/>
    <n v="0"/>
    <s v="Clean"/>
    <m/>
  </r>
  <r>
    <s v="ORD-2025-10290"/>
    <d v="2025-06-19T00:00:00"/>
    <x v="2"/>
    <x v="1"/>
    <d v="2025-06-27T00:00:00"/>
    <s v="CUST-9114"/>
    <s v="Karan Malhotra"/>
    <x v="3"/>
    <x v="2"/>
    <s v="Tamil Nadu"/>
    <s v="Chennai"/>
    <x v="1"/>
    <x v="10"/>
    <s v="Basic Bookcases 823"/>
    <x v="2"/>
    <n v="2"/>
    <n v="4346.6899999999996"/>
    <n v="0.05"/>
    <n v="8258.7099999999991"/>
    <n v="8258.7109999999993"/>
    <n v="7018.97"/>
    <n v="0.15011313508851432"/>
    <n v="1239.74"/>
    <n v="1239.7409999999991"/>
    <x v="0"/>
    <x v="0"/>
    <n v="8"/>
    <s v="Clean"/>
    <m/>
  </r>
  <r>
    <s v="ORD-2025-10291"/>
    <d v="2025-08-22T00:00:00"/>
    <x v="1"/>
    <x v="1"/>
    <d v="2025-08-26T00:00:00"/>
    <s v="CUST-8557"/>
    <s v="Diya Patel"/>
    <x v="3"/>
    <x v="1"/>
    <s v="Jharkhand"/>
    <s v="Ranchi"/>
    <x v="1"/>
    <x v="1"/>
    <s v="Classic Tables 178"/>
    <x v="3"/>
    <n v="1"/>
    <n v="1842.63"/>
    <n v="0.1"/>
    <n v="1658.37"/>
    <n v="1658.3670000000002"/>
    <n v="971.12"/>
    <n v="0.41441188832146331"/>
    <n v="687.25"/>
    <n v="687.24700000000018"/>
    <x v="0"/>
    <x v="0"/>
    <n v="4"/>
    <s v="Clean"/>
    <m/>
  </r>
  <r>
    <s v="ORD-2024-10292"/>
    <d v="2024-04-05T00:00:00"/>
    <x v="5"/>
    <x v="0"/>
    <d v="2024-10-04T00:00:00"/>
    <s v="CUST-2860"/>
    <s v="Priya Menon"/>
    <x v="3"/>
    <x v="0"/>
    <s v="Rajasthan"/>
    <s v="Jaipur"/>
    <x v="0"/>
    <x v="9"/>
    <s v="Eco Binders 153"/>
    <x v="3"/>
    <n v="4"/>
    <n v="3228.66"/>
    <n v="0.25"/>
    <n v="9685.98"/>
    <n v="9685.98"/>
    <n v="7730.04"/>
    <n v="0.20193516815025425"/>
    <n v="1955.94"/>
    <n v="1955.9399999999996"/>
    <x v="0"/>
    <x v="0"/>
    <n v="182"/>
    <s v="Clean"/>
    <m/>
  </r>
  <r>
    <s v="ORD-2025-10293"/>
    <d v="2025-02-28T00:00:00"/>
    <x v="6"/>
    <x v="1"/>
    <d v="2025-03-03T00:00:00"/>
    <s v="CUST-7837"/>
    <s v="Kabir Singh"/>
    <x v="3"/>
    <x v="0"/>
    <s v="Haryana"/>
    <s v="Gurugram"/>
    <x v="0"/>
    <x v="2"/>
    <s v="Classic Art 183"/>
    <x v="1"/>
    <n v="9"/>
    <n v="3748.95"/>
    <n v="0"/>
    <n v="33740.550000000003"/>
    <n v="33740.549999999996"/>
    <n v="24621.89"/>
    <n v="0.2702581908119458"/>
    <n v="9118.66"/>
    <n v="9118.6599999999962"/>
    <x v="2"/>
    <x v="1"/>
    <n v="3"/>
    <s v="Clean"/>
    <m/>
  </r>
  <r>
    <s v="ORD-2024-10294"/>
    <d v="2024-03-07T00:00:00"/>
    <x v="11"/>
    <x v="0"/>
    <d v="2024-11-03T00:00:00"/>
    <s v="CUST-7010"/>
    <s v="Arjun Bose"/>
    <x v="3"/>
    <x v="2"/>
    <s v="Telangana"/>
    <s v="Hyderabad"/>
    <x v="2"/>
    <x v="11"/>
    <s v="Pro Phones 455"/>
    <x v="2"/>
    <n v="2"/>
    <n v="4401.51"/>
    <n v="0.65"/>
    <n v="8362.8700000000008"/>
    <n v="3081.0569999999998"/>
    <n v="6541.04"/>
    <n v="-1.1229857156164267"/>
    <n v="1821.83"/>
    <n v="-3459.9830000000002"/>
    <x v="0"/>
    <x v="0"/>
    <n v="241"/>
    <s v="Clean"/>
    <m/>
  </r>
  <r>
    <s v="ORD-2025-10295"/>
    <d v="2025-07-16T00:00:00"/>
    <x v="0"/>
    <x v="1"/>
    <d v="2025-07-22T00:00:00"/>
    <s v="CUST-4755"/>
    <s v="Priya Menon"/>
    <x v="0"/>
    <x v="1"/>
    <s v="Odisha"/>
    <s v="Bhubaneswar"/>
    <x v="2"/>
    <x v="11"/>
    <s v="Basic Phones 326"/>
    <x v="0"/>
    <n v="6"/>
    <n v="4159.33"/>
    <n v="0.25"/>
    <n v="18716.990000000002"/>
    <n v="18716.985000000001"/>
    <n v="12282.43"/>
    <n v="0.34378159730319813"/>
    <n v="6434.56"/>
    <n v="6434.5550000000003"/>
    <x v="0"/>
    <x v="2"/>
    <n v="6"/>
    <s v="Clean"/>
    <m/>
  </r>
  <r>
    <s v="ORD-2025-10296"/>
    <d v="2025-06-25T00:00:00"/>
    <x v="2"/>
    <x v="1"/>
    <d v="2025-06-28T00:00:00"/>
    <s v="CUST-6778"/>
    <s v="Aditi Sen"/>
    <x v="1"/>
    <x v="1"/>
    <s v="Assam"/>
    <s v="Guwahati"/>
    <x v="0"/>
    <x v="9"/>
    <s v="Max Binders 587"/>
    <x v="3"/>
    <n v="3"/>
    <n v="3476.05"/>
    <n v="0.1"/>
    <n v="9385.34"/>
    <n v="9385.3350000000009"/>
    <n v="5828.54"/>
    <n v="0.37897368607513748"/>
    <n v="3556.8"/>
    <n v="3556.795000000001"/>
    <x v="0"/>
    <x v="0"/>
    <n v="3"/>
    <s v="Clean"/>
    <m/>
  </r>
  <r>
    <s v="ORD-2025-10297"/>
    <d v="2025-05-24T00:00:00"/>
    <x v="4"/>
    <x v="1"/>
    <d v="2025-05-26T00:00:00"/>
    <s v="CUST-7629"/>
    <s v="Aditi Sen"/>
    <x v="3"/>
    <x v="0"/>
    <s v="Haryana"/>
    <s v="Gurugram"/>
    <x v="1"/>
    <x v="3"/>
    <s v="Basic Furnishings 617"/>
    <x v="1"/>
    <n v="6"/>
    <n v="3495.41"/>
    <n v="0.15"/>
    <n v="17826.59"/>
    <n v="17826.591"/>
    <n v="10855.35"/>
    <n v="0.39105855965394615"/>
    <n v="6971.24"/>
    <n v="6971.241"/>
    <x v="0"/>
    <x v="0"/>
    <n v="2"/>
    <s v="Clean"/>
    <m/>
  </r>
  <r>
    <s v="ORD-2024-10298"/>
    <d v="2024-10-29T00:00:00"/>
    <x v="10"/>
    <x v="0"/>
    <d v="2024-06-11T00:00:00"/>
    <s v="CUST-6724"/>
    <s v="Sneha Kapoor"/>
    <x v="2"/>
    <x v="2"/>
    <s v="Tamil Nadu"/>
    <s v="Chennai"/>
    <x v="2"/>
    <x v="6"/>
    <s v="Prime Copiers 669"/>
    <x v="1"/>
    <n v="6"/>
    <n v="1169.92"/>
    <n v="0.15"/>
    <n v="5966.59"/>
    <n v="5966.5920000000006"/>
    <n v="3994.72"/>
    <n v="0.33048547646629778"/>
    <n v="1971.87"/>
    <n v="1971.8720000000008"/>
    <x v="0"/>
    <x v="0"/>
    <n v="-140"/>
    <s v="Invalid"/>
    <m/>
  </r>
  <r>
    <s v="ORD-2025-10299"/>
    <d v="2025-01-23T00:00:00"/>
    <x v="8"/>
    <x v="1"/>
    <d v="2025-01-26T00:00:00"/>
    <s v="CUST-2141"/>
    <s v="Isha Nair"/>
    <x v="0"/>
    <x v="2"/>
    <s v="Kerala"/>
    <s v="Kochi"/>
    <x v="2"/>
    <x v="6"/>
    <s v="Eco Copiers 894"/>
    <x v="2"/>
    <n v="7"/>
    <n v="348.49"/>
    <n v="0.2"/>
    <n v="1951.54"/>
    <n v="1951.5440000000003"/>
    <n v="1609.95"/>
    <n v="0.17503781621116421"/>
    <n v="341.59"/>
    <n v="341.59400000000028"/>
    <x v="3"/>
    <x v="2"/>
    <n v="3"/>
    <s v="Clean"/>
    <m/>
  </r>
  <r>
    <s v="ORD-2024-10300"/>
    <d v="2024-06-11T00:00:00"/>
    <x v="2"/>
    <x v="0"/>
    <d v="2024-12-11T00:00:00"/>
    <s v="CUST-7264"/>
    <s v="Rahul Verma"/>
    <x v="1"/>
    <x v="3"/>
    <s v="Gujarat"/>
    <s v="Ahmedabad"/>
    <x v="2"/>
    <x v="5"/>
    <s v="Max Accessories 145"/>
    <x v="3"/>
    <n v="7"/>
    <n v="1719.05"/>
    <n v="0.1"/>
    <n v="10830.02"/>
    <n v="10830.015000000001"/>
    <n v="7055.31"/>
    <n v="0.34854106850267524"/>
    <n v="3774.71"/>
    <n v="3774.7050000000008"/>
    <x v="0"/>
    <x v="0"/>
    <n v="183"/>
    <s v="Clean"/>
    <m/>
  </r>
  <r>
    <s v="ORD-2024-10301"/>
    <d v="2024-04-15T00:00:00"/>
    <x v="5"/>
    <x v="0"/>
    <d v="2024-04-23T00:00:00"/>
    <s v="CUST-2668"/>
    <s v="Diya Patel"/>
    <x v="1"/>
    <x v="0"/>
    <s v="Punjab"/>
    <s v="Ludhiana"/>
    <x v="2"/>
    <x v="5"/>
    <s v="Classic Accessories 126"/>
    <x v="0"/>
    <n v="9"/>
    <n v="3893.74"/>
    <n v="0.1"/>
    <n v="31539.29"/>
    <n v="31539.293999999998"/>
    <n v="22100.14"/>
    <n v="0.29928234918638313"/>
    <n v="9439.15"/>
    <n v="9439.1539999999986"/>
    <x v="0"/>
    <x v="0"/>
    <n v="8"/>
    <s v="Clean"/>
    <m/>
  </r>
  <r>
    <s v="ORD-2025-10302"/>
    <d v="2025-05-28T00:00:00"/>
    <x v="4"/>
    <x v="1"/>
    <d v="2025-01-06T00:00:00"/>
    <s v="CUST-5599"/>
    <s v="Isha Nair"/>
    <x v="3"/>
    <x v="1"/>
    <s v="Bihar"/>
    <s v="Patna"/>
    <x v="2"/>
    <x v="11"/>
    <s v="Elite Phones 202"/>
    <x v="1"/>
    <n v="4"/>
    <n v="1654.11"/>
    <n v="0.05"/>
    <n v="6285.62"/>
    <n v="6285.6179999999995"/>
    <n v="3705.38"/>
    <n v="0.41049869718458865"/>
    <n v="2580.2399999999998"/>
    <n v="2580.2379999999994"/>
    <x v="0"/>
    <x v="0"/>
    <n v="-142"/>
    <s v="Invalid"/>
    <m/>
  </r>
  <r>
    <s v="ORD-2025-10303"/>
    <d v="2025-04-06T00:00:00"/>
    <x v="5"/>
    <x v="1"/>
    <d v="2025-12-06T00:00:00"/>
    <s v="CUST-1623"/>
    <s v="Neha Gupta"/>
    <x v="0"/>
    <x v="3"/>
    <s v="Goa"/>
    <s v="Panaji"/>
    <x v="0"/>
    <x v="8"/>
    <s v="Elite Storage 535"/>
    <x v="1"/>
    <n v="2"/>
    <n v="2703.28"/>
    <n v="0.25"/>
    <n v="4054.92"/>
    <n v="4054.92"/>
    <n v="2424.83"/>
    <n v="0.40200299882611745"/>
    <n v="1630.09"/>
    <n v="1630.0900000000001"/>
    <x v="0"/>
    <x v="0"/>
    <n v="244"/>
    <s v="Clean"/>
    <m/>
  </r>
  <r>
    <s v="ORD-2024-10304"/>
    <d v="2024-06-23T00:00:00"/>
    <x v="2"/>
    <x v="0"/>
    <d v="2024-06-28T00:00:00"/>
    <s v="CUST-9035"/>
    <s v="Diya Patel"/>
    <x v="3"/>
    <x v="3"/>
    <s v="Gujarat"/>
    <s v="Ahmedabad"/>
    <x v="1"/>
    <x v="4"/>
    <s v="Elite Chairs 107"/>
    <x v="3"/>
    <n v="2"/>
    <n v="1313.14"/>
    <n v="0.1"/>
    <n v="2363.65"/>
    <n v="2363.652"/>
    <n v="1876.1"/>
    <n v="0.20627063544041174"/>
    <n v="487.55"/>
    <n v="487.55200000000013"/>
    <x v="2"/>
    <x v="2"/>
    <n v="5"/>
    <s v="Clean"/>
    <m/>
  </r>
  <r>
    <s v="ORD-2024-10305"/>
    <d v="2024-03-06T00:00:00"/>
    <x v="11"/>
    <x v="0"/>
    <d v="2024-03-13T00:00:00"/>
    <s v="CUST-6286"/>
    <s v="Karan Malhotra"/>
    <x v="0"/>
    <x v="0"/>
    <s v="Punjab"/>
    <s v="Ludhiana"/>
    <x v="1"/>
    <x v="3"/>
    <s v="Pro Furnishings 991"/>
    <x v="3"/>
    <n v="6"/>
    <n v="2403.0500000000002"/>
    <n v="0.1"/>
    <n v="12976.47"/>
    <n v="12976.470000000001"/>
    <n v="10019.98"/>
    <n v="0.22783468847845378"/>
    <n v="2956.49"/>
    <n v="2956.4900000000016"/>
    <x v="0"/>
    <x v="0"/>
    <n v="7"/>
    <s v="Clean"/>
    <m/>
  </r>
  <r>
    <s v="ORD-2024-10306"/>
    <d v="2024-01-05T00:00:00"/>
    <x v="8"/>
    <x v="0"/>
    <d v="2024-05-02T00:00:00"/>
    <s v="CUST-7246"/>
    <s v="Ananya Rao"/>
    <x v="0"/>
    <x v="1"/>
    <s v="Assam"/>
    <s v="Guwahati"/>
    <x v="1"/>
    <x v="4"/>
    <s v="Eco Chairs 105"/>
    <x v="2"/>
    <n v="4"/>
    <n v="4156.0600000000004"/>
    <n v="0.55000000000000004"/>
    <n v="13299.39"/>
    <n v="7480.9080000000004"/>
    <n v="9851.91"/>
    <n v="-0.31694040349112695"/>
    <n v="3447.48"/>
    <n v="-2371.0019999999995"/>
    <x v="0"/>
    <x v="1"/>
    <n v="118"/>
    <s v="Clean"/>
    <m/>
  </r>
  <r>
    <s v="ORD-2025-10307"/>
    <d v="2025-02-20T00:00:00"/>
    <x v="6"/>
    <x v="1"/>
    <d v="2025-02-23T00:00:00"/>
    <s v="CUST-2589"/>
    <s v="Aarav Sharma"/>
    <x v="0"/>
    <x v="0"/>
    <s v="Rajasthan"/>
    <s v="Jaipur"/>
    <x v="2"/>
    <x v="11"/>
    <s v="Pro Phones 530"/>
    <x v="0"/>
    <n v="4"/>
    <n v="3673.11"/>
    <n v="0"/>
    <n v="14692.44"/>
    <n v="14692.44"/>
    <n v="10082.19"/>
    <n v="0.31378382351740075"/>
    <n v="4610.25"/>
    <n v="4610.25"/>
    <x v="0"/>
    <x v="0"/>
    <n v="3"/>
    <s v="Clean"/>
    <m/>
  </r>
  <r>
    <s v="ORD-2025-10308"/>
    <d v="2025-12-07T00:00:00"/>
    <x v="7"/>
    <x v="1"/>
    <d v="2025-07-19T00:00:00"/>
    <s v="CUST-4153"/>
    <s v="Ananya Rao"/>
    <x v="2"/>
    <x v="0"/>
    <s v="Uttar Pradesh"/>
    <s v="Noida"/>
    <x v="1"/>
    <x v="1"/>
    <s v="Basic Tables 911"/>
    <x v="2"/>
    <n v="9"/>
    <n v="4093.04"/>
    <n v="0.2"/>
    <n v="29469.89"/>
    <n v="29469.888000000003"/>
    <n v="18935.509999999998"/>
    <n v="0.3574624375905332"/>
    <n v="10534.38"/>
    <n v="10534.378000000004"/>
    <x v="2"/>
    <x v="1"/>
    <n v="-141"/>
    <s v="Invalid"/>
    <m/>
  </r>
  <r>
    <s v="ORD-2025-10309"/>
    <d v="2025-06-13T00:00:00"/>
    <x v="2"/>
    <x v="1"/>
    <d v="2025-06-19T00:00:00"/>
    <s v="CUST-6727"/>
    <s v="Rohan Mehta"/>
    <x v="0"/>
    <x v="0"/>
    <s v="Rajasthan"/>
    <s v="Jaipur"/>
    <x v="1"/>
    <x v="1"/>
    <s v="Classic Tables 224"/>
    <x v="2"/>
    <n v="4"/>
    <n v="731.57"/>
    <n v="0.2"/>
    <n v="2341.02"/>
    <n v="2341.0240000000003"/>
    <n v="1565.49"/>
    <n v="0.33127981601213835"/>
    <n v="775.53"/>
    <n v="775.53400000000033"/>
    <x v="0"/>
    <x v="0"/>
    <n v="6"/>
    <s v="Clean"/>
    <m/>
  </r>
  <r>
    <s v="ORD-2024-10310"/>
    <d v="2024-07-20T00:00:00"/>
    <x v="0"/>
    <x v="0"/>
    <d v="2024-07-22T00:00:00"/>
    <s v="CUST-8860"/>
    <s v="Ananya Rao"/>
    <x v="0"/>
    <x v="2"/>
    <s v="Tamil Nadu"/>
    <s v="Chennai"/>
    <x v="1"/>
    <x v="1"/>
    <s v="Prime Tables 214"/>
    <x v="2"/>
    <n v="7"/>
    <n v="2060.73"/>
    <n v="0.1"/>
    <n v="12982.6"/>
    <n v="12982.599"/>
    <n v="7246.36"/>
    <n v="0.441840574448922"/>
    <n v="5736.24"/>
    <n v="5736.2390000000005"/>
    <x v="0"/>
    <x v="1"/>
    <n v="2"/>
    <s v="Clean"/>
    <m/>
  </r>
  <r>
    <s v="ORD-2024-10311"/>
    <d v="2024-04-07T00:00:00"/>
    <x v="5"/>
    <x v="0"/>
    <d v="2024-08-07T00:00:00"/>
    <s v="CUST-3784"/>
    <s v="Rohan Mehta"/>
    <x v="1"/>
    <x v="2"/>
    <s v="Tamil Nadu"/>
    <s v="Chennai"/>
    <x v="2"/>
    <x v="12"/>
    <s v="Max Machines 988"/>
    <x v="2"/>
    <n v="8"/>
    <n v="2034.25"/>
    <n v="0"/>
    <n v="16274"/>
    <n v="16274"/>
    <n v="9424.25"/>
    <n v="0.42090143787636719"/>
    <n v="6849.75"/>
    <n v="6849.75"/>
    <x v="0"/>
    <x v="0"/>
    <n v="122"/>
    <s v="Clean"/>
    <m/>
  </r>
  <r>
    <s v="ORD-2024-10312"/>
    <d v="2024-04-27T00:00:00"/>
    <x v="5"/>
    <x v="0"/>
    <d v="2024-02-05T00:00:00"/>
    <s v="CUST-3545"/>
    <s v="Mira Das"/>
    <x v="2"/>
    <x v="2"/>
    <s v="Karnataka"/>
    <s v="Bengaluru"/>
    <x v="0"/>
    <x v="9"/>
    <s v="Max Binders 425"/>
    <x v="0"/>
    <n v="5"/>
    <n v="554.04"/>
    <n v="0.1"/>
    <n v="2493.1799999999998"/>
    <n v="2493.1799999999998"/>
    <n v="1764"/>
    <n v="0.29246985777200196"/>
    <n v="729.18"/>
    <n v="729.17999999999984"/>
    <x v="0"/>
    <x v="0"/>
    <n v="-82"/>
    <s v="Invalid"/>
    <m/>
  </r>
  <r>
    <s v="ORD-2024-10313"/>
    <d v="2024-07-31T00:00:00"/>
    <x v="0"/>
    <x v="0"/>
    <d v="2024-04-08T00:00:00"/>
    <s v="CUST-4851"/>
    <s v="Karan Malhotra"/>
    <x v="1"/>
    <x v="1"/>
    <s v="Assam"/>
    <s v="Guwahati"/>
    <x v="2"/>
    <x v="11"/>
    <s v="Elite Phones 679"/>
    <x v="3"/>
    <n v="8"/>
    <n v="2614.7399999999998"/>
    <n v="0"/>
    <n v="15688.44"/>
    <n v="20917.919999999998"/>
    <n v="10047.33"/>
    <n v="0.5196783427797792"/>
    <n v="5641.11"/>
    <n v="10870.589999999998"/>
    <x v="0"/>
    <x v="1"/>
    <n v="-114"/>
    <s v="Invalid"/>
    <m/>
  </r>
  <r>
    <s v="ORD-2025-10314"/>
    <d v="2025-05-30T00:00:00"/>
    <x v="4"/>
    <x v="1"/>
    <d v="2025-05-31T00:00:00"/>
    <s v="CUST-4770"/>
    <s v="Rahul Verma"/>
    <x v="2"/>
    <x v="0"/>
    <s v="Uttar Pradesh"/>
    <s v="Noida"/>
    <x v="2"/>
    <x v="11"/>
    <s v="Pro Phones 764"/>
    <x v="2"/>
    <n v="8"/>
    <n v="2081.4299999999998"/>
    <n v="0.25"/>
    <n v="12488.58"/>
    <n v="12488.579999999998"/>
    <n v="10717.4"/>
    <n v="0.14182397037933847"/>
    <n v="1771.18"/>
    <n v="1771.1799999999985"/>
    <x v="1"/>
    <x v="1"/>
    <n v="1"/>
    <s v="Clean"/>
    <m/>
  </r>
  <r>
    <s v="ORD-2024-10332"/>
    <d v="2024-04-12T00:00:00"/>
    <x v="5"/>
    <x v="0"/>
    <d v="2024-06-12T00:00:00"/>
    <s v="CUST-9346"/>
    <s v="Sneha Kapoor"/>
    <x v="3"/>
    <x v="1"/>
    <s v="Odisha"/>
    <s v="Bhubaneswar"/>
    <x v="0"/>
    <x v="9"/>
    <s v="Smart Binders 939"/>
    <x v="0"/>
    <n v="4"/>
    <n v="2685.66"/>
    <n v="0"/>
    <n v="10742.64"/>
    <n v="10742.64"/>
    <n v="6477.37"/>
    <n v="0.39704113700170535"/>
    <n v="4265.2700000000004"/>
    <n v="4265.2699999999995"/>
    <x v="0"/>
    <x v="2"/>
    <n v="61"/>
    <s v="Clean"/>
    <s v="conflicting duplicate"/>
  </r>
  <r>
    <s v="ORD-2024-10316"/>
    <d v="2024-02-07T00:00:00"/>
    <x v="6"/>
    <x v="0"/>
    <d v="2024-08-07T00:00:00"/>
    <s v="CUST-7565"/>
    <s v="Rohan Mehta"/>
    <x v="0"/>
    <x v="0"/>
    <s v="Delhi"/>
    <s v="New Delhi"/>
    <x v="0"/>
    <x v="0"/>
    <s v="Smart Paper 817"/>
    <x v="3"/>
    <n v="9"/>
    <n v="3450.4"/>
    <n v="0.05"/>
    <n v="29500.92"/>
    <n v="29500.920000000002"/>
    <n v="17989.68"/>
    <n v="0.39019935649464493"/>
    <n v="11511.24"/>
    <n v="11511.240000000002"/>
    <x v="2"/>
    <x v="2"/>
    <n v="182"/>
    <s v="Clean"/>
    <m/>
  </r>
  <r>
    <s v="ORD-2024-10317"/>
    <d v="2024-02-16T00:00:00"/>
    <x v="6"/>
    <x v="0"/>
    <d v="2024-02-18T00:00:00"/>
    <s v="CUST-9913"/>
    <s v="Karan Malhotra"/>
    <x v="2"/>
    <x v="0"/>
    <s v="Punjab"/>
    <s v="Ludhiana"/>
    <x v="0"/>
    <x v="7"/>
    <s v="Classic Labels 466"/>
    <x v="3"/>
    <n v="2"/>
    <n v="1947.53"/>
    <n v="0.2"/>
    <n v="3116.05"/>
    <n v="3116.0480000000002"/>
    <n v="1956.63"/>
    <n v="0.37207963420332424"/>
    <n v="1159.42"/>
    <n v="1159.4180000000001"/>
    <x v="0"/>
    <x v="1"/>
    <n v="2"/>
    <s v="Clean"/>
    <m/>
  </r>
  <r>
    <s v="ORD-2025-10318"/>
    <d v="2025-08-29T00:00:00"/>
    <x v="1"/>
    <x v="1"/>
    <d v="2025-04-09T00:00:00"/>
    <s v="CUST-7992"/>
    <s v="Neha Gupta"/>
    <x v="2"/>
    <x v="2"/>
    <s v="Kerala"/>
    <s v="Kochi"/>
    <x v="1"/>
    <x v="1"/>
    <s v="Pro Tables 778"/>
    <x v="2"/>
    <n v="9"/>
    <n v="2996.97"/>
    <n v="0.15"/>
    <n v="22926.82"/>
    <n v="22926.820499999998"/>
    <n v="14621.59"/>
    <n v="0.36224955396671765"/>
    <n v="8305.23"/>
    <n v="8305.2304999999978"/>
    <x v="0"/>
    <x v="0"/>
    <n v="-142"/>
    <s v="Invalid"/>
    <m/>
  </r>
  <r>
    <s v="ORD-2024-10319"/>
    <d v="2024-04-25T00:00:00"/>
    <x v="5"/>
    <x v="0"/>
    <d v="2024-04-30T00:00:00"/>
    <s v="CUST-8877"/>
    <s v="Mira Das"/>
    <x v="1"/>
    <x v="2"/>
    <s v="Karnataka"/>
    <s v="Bengaluru"/>
    <x v="2"/>
    <x v="11"/>
    <s v="Basic Phones 789"/>
    <x v="3"/>
    <n v="3"/>
    <n v="4149.46"/>
    <n v="0.1"/>
    <n v="11203.54"/>
    <n v="11203.542000000001"/>
    <n v="8452.93"/>
    <n v="0.24551271374713468"/>
    <n v="2750.61"/>
    <n v="2750.612000000001"/>
    <x v="0"/>
    <x v="0"/>
    <n v="5"/>
    <s v="Clean"/>
    <m/>
  </r>
  <r>
    <s v="ORD-2024-10320"/>
    <d v="2024-08-21T00:00:00"/>
    <x v="1"/>
    <x v="0"/>
    <d v="2024-08-25T00:00:00"/>
    <s v="CUST-4589"/>
    <s v="Diya Patel"/>
    <x v="0"/>
    <x v="3"/>
    <s v="Gujarat"/>
    <s v="Ahmedabad"/>
    <x v="0"/>
    <x v="9"/>
    <s v="Prime Binders 554"/>
    <x v="2"/>
    <n v="1"/>
    <n v="270.27999999999997"/>
    <n v="0"/>
    <n v="270.27999999999997"/>
    <n v="270.27999999999997"/>
    <n v="156.34"/>
    <n v="0.42156282373834536"/>
    <n v="113.94"/>
    <n v="113.93999999999997"/>
    <x v="0"/>
    <x v="0"/>
    <n v="4"/>
    <s v="Clean"/>
    <m/>
  </r>
  <r>
    <s v="ORD-2024-10321"/>
    <d v="2024-12-04T00:00:00"/>
    <x v="7"/>
    <x v="0"/>
    <d v="2024-12-06T00:00:00"/>
    <s v="CUST-4667"/>
    <s v="Aarav Sharma"/>
    <x v="3"/>
    <x v="1"/>
    <s v="West Bengal"/>
    <s v="Kolkata"/>
    <x v="0"/>
    <x v="2"/>
    <s v="Classic Art 299"/>
    <x v="0"/>
    <n v="3"/>
    <n v="876.14"/>
    <n v="0.7"/>
    <n v="2628.42"/>
    <n v="788.52600000000018"/>
    <n v="1541.54"/>
    <n v="-0.95496407220560842"/>
    <n v="1086.8800000000001"/>
    <n v="-753.01399999999978"/>
    <x v="2"/>
    <x v="2"/>
    <n v="2"/>
    <s v="Clean"/>
    <m/>
  </r>
  <r>
    <s v="ORD-2024-10322"/>
    <d v="2024-06-23T00:00:00"/>
    <x v="2"/>
    <x v="0"/>
    <d v="2024-06-30T00:00:00"/>
    <s v="CUST-7821"/>
    <s v="Neha Gupta"/>
    <x v="1"/>
    <x v="3"/>
    <s v="Goa"/>
    <s v="Panaji"/>
    <x v="2"/>
    <x v="5"/>
    <s v="Eco Accessories 220"/>
    <x v="1"/>
    <n v="4"/>
    <n v="674.82"/>
    <n v="0"/>
    <n v="2699.28"/>
    <n v="2699.28"/>
    <n v="1759.76"/>
    <n v="0.34806318722029583"/>
    <n v="939.52"/>
    <n v="939.52000000000021"/>
    <x v="3"/>
    <x v="1"/>
    <n v="7"/>
    <s v="Clean"/>
    <m/>
  </r>
  <r>
    <s v="ORD-2024-10323"/>
    <d v="2024-12-11T00:00:00"/>
    <x v="7"/>
    <x v="0"/>
    <d v="2024-12-11T00:00:00"/>
    <s v="CUST-8579"/>
    <s v="Isha Nair"/>
    <x v="0"/>
    <x v="0"/>
    <s v="Uttar Pradesh"/>
    <s v="Noida"/>
    <x v="2"/>
    <x v="11"/>
    <s v="Max Phones 422"/>
    <x v="0"/>
    <n v="6"/>
    <n v="1369.48"/>
    <n v="0.15"/>
    <n v="6984.35"/>
    <n v="6984.3480000000009"/>
    <n v="4023.63"/>
    <n v="0.42390757161584736"/>
    <n v="2960.72"/>
    <n v="2960.7180000000008"/>
    <x v="0"/>
    <x v="0"/>
    <n v="0"/>
    <s v="Clean"/>
    <m/>
  </r>
  <r>
    <s v="ORD-2024-10324"/>
    <d v="2024-02-25T00:00:00"/>
    <x v="6"/>
    <x v="0"/>
    <d v="2024-02-29T00:00:00"/>
    <s v="CUST-6909"/>
    <s v="Isha Nair"/>
    <x v="1"/>
    <x v="3"/>
    <s v="Goa"/>
    <s v="Panaji"/>
    <x v="1"/>
    <x v="3"/>
    <s v="Eco Furnishings 897"/>
    <x v="3"/>
    <n v="9"/>
    <n v="1331.46"/>
    <n v="0.15"/>
    <n v="10185.67"/>
    <n v="10185.669"/>
    <n v="6479.31"/>
    <n v="0.36387978050337189"/>
    <n v="3706.36"/>
    <n v="3706.3589999999995"/>
    <x v="0"/>
    <x v="0"/>
    <n v="4"/>
    <s v="Clean"/>
    <m/>
  </r>
  <r>
    <s v="ORD-2025-10325"/>
    <d v="2025-07-31T00:00:00"/>
    <x v="0"/>
    <x v="1"/>
    <d v="2025-02-08T00:00:00"/>
    <s v="CUST-7212"/>
    <s v="Rohan Mehta"/>
    <x v="3"/>
    <x v="2"/>
    <s v="Andhra Pradesh"/>
    <s v="Vijayawada"/>
    <x v="0"/>
    <x v="7"/>
    <s v="Basic Labels 102"/>
    <x v="1"/>
    <n v="1"/>
    <n v="1947.88"/>
    <n v="0.15"/>
    <n v="1655.7"/>
    <n v="1655.6980000000001"/>
    <n v="1354.8"/>
    <n v="0.1817348332848141"/>
    <n v="300.89999999999998"/>
    <n v="300.89800000000014"/>
    <x v="0"/>
    <x v="2"/>
    <n v="-173"/>
    <s v="Invalid"/>
    <m/>
  </r>
  <r>
    <s v="ORD-2025-10326"/>
    <d v="2025-09-16T00:00:00"/>
    <x v="9"/>
    <x v="1"/>
    <d v="2025-09-22T00:00:00"/>
    <s v="CUST-7980"/>
    <s v="Sneha Kapoor"/>
    <x v="3"/>
    <x v="1"/>
    <s v="West Bengal"/>
    <s v="Kolkata"/>
    <x v="2"/>
    <x v="6"/>
    <s v="Prime Copiers 170"/>
    <x v="0"/>
    <n v="5"/>
    <n v="3671.2"/>
    <n v="0.15"/>
    <n v="15602.6"/>
    <n v="15602.6"/>
    <n v="11908.52"/>
    <n v="0.236760539910015"/>
    <n v="3694.08"/>
    <n v="3694.08"/>
    <x v="0"/>
    <x v="0"/>
    <n v="6"/>
    <s v="Clean"/>
    <m/>
  </r>
  <r>
    <s v="ORD-2025-10327"/>
    <d v="2025-07-22T00:00:00"/>
    <x v="0"/>
    <x v="1"/>
    <d v="2025-07-22T00:00:00"/>
    <s v="CUST-1966"/>
    <s v="Sneha Kapoor"/>
    <x v="2"/>
    <x v="1"/>
    <s v="Jharkhand"/>
    <s v="Ranchi"/>
    <x v="1"/>
    <x v="3"/>
    <s v="Smart Furnishings 533"/>
    <x v="1"/>
    <n v="5"/>
    <n v="3187.05"/>
    <n v="0.05"/>
    <n v="15138.49"/>
    <n v="15138.487499999999"/>
    <n v="11235.72"/>
    <n v="0.25780432160082045"/>
    <n v="3902.77"/>
    <n v="3902.7674999999999"/>
    <x v="0"/>
    <x v="0"/>
    <n v="0"/>
    <s v="Clean"/>
    <m/>
  </r>
  <r>
    <s v="ORD-2024-10328"/>
    <d v="2024-07-24T00:00:00"/>
    <x v="0"/>
    <x v="0"/>
    <d v="2024-07-27T00:00:00"/>
    <s v="CUST-6163"/>
    <s v="Isha Nair"/>
    <x v="0"/>
    <x v="3"/>
    <s v="Rajasthan"/>
    <s v="Udaipur"/>
    <x v="2"/>
    <x v="5"/>
    <s v="Classic Accessories 489"/>
    <x v="0"/>
    <n v="3"/>
    <n v="1834.55"/>
    <n v="0.2"/>
    <n v="4402.92"/>
    <n v="4402.92"/>
    <n v="2993.94"/>
    <n v="0.32001035676323897"/>
    <n v="1408.98"/>
    <n v="1408.98"/>
    <x v="2"/>
    <x v="1"/>
    <n v="3"/>
    <s v="Clean"/>
    <m/>
  </r>
  <r>
    <s v="ORD-2025-10329"/>
    <d v="2025-05-29T00:00:00"/>
    <x v="4"/>
    <x v="1"/>
    <d v="2025-04-06T00:00:00"/>
    <s v="CUST-7239"/>
    <s v="Diya Patel"/>
    <x v="0"/>
    <x v="3"/>
    <s v="Maharashtra"/>
    <s v="Mumbai"/>
    <x v="0"/>
    <x v="8"/>
    <s v="Smart Storage 439"/>
    <x v="2"/>
    <n v="6"/>
    <n v="3100.68"/>
    <n v="0"/>
    <n v="18604.080000000002"/>
    <n v="18604.079999999998"/>
    <n v="15834.3"/>
    <n v="0.1488802456235406"/>
    <n v="2769.78"/>
    <n v="2769.7799999999988"/>
    <x v="0"/>
    <x v="0"/>
    <n v="-53"/>
    <s v="Invalid"/>
    <m/>
  </r>
  <r>
    <s v="ORD-2025-10330"/>
    <d v="2025-12-05T00:00:00"/>
    <x v="7"/>
    <x v="1"/>
    <d v="2025-05-18T00:00:00"/>
    <s v="CUST-9718"/>
    <s v="Neha Gupta"/>
    <x v="1"/>
    <x v="3"/>
    <s v="Maharashtra"/>
    <s v="Mumbai"/>
    <x v="0"/>
    <x v="8"/>
    <s v="Prime Storage 232"/>
    <x v="3"/>
    <n v="4"/>
    <n v="4053.03"/>
    <n v="0.05"/>
    <n v="15401.51"/>
    <n v="15401.513999999999"/>
    <n v="8650.42"/>
    <n v="0.43833963336331738"/>
    <n v="6751.09"/>
    <n v="6751.0939999999991"/>
    <x v="0"/>
    <x v="0"/>
    <n v="-201"/>
    <s v="Invalid"/>
    <m/>
  </r>
  <r>
    <s v="ORD-2024-10331"/>
    <d v="2024-05-16T00:00:00"/>
    <x v="4"/>
    <x v="0"/>
    <d v="2024-05-24T00:00:00"/>
    <s v="CUST-1116"/>
    <s v="Arjun Bose"/>
    <x v="3"/>
    <x v="0"/>
    <s v="Punjab"/>
    <s v="Ludhiana"/>
    <x v="2"/>
    <x v="5"/>
    <s v="Prime Accessories 335"/>
    <x v="1"/>
    <n v="1"/>
    <n v="783.09"/>
    <n v="0"/>
    <n v="783.09"/>
    <n v="783.09"/>
    <n v="503.89"/>
    <n v="0.3565362857398256"/>
    <n v="279.2"/>
    <n v="279.20000000000005"/>
    <x v="3"/>
    <x v="1"/>
    <n v="8"/>
    <s v="Clean"/>
    <m/>
  </r>
  <r>
    <s v="ORD-2024-10332"/>
    <d v="2024-04-12T00:00:00"/>
    <x v="5"/>
    <x v="0"/>
    <d v="2024-06-12T00:00:00"/>
    <s v="CUST-9346"/>
    <s v="Sneha Kapoor"/>
    <x v="3"/>
    <x v="1"/>
    <s v="Odisha"/>
    <s v="Bhubaneswar"/>
    <x v="0"/>
    <x v="9"/>
    <s v="Smart Binders 939"/>
    <x v="0"/>
    <n v="4"/>
    <n v="2685.66"/>
    <n v="0"/>
    <n v="10989.89"/>
    <n v="10742.64"/>
    <n v="6477.37"/>
    <n v="0.39704113700170535"/>
    <n v="4265.2700000000004"/>
    <n v="4265.2699999999995"/>
    <x v="0"/>
    <x v="0"/>
    <n v="61"/>
    <s v="Clean"/>
    <s v="conflicting duplicate"/>
  </r>
  <r>
    <s v="ORD-2025-10333"/>
    <d v="2025-05-27T00:00:00"/>
    <x v="4"/>
    <x v="1"/>
    <d v="2025-05-28T00:00:00"/>
    <s v="CUST-5332"/>
    <s v="Aarav Sharma"/>
    <x v="0"/>
    <x v="2"/>
    <s v="Andhra Pradesh"/>
    <s v="Vijayawada"/>
    <x v="2"/>
    <x v="12"/>
    <s v="Basic Machines 601"/>
    <x v="0"/>
    <n v="2"/>
    <n v="3911.96"/>
    <n v="0"/>
    <n v="7823.92"/>
    <n v="7823.92"/>
    <n v="6034.63"/>
    <n v="0.22869482305545047"/>
    <n v="1789.29"/>
    <n v="1789.29"/>
    <x v="0"/>
    <x v="0"/>
    <n v="1"/>
    <s v="Clean"/>
    <m/>
  </r>
  <r>
    <s v="ORD-2025-10334"/>
    <d v="2025-06-22T00:00:00"/>
    <x v="2"/>
    <x v="1"/>
    <d v="2025-06-27T00:00:00"/>
    <s v="CUST-8081"/>
    <s v="Rohan Mehta"/>
    <x v="3"/>
    <x v="4"/>
    <s v="Delhi"/>
    <s v="New Delhi"/>
    <x v="2"/>
    <x v="11"/>
    <s v="Pro Phones 968"/>
    <x v="2"/>
    <n v="2"/>
    <n v="1468.05"/>
    <n v="0"/>
    <n v="2936.1"/>
    <n v="2936.1"/>
    <n v="1923.1"/>
    <n v="0.34501549674738602"/>
    <n v="1013"/>
    <n v="1013"/>
    <x v="0"/>
    <x v="0"/>
    <n v="5"/>
    <s v="Warning"/>
    <m/>
  </r>
  <r>
    <s v="ORD-2024-10335"/>
    <d v="2024-12-09T00:00:00"/>
    <x v="7"/>
    <x v="0"/>
    <d v="2024-09-17T00:00:00"/>
    <s v="CUST-3062"/>
    <s v="Ananya Rao"/>
    <x v="0"/>
    <x v="1"/>
    <s v="Jharkhand"/>
    <s v="Ranchi"/>
    <x v="0"/>
    <x v="8"/>
    <s v="Pro Storage 563"/>
    <x v="2"/>
    <n v="9"/>
    <n v="1921.47"/>
    <n v="0.25"/>
    <n v="12969.92"/>
    <n v="12969.922500000001"/>
    <n v="9398.4599999999991"/>
    <n v="0.27536498386941027"/>
    <n v="3571.46"/>
    <n v="3571.4625000000015"/>
    <x v="0"/>
    <x v="0"/>
    <n v="-83"/>
    <s v="Invalid"/>
    <m/>
  </r>
  <r>
    <s v="ORD-2024-10424"/>
    <d v="2024-02-20T00:00:00"/>
    <x v="6"/>
    <x v="0"/>
    <d v="2024-02-27T00:00:00"/>
    <s v="CUST-6169"/>
    <s v="Diya Patel"/>
    <x v="0"/>
    <x v="2"/>
    <s v="Kerala"/>
    <s v="Kochi"/>
    <x v="2"/>
    <x v="5"/>
    <s v="Prime Accessories 236"/>
    <x v="2"/>
    <n v="9"/>
    <n v="3779.31"/>
    <n v="0.2"/>
    <n v="27211.03"/>
    <n v="27211.032000000003"/>
    <n v="17940.43"/>
    <n v="0.34069277490100347"/>
    <n v="9270.6"/>
    <n v="9270.6020000000026"/>
    <x v="0"/>
    <x v="0"/>
    <n v="7"/>
    <s v="Clean"/>
    <s v="conflicting duplicate"/>
  </r>
  <r>
    <s v="ORD-2024-10337"/>
    <d v="2024-03-17T00:00:00"/>
    <x v="11"/>
    <x v="0"/>
    <d v="2024-03-21T00:00:00"/>
    <s v="CUST-2103"/>
    <s v="Aarav Sharma"/>
    <x v="0"/>
    <x v="0"/>
    <s v="Rajasthan"/>
    <s v="Jaipur"/>
    <x v="2"/>
    <x v="6"/>
    <s v="Pro Copiers 999"/>
    <x v="2"/>
    <n v="8"/>
    <n v="1992.57"/>
    <n v="0"/>
    <n v="15940.56"/>
    <n v="15940.56"/>
    <n v="12347.15"/>
    <n v="0.2254255810335396"/>
    <n v="3593.41"/>
    <n v="3593.41"/>
    <x v="0"/>
    <x v="0"/>
    <n v="4"/>
    <s v="Clean"/>
    <m/>
  </r>
  <r>
    <s v="ORD-2024-10338"/>
    <d v="2024-12-08T00:00:00"/>
    <x v="7"/>
    <x v="0"/>
    <d v="2024-08-18T00:00:00"/>
    <s v="CUST-4599"/>
    <s v="Ananya Rao"/>
    <x v="0"/>
    <x v="1"/>
    <s v="Assam"/>
    <s v="Guwahati"/>
    <x v="0"/>
    <x v="7"/>
    <s v="Classic Labels 206"/>
    <x v="1"/>
    <n v="6"/>
    <n v="1181.74"/>
    <n v="0"/>
    <n v="7090.44"/>
    <n v="7090.4400000000005"/>
    <n v="5672.27"/>
    <n v="0.20001156486762456"/>
    <n v="1262.8699999999999"/>
    <n v="1418.17"/>
    <x v="0"/>
    <x v="0"/>
    <n v="-112"/>
    <s v="Invalid"/>
    <m/>
  </r>
  <r>
    <s v="ORD-2024-10339"/>
    <d v="2024-08-12T00:00:00"/>
    <x v="1"/>
    <x v="0"/>
    <d v="2024-12-08T00:00:00"/>
    <s v="CUST-3066"/>
    <s v="Arjun Bose"/>
    <x v="1"/>
    <x v="2"/>
    <s v="Andhra Pradesh"/>
    <s v="Vijayawada"/>
    <x v="2"/>
    <x v="5"/>
    <s v="Eco Accessories 315"/>
    <x v="2"/>
    <n v="8"/>
    <n v="4402.3599999999997"/>
    <n v="0.25"/>
    <n v="26414.16"/>
    <n v="26414.159999999996"/>
    <n v="21822.53"/>
    <n v="0.17383214154832097"/>
    <n v="4591.63"/>
    <n v="4591.6299999999974"/>
    <x v="0"/>
    <x v="0"/>
    <n v="118"/>
    <s v="Clean"/>
    <m/>
  </r>
  <r>
    <s v="ORD-2025-10340"/>
    <d v="2025-02-20T00:00:00"/>
    <x v="6"/>
    <x v="1"/>
    <d v="2025-02-22T00:00:00"/>
    <s v="CUST-2752"/>
    <s v="Neha Gupta"/>
    <x v="2"/>
    <x v="1"/>
    <s v="Jharkhand"/>
    <s v="Ranchi"/>
    <x v="1"/>
    <x v="10"/>
    <s v="Elite Bookcases 988"/>
    <x v="3"/>
    <n v="8"/>
    <n v="3265.76"/>
    <n v="0.2"/>
    <n v="20900.86"/>
    <n v="20900.864000000001"/>
    <n v="12513.14"/>
    <n v="0.40130991714026759"/>
    <n v="8387.7199999999993"/>
    <n v="8387.724000000002"/>
    <x v="0"/>
    <x v="0"/>
    <n v="2"/>
    <s v="Clean"/>
    <m/>
  </r>
  <r>
    <s v="ORD-2024-10341"/>
    <d v="2024-01-21T00:00:00"/>
    <x v="8"/>
    <x v="0"/>
    <d v="2024-01-29T00:00:00"/>
    <s v="CUST-6291"/>
    <s v="Neha Gupta"/>
    <x v="0"/>
    <x v="2"/>
    <s v="Karnataka"/>
    <s v="Bengaluru"/>
    <x v="0"/>
    <x v="9"/>
    <s v="Smart Binders 414"/>
    <x v="3"/>
    <n v="5"/>
    <n v="4058.08"/>
    <n v="0.1"/>
    <n v="18261.36"/>
    <n v="18261.36"/>
    <n v="11399.94"/>
    <n v="0.3757343374206521"/>
    <n v="6861.42"/>
    <n v="6861.42"/>
    <x v="0"/>
    <x v="0"/>
    <n v="8"/>
    <s v="Clean"/>
    <m/>
  </r>
  <r>
    <s v="ORD-2025-10342"/>
    <d v="2025-08-09T00:00:00"/>
    <x v="1"/>
    <x v="1"/>
    <d v="2025-09-09T00:00:00"/>
    <s v="CUST-9969"/>
    <s v="Rohan Mehta"/>
    <x v="3"/>
    <x v="3"/>
    <s v="Gujarat"/>
    <s v="Ahmedabad"/>
    <x v="1"/>
    <x v="4"/>
    <s v="Eco Chairs 552"/>
    <x v="0"/>
    <n v="2"/>
    <n v="3960.33"/>
    <n v="0.05"/>
    <n v="7524.63"/>
    <n v="7524.6269999999995"/>
    <n v="6229.6"/>
    <n v="0.17210514222166751"/>
    <n v="1295.03"/>
    <n v="1295.0269999999991"/>
    <x v="0"/>
    <x v="0"/>
    <n v="31"/>
    <s v="Clean"/>
    <m/>
  </r>
  <r>
    <s v="ORD-2025-10343"/>
    <d v="2025-07-24T00:00:00"/>
    <x v="0"/>
    <x v="1"/>
    <d v="2025-01-08T00:00:00"/>
    <s v="CUST-3335"/>
    <s v="Kabir Singh"/>
    <x v="1"/>
    <x v="1"/>
    <s v="Jharkhand"/>
    <s v="Ranchi"/>
    <x v="0"/>
    <x v="9"/>
    <s v="Smart Binders 574"/>
    <x v="2"/>
    <n v="8"/>
    <n v="1528.92"/>
    <n v="0"/>
    <n v="12231.36"/>
    <n v="12231.36"/>
    <n v="8766.9"/>
    <n v="0.28324405462679547"/>
    <n v="3464.46"/>
    <n v="3464.4600000000009"/>
    <x v="0"/>
    <x v="0"/>
    <n v="-197"/>
    <s v="Invalid"/>
    <m/>
  </r>
  <r>
    <s v="ORD-2025-10344"/>
    <d v="2025-10-03T00:00:00"/>
    <x v="10"/>
    <x v="1"/>
    <d v="2025-08-10T00:00:00"/>
    <s v="CUST-7358"/>
    <s v="Aarav Sharma"/>
    <x v="2"/>
    <x v="3"/>
    <s v="Madhya Pradesh"/>
    <s v="Indore"/>
    <x v="2"/>
    <x v="12"/>
    <s v="Pro Machines 444"/>
    <x v="1"/>
    <n v="9"/>
    <n v="3837"/>
    <n v="0.1"/>
    <n v="31079.7"/>
    <n v="31079.7"/>
    <n v="17758.25"/>
    <n v="0.4286222196481948"/>
    <n v="13321.45"/>
    <n v="13321.45"/>
    <x v="0"/>
    <x v="0"/>
    <n v="-54"/>
    <s v="Invalid"/>
    <m/>
  </r>
  <r>
    <s v="ORD-2024-10345"/>
    <d v="2024-11-03T00:00:00"/>
    <x v="3"/>
    <x v="0"/>
    <d v="2024-11-03T00:00:00"/>
    <s v="CUST-8025"/>
    <s v="Priya Menon"/>
    <x v="0"/>
    <x v="0"/>
    <s v="Punjab"/>
    <s v="Ludhiana"/>
    <x v="1"/>
    <x v="10"/>
    <s v="Elite Bookcases 184"/>
    <x v="1"/>
    <n v="9"/>
    <n v="3456.38"/>
    <n v="0"/>
    <n v="31107.42"/>
    <n v="31107.420000000002"/>
    <n v="20146.66"/>
    <n v="0.3523519468988428"/>
    <n v="10960.76"/>
    <n v="10960.760000000002"/>
    <x v="2"/>
    <x v="2"/>
    <n v="0"/>
    <s v="Clean"/>
    <m/>
  </r>
  <r>
    <s v="ORD-2024-10346"/>
    <d v="2024-09-14T00:00:00"/>
    <x v="9"/>
    <x v="0"/>
    <d v="2024-09-22T00:00:00"/>
    <s v="CUST-4634"/>
    <s v="Karan Malhotra"/>
    <x v="0"/>
    <x v="3"/>
    <s v="Madhya Pradesh"/>
    <s v="Indore"/>
    <x v="1"/>
    <x v="3"/>
    <s v="Elite Furnishings 138"/>
    <x v="0"/>
    <n v="2"/>
    <n v="2765.3"/>
    <n v="0"/>
    <n v="5530.6"/>
    <n v="5530.6"/>
    <n v="4453.1099999999997"/>
    <n v="0.19482334647235391"/>
    <n v="1077.49"/>
    <n v="1077.4900000000007"/>
    <x v="0"/>
    <x v="0"/>
    <n v="8"/>
    <s v="Clean"/>
    <m/>
  </r>
  <r>
    <s v="ORD-2025-10347"/>
    <d v="2025-07-22T00:00:00"/>
    <x v="0"/>
    <x v="1"/>
    <d v="2025-07-28T00:00:00"/>
    <s v="CUST-3400"/>
    <s v="Rahul Verma"/>
    <x v="2"/>
    <x v="2"/>
    <s v="Kerala"/>
    <s v="Kochi"/>
    <x v="1"/>
    <x v="4"/>
    <s v="Eco Chairs 369"/>
    <x v="0"/>
    <n v="6"/>
    <n v="1607.46"/>
    <n v="0.2"/>
    <n v="7715.81"/>
    <n v="7715.8080000000009"/>
    <n v="4258.42"/>
    <n v="0.4480915025360922"/>
    <n v="3457.39"/>
    <n v="3457.3880000000008"/>
    <x v="0"/>
    <x v="0"/>
    <n v="6"/>
    <s v="Clean"/>
    <m/>
  </r>
  <r>
    <s v="ORD-2024-10348"/>
    <d v="2024-01-12T00:00:00"/>
    <x v="8"/>
    <x v="0"/>
    <d v="2024-12-08T00:00:00"/>
    <s v="CUST-1172"/>
    <s v="Aarav Sharma"/>
    <x v="1"/>
    <x v="3"/>
    <s v="Goa"/>
    <s v="Panaji"/>
    <x v="1"/>
    <x v="4"/>
    <s v="Max Chairs 487"/>
    <x v="0"/>
    <n v="5"/>
    <n v="2981.49"/>
    <n v="0.2"/>
    <n v="11925.96"/>
    <n v="11925.96"/>
    <n v="10103.51"/>
    <n v="0.15281369382422874"/>
    <n v="1822.45"/>
    <n v="1822.4499999999989"/>
    <x v="1"/>
    <x v="2"/>
    <n v="331"/>
    <s v="Clean"/>
    <m/>
  </r>
  <r>
    <s v="ORD-2024-10349"/>
    <d v="2024-06-02T00:00:00"/>
    <x v="2"/>
    <x v="0"/>
    <d v="2024-06-07T00:00:00"/>
    <s v="CUST-9517"/>
    <s v="Aarav Sharma"/>
    <x v="2"/>
    <x v="2"/>
    <s v="Karnataka"/>
    <s v="Bengaluru"/>
    <x v="2"/>
    <x v="11"/>
    <s v="Classic Phones 989"/>
    <x v="1"/>
    <n v="9"/>
    <n v="2860.26"/>
    <n v="0.25"/>
    <n v="19306.759999999998"/>
    <n v="19306.755000000005"/>
    <n v="14442.38"/>
    <n v="0.25195197225012717"/>
    <n v="4864.38"/>
    <n v="4864.3750000000055"/>
    <x v="0"/>
    <x v="0"/>
    <n v="5"/>
    <s v="Clean"/>
    <m/>
  </r>
  <r>
    <s v="ORD-2025-10350"/>
    <d v="2025-09-27T00:00:00"/>
    <x v="9"/>
    <x v="1"/>
    <d v="2025-09-29T00:00:00"/>
    <s v="CUST-6697"/>
    <s v="Kabir Singh"/>
    <x v="3"/>
    <x v="1"/>
    <s v="Jharkhand"/>
    <s v="Ranchi"/>
    <x v="1"/>
    <x v="3"/>
    <s v="Max Furnishings 628"/>
    <x v="0"/>
    <n v="9"/>
    <n v="2867.55"/>
    <n v="0.25"/>
    <n v="19355.96"/>
    <n v="19355.962500000001"/>
    <n v="15012.45"/>
    <n v="0.22440178317146461"/>
    <n v="4017.4"/>
    <n v="4343.5125000000007"/>
    <x v="0"/>
    <x v="0"/>
    <n v="2"/>
    <s v="Clean"/>
    <m/>
  </r>
  <r>
    <s v="ORD-2024-10351"/>
    <d v="2024-07-01T00:00:00"/>
    <x v="0"/>
    <x v="0"/>
    <d v="2024-01-14T00:00:00"/>
    <s v="CUST-7644"/>
    <s v="Sneha Kapoor"/>
    <x v="1"/>
    <x v="1"/>
    <s v="Jharkhand"/>
    <s v="Ranchi"/>
    <x v="1"/>
    <x v="3"/>
    <s v="Elite Furnishings 279"/>
    <x v="0"/>
    <n v="4"/>
    <n v="3309.54"/>
    <n v="0.1"/>
    <n v="11914.34"/>
    <n v="11914.344000000001"/>
    <n v="9771.24"/>
    <n v="0.17987595456367561"/>
    <n v="2143.1"/>
    <n v="2143.1040000000012"/>
    <x v="1"/>
    <x v="2"/>
    <n v="-169"/>
    <s v="Invalid"/>
    <m/>
  </r>
  <r>
    <s v="ORD-2025-10352"/>
    <d v="2025-05-23T00:00:00"/>
    <x v="4"/>
    <x v="1"/>
    <d v="2025-05-27T00:00:00"/>
    <s v="CUST-9963"/>
    <s v="Vikram Iyer"/>
    <x v="1"/>
    <x v="2"/>
    <s v="Telangana"/>
    <s v="Hyderabad"/>
    <x v="0"/>
    <x v="8"/>
    <s v="Pro Storage 847"/>
    <x v="2"/>
    <n v="6"/>
    <n v="719.44"/>
    <n v="0.25"/>
    <n v="3237.48"/>
    <n v="3237.4800000000005"/>
    <n v="2118.34"/>
    <n v="0.34568244437031276"/>
    <n v="1119.1400000000001"/>
    <n v="1119.1400000000003"/>
    <x v="2"/>
    <x v="1"/>
    <n v="4"/>
    <s v="Clean"/>
    <m/>
  </r>
  <r>
    <s v="ORD-2025-10353"/>
    <d v="2025-08-15T00:00:00"/>
    <x v="1"/>
    <x v="1"/>
    <d v="2025-08-17T00:00:00"/>
    <s v="CUST-6382"/>
    <s v="Diya Patel"/>
    <x v="1"/>
    <x v="1"/>
    <s v="Assam"/>
    <s v="Guwahati"/>
    <x v="2"/>
    <x v="6"/>
    <s v="Elite Copiers 706"/>
    <x v="2"/>
    <n v="5"/>
    <n v="2862.6"/>
    <n v="0.25"/>
    <n v="10734.75"/>
    <n v="10734.75"/>
    <n v="6475.73"/>
    <n v="0.39675073942103917"/>
    <n v="4259.0200000000004"/>
    <n v="4259.0200000000004"/>
    <x v="0"/>
    <x v="0"/>
    <n v="2"/>
    <s v="Clean"/>
    <m/>
  </r>
  <r>
    <s v="ORD-2025-10354"/>
    <d v="2025-02-21T00:00:00"/>
    <x v="6"/>
    <x v="1"/>
    <d v="2025-02-27T00:00:00"/>
    <s v="CUST-3253"/>
    <s v="Ananya Rao"/>
    <x v="0"/>
    <x v="0"/>
    <s v="Rajasthan"/>
    <s v="Jaipur"/>
    <x v="0"/>
    <x v="2"/>
    <s v="Prime Art 978"/>
    <x v="1"/>
    <n v="9"/>
    <n v="1431.67"/>
    <n v="0.2"/>
    <n v="10308.02"/>
    <n v="10308.024000000001"/>
    <n v="5822.31"/>
    <n v="0.4351672056642476"/>
    <n v="4485.71"/>
    <n v="4485.7140000000009"/>
    <x v="0"/>
    <x v="0"/>
    <n v="6"/>
    <s v="Clean"/>
    <m/>
  </r>
  <r>
    <s v="ORD-2024-10355"/>
    <d v="2024-12-27T00:00:00"/>
    <x v="7"/>
    <x v="0"/>
    <d v="2024-12-31T00:00:00"/>
    <s v="CUST-1058"/>
    <s v="Kabir Singh"/>
    <x v="2"/>
    <x v="0"/>
    <s v="Punjab"/>
    <s v="Ludhiana"/>
    <x v="1"/>
    <x v="3"/>
    <s v="Classic Furnishings 498"/>
    <x v="3"/>
    <n v="6"/>
    <n v="3346.78"/>
    <n v="-0.06"/>
    <n v="20080.68"/>
    <n v="21285.520800000002"/>
    <n v="12908.84"/>
    <m/>
    <n v="7171.84"/>
    <m/>
    <x v="2"/>
    <x v="1"/>
    <n v="4"/>
    <s v="Invalid"/>
    <m/>
  </r>
  <r>
    <s v="ORD-2024-10356"/>
    <d v="2024-12-05T00:00:00"/>
    <x v="7"/>
    <x v="0"/>
    <d v="2024-09-05T00:00:00"/>
    <s v="CUST-6414"/>
    <s v="Priya Menon"/>
    <x v="2"/>
    <x v="3"/>
    <s v="Rajasthan"/>
    <s v="Udaipur"/>
    <x v="1"/>
    <x v="1"/>
    <s v="Max Tables 829"/>
    <x v="3"/>
    <n v="5"/>
    <n v="3203.48"/>
    <n v="0"/>
    <n v="16017.4"/>
    <n v="16017.4"/>
    <n v="9557.7999999999993"/>
    <n v="0.40328642601171227"/>
    <n v="6459.6"/>
    <n v="6459.6"/>
    <x v="2"/>
    <x v="1"/>
    <n v="-91"/>
    <s v="Invalid"/>
    <m/>
  </r>
  <r>
    <s v="ORD-2025-10357"/>
    <d v="2025-06-27T00:00:00"/>
    <x v="2"/>
    <x v="1"/>
    <d v="2025-06-29T00:00:00"/>
    <s v="CUST-9268"/>
    <s v="Rohan Mehta"/>
    <x v="3"/>
    <x v="2"/>
    <s v="Telangana"/>
    <s v="Hyderabad"/>
    <x v="1"/>
    <x v="4"/>
    <s v="Eco Chairs 346"/>
    <x v="2"/>
    <n v="5"/>
    <n v="621.70000000000005"/>
    <n v="0.2"/>
    <n v="2486.8000000000002"/>
    <n v="2486.8000000000002"/>
    <n v="2131.73"/>
    <n v="0.1427818883705968"/>
    <n v="355.07"/>
    <n v="355.07000000000016"/>
    <x v="2"/>
    <x v="2"/>
    <n v="2"/>
    <s v="Clean"/>
    <m/>
  </r>
  <r>
    <s v="ORD-2025-10358"/>
    <d v="2025-01-21T00:00:00"/>
    <x v="8"/>
    <x v="1"/>
    <d v="2025-01-29T00:00:00"/>
    <s v="CUST-1363"/>
    <s v="Mira Das"/>
    <x v="3"/>
    <x v="2"/>
    <s v="Andhra Pradesh"/>
    <s v="Vijayawada"/>
    <x v="2"/>
    <x v="12"/>
    <s v="Max Machines 770"/>
    <x v="0"/>
    <n v="8"/>
    <n v="546.13"/>
    <n v="0"/>
    <n v="4369.04"/>
    <n v="4369.04"/>
    <n v="3716.88"/>
    <n v="0.14926848918755603"/>
    <n v="652.16"/>
    <n v="652.15999999999985"/>
    <x v="0"/>
    <x v="1"/>
    <n v="8"/>
    <s v="Clean"/>
    <m/>
  </r>
  <r>
    <s v="ORD-2025-10359"/>
    <d v="2025-08-09T00:00:00"/>
    <x v="1"/>
    <x v="1"/>
    <d v="2025-07-08T00:00:00"/>
    <s v="CUST-2477"/>
    <s v="Vikram Iyer"/>
    <x v="3"/>
    <x v="3"/>
    <s v="Gujarat"/>
    <s v="Ahmedabad"/>
    <x v="1"/>
    <x v="10"/>
    <s v="Smart Bookcases 134"/>
    <x v="0"/>
    <n v="5"/>
    <n v="1253.92"/>
    <n v="0.05"/>
    <n v="5956.12"/>
    <n v="5956.12"/>
    <n v="4379.18"/>
    <n v="0.26475960860425907"/>
    <n v="1576.94"/>
    <n v="1576.9399999999996"/>
    <x v="2"/>
    <x v="2"/>
    <n v="-32"/>
    <s v="Invalid"/>
    <m/>
  </r>
  <r>
    <s v="ORD-2024-10360"/>
    <d v="2024-08-21T00:00:00"/>
    <x v="1"/>
    <x v="0"/>
    <d v="2024-08-22T00:00:00"/>
    <s v="CUST-9571"/>
    <s v="Isha Nair"/>
    <x v="0"/>
    <x v="2"/>
    <s v="Tamil Nadu"/>
    <s v="Chennai"/>
    <x v="2"/>
    <x v="11"/>
    <s v="Classic Phones 586"/>
    <x v="1"/>
    <n v="9"/>
    <n v="616.96"/>
    <n v="0.1"/>
    <n v="4997.38"/>
    <n v="4997.3760000000002"/>
    <n v="2971.39"/>
    <n v="0.40540995914656014"/>
    <n v="2025.99"/>
    <n v="2025.9860000000003"/>
    <x v="0"/>
    <x v="0"/>
    <n v="1"/>
    <s v="Clean"/>
    <m/>
  </r>
  <r>
    <s v="ORD-2024-10361"/>
    <d v="2024-06-17T00:00:00"/>
    <x v="2"/>
    <x v="0"/>
    <d v="2024-06-20T00:00:00"/>
    <s v="CUST-3690"/>
    <s v="Sneha Kapoor"/>
    <x v="1"/>
    <x v="3"/>
    <s v="Gujarat"/>
    <s v="Ahmedabad"/>
    <x v="1"/>
    <x v="3"/>
    <s v="Elite Furnishings 634"/>
    <x v="3"/>
    <n v="7"/>
    <n v="3155.25"/>
    <n v="0.2"/>
    <n v="17669.400000000001"/>
    <n v="17669.400000000001"/>
    <n v="13718.77"/>
    <n v="0.2235859734908939"/>
    <n v="3950.63"/>
    <n v="3950.630000000001"/>
    <x v="1"/>
    <x v="1"/>
    <n v="3"/>
    <s v="Clean"/>
    <m/>
  </r>
  <r>
    <s v="ORD-2025-10362"/>
    <d v="2025-01-04T00:00:00"/>
    <x v="8"/>
    <x v="1"/>
    <d v="2025-02-04T00:00:00"/>
    <s v="CUST-2909"/>
    <s v="Rohan Mehta"/>
    <x v="2"/>
    <x v="1"/>
    <s v="Odisha"/>
    <s v="Bhubaneswar"/>
    <x v="1"/>
    <x v="4"/>
    <s v="Basic Chairs 113"/>
    <x v="0"/>
    <n v="9"/>
    <n v="4165.58"/>
    <n v="0.05"/>
    <n v="35615.71"/>
    <n v="35615.709000000003"/>
    <n v="20389.71"/>
    <n v="0.42750795723314122"/>
    <n v="15226"/>
    <n v="15225.999000000003"/>
    <x v="2"/>
    <x v="2"/>
    <n v="31"/>
    <s v="Clean"/>
    <m/>
  </r>
  <r>
    <s v="ORD-2024-10363"/>
    <d v="2024-08-23T00:00:00"/>
    <x v="1"/>
    <x v="0"/>
    <d v="2024-08-25T00:00:00"/>
    <s v="CUST-6755"/>
    <s v="Vikram Iyer"/>
    <x v="0"/>
    <x v="3"/>
    <s v="Goa"/>
    <s v="Panaji"/>
    <x v="2"/>
    <x v="12"/>
    <s v="Elite Machines 216"/>
    <x v="1"/>
    <n v="4"/>
    <n v="491.16"/>
    <n v="0.05"/>
    <n v="1866.41"/>
    <n v="1866.4079999999999"/>
    <n v="1576.49"/>
    <n v="0.15533473924243782"/>
    <n v="289.92"/>
    <n v="289.91799999999989"/>
    <x v="0"/>
    <x v="0"/>
    <n v="2"/>
    <s v="Clean"/>
    <m/>
  </r>
  <r>
    <s v="ORD-2025-10364"/>
    <d v="2025-07-07T00:00:00"/>
    <x v="0"/>
    <x v="1"/>
    <d v="2025-07-12T00:00:00"/>
    <s v="CUST-1832"/>
    <s v="Diya Patel"/>
    <x v="2"/>
    <x v="1"/>
    <s v="West Bengal"/>
    <s v="Kolkata"/>
    <x v="1"/>
    <x v="1"/>
    <s v="Smart Tables 943"/>
    <x v="0"/>
    <n v="5"/>
    <n v="1831.37"/>
    <n v="0.25"/>
    <n v="6867.64"/>
    <n v="6867.6374999999989"/>
    <n v="5205.3599999999997"/>
    <n v="0.24204502640100028"/>
    <n v="1662.28"/>
    <n v="1662.2774999999992"/>
    <x v="0"/>
    <x v="0"/>
    <n v="5"/>
    <s v="Clean"/>
    <m/>
  </r>
  <r>
    <s v="ORD-2025-10365"/>
    <d v="2025-03-21T00:00:00"/>
    <x v="11"/>
    <x v="1"/>
    <d v="2025-03-24T00:00:00"/>
    <s v="CUST-4452"/>
    <s v="Aarav Sharma"/>
    <x v="1"/>
    <x v="2"/>
    <s v="Andhra Pradesh"/>
    <s v="Vijayawada"/>
    <x v="1"/>
    <x v="4"/>
    <s v="Prime Chairs 101"/>
    <x v="0"/>
    <n v="5"/>
    <n v="1239.1500000000001"/>
    <n v="0"/>
    <n v="6195.75"/>
    <n v="6195.75"/>
    <n v="3967.02"/>
    <n v="0.35971916232901585"/>
    <n v="2228.73"/>
    <n v="2228.73"/>
    <x v="0"/>
    <x v="0"/>
    <n v="3"/>
    <s v="Clean"/>
    <m/>
  </r>
  <r>
    <s v="ORD-2024-10366"/>
    <d v="2024-06-15T00:00:00"/>
    <x v="2"/>
    <x v="0"/>
    <d v="2024-06-21T00:00:00"/>
    <s v="CUST-2203"/>
    <s v="Aditi Sen"/>
    <x v="2"/>
    <x v="3"/>
    <s v="Goa"/>
    <s v="Panaji"/>
    <x v="2"/>
    <x v="5"/>
    <s v="Basic Accessories 774"/>
    <x v="2"/>
    <n v="8"/>
    <n v="1706.4"/>
    <n v="0"/>
    <n v="12968.64"/>
    <n v="13651.2"/>
    <n v="10119.61"/>
    <n v="0.2587017991092358"/>
    <n v="2849.03"/>
    <n v="3531.59"/>
    <x v="0"/>
    <x v="0"/>
    <n v="6"/>
    <s v="Clean"/>
    <m/>
  </r>
  <r>
    <s v="ORD-2025-10367"/>
    <d v="2025-01-16T00:00:00"/>
    <x v="8"/>
    <x v="1"/>
    <d v="2025-01-22T00:00:00"/>
    <s v="CUST-5397"/>
    <s v="Sneha Kapoor"/>
    <x v="2"/>
    <x v="0"/>
    <s v="Rajasthan"/>
    <s v="Jaipur"/>
    <x v="1"/>
    <x v="1"/>
    <s v="Max Tables 478"/>
    <x v="1"/>
    <n v="2"/>
    <n v="4418.28"/>
    <n v="0"/>
    <n v="8836.56"/>
    <n v="8836.56"/>
    <n v="5867.75"/>
    <n v="0.33596897435201023"/>
    <n v="2968.81"/>
    <n v="2968.8099999999995"/>
    <x v="0"/>
    <x v="0"/>
    <n v="6"/>
    <s v="Clean"/>
    <m/>
  </r>
  <r>
    <s v="ORD-2024-10368"/>
    <d v="2024-03-15T00:00:00"/>
    <x v="11"/>
    <x v="0"/>
    <d v="2024-03-16T00:00:00"/>
    <s v="CUST-4696"/>
    <s v="Rohan Mehta"/>
    <x v="0"/>
    <x v="0"/>
    <s v="Delhi"/>
    <s v="New Delhi"/>
    <x v="0"/>
    <x v="2"/>
    <s v="Eco Art 646"/>
    <x v="3"/>
    <n v="6"/>
    <n v="3815.09"/>
    <n v="0.15"/>
    <n v="19456.96"/>
    <n v="19456.958999999999"/>
    <n v="14520.06"/>
    <n v="0.25373435797443988"/>
    <n v="4936.8999999999996"/>
    <n v="4936.8989999999994"/>
    <x v="3"/>
    <x v="1"/>
    <n v="1"/>
    <s v="Clean"/>
    <m/>
  </r>
  <r>
    <s v="ORD-2025-10369"/>
    <d v="2025-06-07T00:00:00"/>
    <x v="2"/>
    <x v="1"/>
    <d v="2025-06-07T00:00:00"/>
    <s v="CUST-8246"/>
    <s v="Aarav Sharma"/>
    <x v="3"/>
    <x v="0"/>
    <s v="Rajasthan"/>
    <s v="Jaipur"/>
    <x v="2"/>
    <x v="5"/>
    <s v="Prime Accessories 962"/>
    <x v="1"/>
    <n v="9"/>
    <n v="243.19"/>
    <n v="0.05"/>
    <n v="2079.27"/>
    <n v="2079.2745"/>
    <n v="1512.17"/>
    <n v="0.27274152595051782"/>
    <n v="567.1"/>
    <n v="567.10449999999992"/>
    <x v="1"/>
    <x v="2"/>
    <n v="0"/>
    <s v="Clean"/>
    <m/>
  </r>
  <r>
    <s v="ORD-2025-10370"/>
    <d v="2025-01-23T00:00:00"/>
    <x v="8"/>
    <x v="1"/>
    <d v="2025-01-30T00:00:00"/>
    <s v="CUST-5672"/>
    <s v="Priya Menon"/>
    <x v="0"/>
    <x v="0"/>
    <s v="Delhi"/>
    <s v="New Delhi"/>
    <x v="0"/>
    <x v="7"/>
    <s v="Eco Labels 646"/>
    <x v="3"/>
    <n v="9"/>
    <n v="1169.3699999999999"/>
    <n v="0.15"/>
    <n v="8945.68"/>
    <n v="8945.6804999999986"/>
    <n v="6740.35"/>
    <n v="0.24652462157574245"/>
    <n v="2205.33"/>
    <n v="2205.3304999999982"/>
    <x v="0"/>
    <x v="0"/>
    <n v="7"/>
    <s v="Clean"/>
    <m/>
  </r>
  <r>
    <s v="ORD-2024-10371"/>
    <d v="2024-08-15T00:00:00"/>
    <x v="1"/>
    <x v="0"/>
    <d v="2024-08-21T00:00:00"/>
    <s v="CUST-8521"/>
    <s v="Ananya Rao"/>
    <x v="1"/>
    <x v="3"/>
    <s v="Rajasthan"/>
    <s v="Udaipur"/>
    <x v="2"/>
    <x v="6"/>
    <s v="Classic Copiers 505"/>
    <x v="2"/>
    <n v="7"/>
    <n v="2333.81"/>
    <n v="0.2"/>
    <n v="13069.34"/>
    <n v="13069.336000000001"/>
    <n v="8768.59"/>
    <n v="0.32907149988339124"/>
    <n v="4300.75"/>
    <n v="4300.746000000001"/>
    <x v="0"/>
    <x v="0"/>
    <n v="6"/>
    <s v="Clean"/>
    <m/>
  </r>
  <r>
    <s v="ORD-2024-10372"/>
    <d v="2024-01-22T00:00:00"/>
    <x v="8"/>
    <x v="0"/>
    <d v="2024-01-24T00:00:00"/>
    <s v="CUST-2204"/>
    <s v="Diya Patel"/>
    <x v="3"/>
    <x v="3"/>
    <s v="Maharashtra"/>
    <s v="Mumbai"/>
    <x v="0"/>
    <x v="2"/>
    <s v="Pro Art 906"/>
    <x v="3"/>
    <n v="6"/>
    <n v="1026.06"/>
    <n v="0"/>
    <n v="4617.2700000000004"/>
    <n v="6156.36"/>
    <n v="2981.94"/>
    <n v="0.51563261407714944"/>
    <n v="1635.33"/>
    <n v="3174.4199999999996"/>
    <x v="1"/>
    <x v="1"/>
    <n v="2"/>
    <s v="Clean"/>
    <m/>
  </r>
  <r>
    <s v="ORD-2025-10373"/>
    <d v="2025-08-16T00:00:00"/>
    <x v="1"/>
    <x v="1"/>
    <d v="2025-08-18T00:00:00"/>
    <s v="CUST-4399"/>
    <s v="Kabir Singh"/>
    <x v="0"/>
    <x v="1"/>
    <s v="Jharkhand"/>
    <s v="Ranchi"/>
    <x v="1"/>
    <x v="4"/>
    <s v="Max Chairs 181"/>
    <x v="1"/>
    <n v="5"/>
    <n v="1530.36"/>
    <n v="0"/>
    <n v="7651.8"/>
    <n v="7651.7999999999993"/>
    <n v="5171.78"/>
    <n v="0.32410935988917638"/>
    <n v="2480.02"/>
    <n v="2480.0199999999995"/>
    <x v="0"/>
    <x v="0"/>
    <n v="2"/>
    <s v="Clean"/>
    <m/>
  </r>
  <r>
    <s v="ORD-2024-10424"/>
    <d v="2024-02-20T00:00:00"/>
    <x v="6"/>
    <x v="0"/>
    <d v="2024-02-27T00:00:00"/>
    <s v="CUST-6169"/>
    <s v="Diya Patel"/>
    <x v="0"/>
    <x v="2"/>
    <s v="Kerala"/>
    <s v="Kochi"/>
    <x v="2"/>
    <x v="5"/>
    <s v="Prime Accessories 236"/>
    <x v="2"/>
    <n v="9"/>
    <n v="3779.31"/>
    <n v="0.2"/>
    <n v="27322.9"/>
    <n v="27211.032000000003"/>
    <n v="17940.43"/>
    <n v="0.34069277490100347"/>
    <n v="9270.6"/>
    <n v="9270.6020000000026"/>
    <x v="0"/>
    <x v="2"/>
    <n v="7"/>
    <s v="Clean"/>
    <s v="conflicting duplicate"/>
  </r>
  <r>
    <s v="ORD-2025-10375"/>
    <d v="2025-02-27T00:00:00"/>
    <x v="6"/>
    <x v="1"/>
    <d v="2025-02-28T00:00:00"/>
    <s v="CUST-2358"/>
    <s v="Aditi Sen"/>
    <x v="1"/>
    <x v="0"/>
    <s v="Uttar Pradesh"/>
    <s v="Noida"/>
    <x v="0"/>
    <x v="7"/>
    <s v="Smart Labels 668"/>
    <x v="3"/>
    <n v="6"/>
    <n v="2393.25"/>
    <n v="0"/>
    <n v="14359.5"/>
    <n v="14359.5"/>
    <n v="8117.71"/>
    <n v="0.43468017688638183"/>
    <n v="6241.79"/>
    <n v="6241.79"/>
    <x v="0"/>
    <x v="0"/>
    <n v="1"/>
    <s v="Clean"/>
    <m/>
  </r>
  <r>
    <s v="ORD-2024-10376"/>
    <d v="2024-12-31T00:00:00"/>
    <x v="7"/>
    <x v="0"/>
    <d v="2025-04-01T00:00:00"/>
    <s v="CUST-2810"/>
    <s v="Vikram Iyer"/>
    <x v="0"/>
    <x v="0"/>
    <s v="Delhi"/>
    <s v="New Delhi"/>
    <x v="1"/>
    <x v="4"/>
    <s v="Pro Chairs 364"/>
    <x v="1"/>
    <n v="3"/>
    <n v="1166.6099999999999"/>
    <n v="0.25"/>
    <n v="2624.87"/>
    <n v="2624.8724999999999"/>
    <n v="2253.88"/>
    <n v="0.14133734114704613"/>
    <n v="370.99"/>
    <n v="370.99249999999984"/>
    <x v="0"/>
    <x v="0"/>
    <n v="91"/>
    <s v="Clean"/>
    <m/>
  </r>
  <r>
    <s v="ORD-2024-10377"/>
    <d v="2024-12-29T00:00:00"/>
    <x v="7"/>
    <x v="0"/>
    <d v="2024-12-31T00:00:00"/>
    <s v="CUST-5166"/>
    <s v="Isha Nair"/>
    <x v="1"/>
    <x v="1"/>
    <s v="Bihar"/>
    <s v="Patna"/>
    <x v="1"/>
    <x v="4"/>
    <s v="Basic Chairs 248"/>
    <x v="2"/>
    <n v="6"/>
    <n v="1844.78"/>
    <n v="0.2"/>
    <n v="8854.94"/>
    <n v="8854.9440000000013"/>
    <n v="7433.95"/>
    <n v="0.1604746455765278"/>
    <n v="1420.99"/>
    <n v="1420.9940000000015"/>
    <x v="0"/>
    <x v="0"/>
    <n v="2"/>
    <s v="Clean"/>
    <m/>
  </r>
  <r>
    <s v="ORD-2025-10378"/>
    <d v="2025-05-24T00:00:00"/>
    <x v="4"/>
    <x v="1"/>
    <d v="2025-05-30T00:00:00"/>
    <s v="CUST-4875"/>
    <s v="Kabir Singh"/>
    <x v="1"/>
    <x v="1"/>
    <s v="Odisha"/>
    <s v="Bhubaneswar"/>
    <x v="0"/>
    <x v="8"/>
    <s v="Basic Storage 360"/>
    <x v="1"/>
    <n v="1"/>
    <n v="2564.7399999999998"/>
    <n v="0"/>
    <n v="2564.7399999999998"/>
    <n v="2564.7399999999998"/>
    <n v="1754.58"/>
    <n v="0.31588387126960232"/>
    <n v="810.16"/>
    <n v="810.15999999999985"/>
    <x v="0"/>
    <x v="0"/>
    <n v="6"/>
    <s v="Clean"/>
    <m/>
  </r>
  <r>
    <s v="ORD-2025-10379"/>
    <d v="2025-05-22T00:00:00"/>
    <x v="4"/>
    <x v="1"/>
    <d v="2025-05-22T00:00:00"/>
    <s v="CUST-3154"/>
    <s v="Mira Das"/>
    <x v="0"/>
    <x v="3"/>
    <s v="Goa"/>
    <s v="Panaji"/>
    <x v="2"/>
    <x v="5"/>
    <s v="Basic Accessories 988"/>
    <x v="3"/>
    <n v="2"/>
    <n v="3910.61"/>
    <n v="0"/>
    <n v="7821.22"/>
    <n v="7821.22"/>
    <n v="4994.46"/>
    <n v="0.36142187535959863"/>
    <n v="2826.76"/>
    <n v="2826.76"/>
    <x v="0"/>
    <x v="0"/>
    <n v="0"/>
    <s v="Clean"/>
    <m/>
  </r>
  <r>
    <s v="ORD-2024-10380"/>
    <d v="2024-09-19T00:00:00"/>
    <x v="9"/>
    <x v="0"/>
    <d v="2024-09-23T00:00:00"/>
    <s v="CUST-6405"/>
    <s v="Mira Das"/>
    <x v="1"/>
    <x v="2"/>
    <s v="Kerala"/>
    <s v="Kochi"/>
    <x v="0"/>
    <x v="0"/>
    <s v="Max Paper 334"/>
    <x v="3"/>
    <n v="7"/>
    <n v="1136.68"/>
    <n v="0"/>
    <n v="7956.76"/>
    <n v="7956.76"/>
    <n v="4799.54"/>
    <n v="0.39679718880549369"/>
    <n v="3157.22"/>
    <n v="3157.2200000000003"/>
    <x v="0"/>
    <x v="0"/>
    <n v="4"/>
    <s v="Clean"/>
    <m/>
  </r>
  <r>
    <s v="ORD-2024-10381"/>
    <d v="2024-07-04T00:00:00"/>
    <x v="0"/>
    <x v="0"/>
    <d v="2024-04-14T00:00:00"/>
    <s v="CUST-5779"/>
    <s v="Vikram Iyer"/>
    <x v="0"/>
    <x v="3"/>
    <s v="Maharashtra"/>
    <s v="Mumbai"/>
    <x v="1"/>
    <x v="10"/>
    <s v="Prime Bookcases 952"/>
    <x v="1"/>
    <n v="5"/>
    <n v="2235.85"/>
    <n v="0.25"/>
    <n v="8384.44"/>
    <n v="8384.4375"/>
    <n v="4765.96"/>
    <n v="0.43157069272685256"/>
    <n v="3618.48"/>
    <n v="3618.4775"/>
    <x v="0"/>
    <x v="2"/>
    <n v="-81"/>
    <s v="Invalid"/>
    <m/>
  </r>
  <r>
    <s v="ORD-2025-10382"/>
    <d v="2025-09-19T00:00:00"/>
    <x v="9"/>
    <x v="1"/>
    <d v="2025-09-23T00:00:00"/>
    <s v="CUST-9943"/>
    <s v="Arjun Bose"/>
    <x v="3"/>
    <x v="0"/>
    <s v="Delhi"/>
    <s v="New Delhi"/>
    <x v="0"/>
    <x v="9"/>
    <s v="Prime Binders 523"/>
    <x v="3"/>
    <n v="4"/>
    <n v="4387.1499999999996"/>
    <n v="0.05"/>
    <n v="16671.169999999998"/>
    <n v="16671.169999999998"/>
    <n v="10833.19"/>
    <n v="0.35018418023450054"/>
    <n v="5837.98"/>
    <n v="5837.9799999999977"/>
    <x v="3"/>
    <x v="1"/>
    <n v="4"/>
    <s v="Clean"/>
    <m/>
  </r>
  <r>
    <s v="ORD-2025-10383"/>
    <d v="2025-04-03T00:00:00"/>
    <x v="5"/>
    <x v="1"/>
    <d v="2025-03-08T00:00:00"/>
    <s v="CUST-7098"/>
    <s v="Arjun Bose"/>
    <x v="1"/>
    <x v="1"/>
    <s v="Bihar"/>
    <s v="Patna"/>
    <x v="2"/>
    <x v="11"/>
    <s v="Pro Phones 538"/>
    <x v="2"/>
    <n v="3"/>
    <n v="4361.8500000000004"/>
    <n v="0.2"/>
    <n v="10468.44"/>
    <n v="10468.440000000002"/>
    <n v="8399.8700000000008"/>
    <n v="0.19760059760575607"/>
    <n v="2068.5700000000002"/>
    <n v="2068.5700000000015"/>
    <x v="0"/>
    <x v="0"/>
    <n v="-26"/>
    <s v="Invalid"/>
    <m/>
  </r>
  <r>
    <s v="ORD-2025-10384"/>
    <d v="2025-06-28T00:00:00"/>
    <x v="2"/>
    <x v="1"/>
    <d v="2025-05-07T00:00:00"/>
    <s v="CUST-7438"/>
    <s v="Vikram Iyer"/>
    <x v="2"/>
    <x v="1"/>
    <s v="West Bengal"/>
    <s v="Kolkata"/>
    <x v="0"/>
    <x v="2"/>
    <s v="Basic Art 608"/>
    <x v="2"/>
    <n v="2"/>
    <n v="2242.75"/>
    <n v="0"/>
    <n v="4485.5"/>
    <n v="4485.5"/>
    <n v="3131.86"/>
    <n v="0.30178129528480657"/>
    <n v="1353.64"/>
    <n v="1353.6399999999999"/>
    <x v="0"/>
    <x v="1"/>
    <n v="-52"/>
    <s v="Invalid"/>
    <m/>
  </r>
  <r>
    <s v="ORD-2024-10385"/>
    <d v="2024-03-15T00:00:00"/>
    <x v="11"/>
    <x v="0"/>
    <d v="2024-03-20T00:00:00"/>
    <s v="CUST-8432"/>
    <s v="Rohan Mehta"/>
    <x v="0"/>
    <x v="1"/>
    <s v="Jharkhand"/>
    <s v="Ranchi"/>
    <x v="2"/>
    <x v="6"/>
    <s v="Prime Copiers 820"/>
    <x v="3"/>
    <n v="2"/>
    <n v="1881.4"/>
    <n v="0.25"/>
    <n v="2822.1"/>
    <n v="2822.1000000000004"/>
    <n v="1624.57"/>
    <n v="0.42434003047376079"/>
    <n v="1197.53"/>
    <n v="1197.5300000000004"/>
    <x v="0"/>
    <x v="2"/>
    <n v="5"/>
    <s v="Clean"/>
    <m/>
  </r>
  <r>
    <s v="ORD-2025-10386"/>
    <d v="2025-06-24T00:00:00"/>
    <x v="2"/>
    <x v="1"/>
    <d v="2025-06-30T00:00:00"/>
    <s v="CUST-2834"/>
    <s v="Arjun Bose"/>
    <x v="0"/>
    <x v="0"/>
    <s v="Haryana"/>
    <s v="Gurugram"/>
    <x v="0"/>
    <x v="7"/>
    <s v="Classic Labels 670"/>
    <x v="3"/>
    <n v="6"/>
    <n v="365.76"/>
    <n v="0.1"/>
    <n v="1975.1"/>
    <n v="1975.104"/>
    <n v="1115.3499999999999"/>
    <n v="0.4352955591199249"/>
    <n v="859.75"/>
    <n v="859.75400000000013"/>
    <x v="0"/>
    <x v="0"/>
    <n v="6"/>
    <s v="Clean"/>
    <m/>
  </r>
  <r>
    <s v="ORD-2025-10387"/>
    <d v="2025-02-12T00:00:00"/>
    <x v="6"/>
    <x v="1"/>
    <d v="2025-02-14T00:00:00"/>
    <s v="CUST-4222"/>
    <s v="Sneha Kapoor"/>
    <x v="0"/>
    <x v="3"/>
    <s v="Maharashtra"/>
    <s v="Mumbai"/>
    <x v="1"/>
    <x v="3"/>
    <s v="Prime Furnishings 597"/>
    <x v="0"/>
    <n v="8"/>
    <n v="2786.66"/>
    <n v="0.1"/>
    <n v="20063.95"/>
    <n v="20063.952000000001"/>
    <n v="14363.38"/>
    <n v="0.2841200975759911"/>
    <n v="5700.57"/>
    <n v="5700.5720000000019"/>
    <x v="0"/>
    <x v="0"/>
    <n v="2"/>
    <s v="Clean"/>
    <m/>
  </r>
  <r>
    <s v="ORD-2025-10388"/>
    <d v="2025-10-08T00:00:00"/>
    <x v="10"/>
    <x v="1"/>
    <d v="2025-08-13T00:00:00"/>
    <s v="CUST-1053"/>
    <s v="Priya Menon"/>
    <x v="1"/>
    <x v="3"/>
    <s v="Madhya Pradesh"/>
    <s v="Indore"/>
    <x v="1"/>
    <x v="4"/>
    <s v="Prime Chairs 196"/>
    <x v="3"/>
    <n v="5"/>
    <n v="352.86"/>
    <n v="0"/>
    <n v="1764.3"/>
    <n v="1764.3000000000002"/>
    <n v="1332.49"/>
    <n v="0.24474862551720236"/>
    <n v="431.81"/>
    <n v="431.81000000000017"/>
    <x v="2"/>
    <x v="1"/>
    <n v="-56"/>
    <s v="Invalid"/>
    <m/>
  </r>
  <r>
    <s v="ORD-2024-10389"/>
    <d v="2024-05-13T00:00:00"/>
    <x v="4"/>
    <x v="0"/>
    <d v="2024-05-18T00:00:00"/>
    <s v="CUST-1457"/>
    <s v="Isha Nair"/>
    <x v="1"/>
    <x v="3"/>
    <s v="Gujarat"/>
    <s v="Ahmedabad"/>
    <x v="1"/>
    <x v="4"/>
    <s v="Elite Chairs 639"/>
    <x v="3"/>
    <n v="3"/>
    <n v="3128.59"/>
    <n v="0"/>
    <n v="9385.77"/>
    <n v="9385.77"/>
    <n v="6872.44"/>
    <n v="0.26778090662779941"/>
    <n v="2783.66"/>
    <n v="2513.3300000000008"/>
    <x v="0"/>
    <x v="0"/>
    <n v="5"/>
    <s v="Clean"/>
    <m/>
  </r>
  <r>
    <s v="ORD-2024-10390"/>
    <d v="2024-05-04T00:00:00"/>
    <x v="4"/>
    <x v="0"/>
    <d v="2024-04-13T00:00:00"/>
    <s v="CUST-3930"/>
    <s v="Diya Patel"/>
    <x v="2"/>
    <x v="3"/>
    <s v="Gujarat"/>
    <s v="Ahmedabad"/>
    <x v="2"/>
    <x v="12"/>
    <s v="Elite Machines 563"/>
    <x v="0"/>
    <n v="5"/>
    <n v="1937.54"/>
    <n v="0.2"/>
    <n v="7750.16"/>
    <n v="7750.1600000000008"/>
    <n v="5434.3"/>
    <n v="0.29881447608823564"/>
    <n v="2315.86"/>
    <n v="2315.8600000000006"/>
    <x v="2"/>
    <x v="1"/>
    <n v="-21"/>
    <s v="Invalid"/>
    <m/>
  </r>
  <r>
    <s v="ORD-2024-10391"/>
    <d v="2024-06-11T00:00:00"/>
    <x v="2"/>
    <x v="0"/>
    <d v="2024-11-11T00:00:00"/>
    <s v="CUST-7853"/>
    <s v="Isha Nair"/>
    <x v="0"/>
    <x v="3"/>
    <s v="Gujarat"/>
    <s v="Ahmedabad"/>
    <x v="1"/>
    <x v="3"/>
    <s v="Pro Furnishings 281"/>
    <x v="3"/>
    <n v="4"/>
    <n v="1917.26"/>
    <n v="0.2"/>
    <n v="6135.23"/>
    <n v="6135.232"/>
    <n v="3439.79"/>
    <n v="0.43933823529411764"/>
    <n v="2695.44"/>
    <n v="2695.442"/>
    <x v="0"/>
    <x v="0"/>
    <n v="153"/>
    <s v="Clean"/>
    <m/>
  </r>
  <r>
    <s v="ORD-2025-10392"/>
    <d v="2025-02-14T00:00:00"/>
    <x v="6"/>
    <x v="1"/>
    <d v="2025-02-14T00:00:00"/>
    <s v="CUST-2267"/>
    <s v="Diya Patel"/>
    <x v="0"/>
    <x v="2"/>
    <s v="Karnataka"/>
    <s v="Bengaluru"/>
    <x v="0"/>
    <x v="8"/>
    <s v="Eco Storage 285"/>
    <x v="2"/>
    <n v="1"/>
    <n v="714.43"/>
    <n v="0"/>
    <n v="714.43"/>
    <n v="714.43"/>
    <n v="565.44000000000005"/>
    <n v="0.20854387413742412"/>
    <n v="148.99"/>
    <n v="148.9899999999999"/>
    <x v="0"/>
    <x v="0"/>
    <n v="0"/>
    <s v="Clean"/>
    <m/>
  </r>
  <r>
    <s v="ORD-2024-10393"/>
    <d v="2024-02-19T00:00:00"/>
    <x v="6"/>
    <x v="0"/>
    <d v="2024-02-22T00:00:00"/>
    <s v="CUST-6866"/>
    <s v="Aditi Sen"/>
    <x v="1"/>
    <x v="2"/>
    <s v="Kerala"/>
    <s v="Kochi"/>
    <x v="1"/>
    <x v="3"/>
    <s v="Classic Furnishings 746"/>
    <x v="1"/>
    <n v="9"/>
    <n v="4053.01"/>
    <n v="0"/>
    <n v="36477.089999999997"/>
    <n v="36477.090000000004"/>
    <n v="24525.48"/>
    <n v="0.32764702447481425"/>
    <n v="11951.61"/>
    <n v="11951.610000000004"/>
    <x v="0"/>
    <x v="0"/>
    <n v="3"/>
    <s v="Clean"/>
    <m/>
  </r>
  <r>
    <s v="ORD-2024-10394"/>
    <d v="2024-08-23T00:00:00"/>
    <x v="1"/>
    <x v="0"/>
    <d v="2024-08-29T00:00:00"/>
    <s v="CUST-3160"/>
    <s v="Mira Das"/>
    <x v="2"/>
    <x v="0"/>
    <s v="Uttar Pradesh"/>
    <s v="Noida"/>
    <x v="0"/>
    <x v="7"/>
    <s v="Eco Labels 815"/>
    <x v="1"/>
    <n v="2"/>
    <n v="1936.91"/>
    <n v="0.05"/>
    <n v="3680.13"/>
    <n v="3680.1289999999999"/>
    <n v="2967.46"/>
    <n v="0.19365326595888346"/>
    <n v="712.67"/>
    <n v="712.66899999999987"/>
    <x v="0"/>
    <x v="0"/>
    <n v="6"/>
    <s v="Clean"/>
    <m/>
  </r>
  <r>
    <s v="ORD-2024-10395"/>
    <d v="2024-03-04T00:00:00"/>
    <x v="11"/>
    <x v="0"/>
    <d v="2024-04-04T00:00:00"/>
    <s v="CUST-8444"/>
    <s v="Kabir Singh"/>
    <x v="0"/>
    <x v="3"/>
    <s v="Maharashtra"/>
    <s v="Mumbai"/>
    <x v="1"/>
    <x v="3"/>
    <s v="Prime Furnishings 879"/>
    <x v="2"/>
    <n v="7"/>
    <n v="3945.21"/>
    <n v="0"/>
    <n v="27616.47"/>
    <n v="27616.47"/>
    <n v="21225.26"/>
    <n v="0.23142747787823725"/>
    <n v="6391.21"/>
    <n v="6391.2100000000028"/>
    <x v="0"/>
    <x v="0"/>
    <n v="31"/>
    <s v="Clean"/>
    <m/>
  </r>
  <r>
    <s v="ORD-2024-10396"/>
    <d v="2024-06-06T00:00:00"/>
    <x v="2"/>
    <x v="0"/>
    <d v="2024-06-07T00:00:00"/>
    <s v="CUST-4765"/>
    <s v="Rahul Verma"/>
    <x v="3"/>
    <x v="2"/>
    <s v="Tamil Nadu"/>
    <s v="Chennai"/>
    <x v="1"/>
    <x v="1"/>
    <s v="Pro Tables 142"/>
    <x v="1"/>
    <n v="7"/>
    <n v="861.91"/>
    <n v="0.05"/>
    <n v="5731.7"/>
    <n v="5731.7014999999992"/>
    <n v="4115.5600000000004"/>
    <n v="0.28196539893084088"/>
    <n v="1616.14"/>
    <n v="1616.1414999999988"/>
    <x v="0"/>
    <x v="0"/>
    <n v="1"/>
    <s v="Clean"/>
    <m/>
  </r>
  <r>
    <s v="ORD-2025-10397"/>
    <d v="2025-04-14T00:00:00"/>
    <x v="5"/>
    <x v="1"/>
    <d v="2025-04-22T00:00:00"/>
    <s v="CUST-2280"/>
    <s v="Aditi Sen"/>
    <x v="1"/>
    <x v="2"/>
    <s v="Karnataka"/>
    <s v="Bengaluru"/>
    <x v="2"/>
    <x v="12"/>
    <s v="Prime Machines 267"/>
    <x v="3"/>
    <n v="2"/>
    <n v="638.73"/>
    <n v="0.05"/>
    <n v="1213.5899999999999"/>
    <n v="1213.587"/>
    <n v="956.22"/>
    <n v="0.21207132245154239"/>
    <n v="257.37"/>
    <n v="257.36699999999996"/>
    <x v="0"/>
    <x v="0"/>
    <n v="8"/>
    <s v="Clean"/>
    <m/>
  </r>
  <r>
    <s v="ORD-2025-10398"/>
    <d v="2025-09-06T00:00:00"/>
    <x v="9"/>
    <x v="1"/>
    <d v="2025-10-06T00:00:00"/>
    <s v="CUST-3177"/>
    <s v="Sneha Kapoor"/>
    <x v="1"/>
    <x v="0"/>
    <s v="Uttar Pradesh"/>
    <s v="Noida"/>
    <x v="1"/>
    <x v="1"/>
    <s v="Eco Tables 378"/>
    <x v="0"/>
    <n v="2"/>
    <n v="1731.88"/>
    <n v="0"/>
    <n v="3463.76"/>
    <n v="3463.76"/>
    <n v="2143.7399999999998"/>
    <n v="0.38109453310852959"/>
    <n v="1320.02"/>
    <n v="1320.0200000000004"/>
    <x v="0"/>
    <x v="0"/>
    <n v="30"/>
    <s v="Clean"/>
    <m/>
  </r>
  <r>
    <s v="ORD-2024-10399"/>
    <d v="2024-07-19T00:00:00"/>
    <x v="0"/>
    <x v="0"/>
    <d v="2024-07-26T00:00:00"/>
    <s v="CUST-4718"/>
    <s v="Vikram Iyer"/>
    <x v="2"/>
    <x v="0"/>
    <s v="Punjab"/>
    <s v="Ludhiana"/>
    <x v="2"/>
    <x v="12"/>
    <s v="Elite Machines 523"/>
    <x v="1"/>
    <n v="2"/>
    <n v="1263.6500000000001"/>
    <n v="0.2"/>
    <n v="2021.84"/>
    <n v="2021.8400000000001"/>
    <n v="1355.22"/>
    <n v="0.32970957147944452"/>
    <n v="666.62"/>
    <n v="666.62000000000012"/>
    <x v="0"/>
    <x v="0"/>
    <n v="7"/>
    <s v="Clean"/>
    <m/>
  </r>
  <r>
    <s v="ORD-2025-10400"/>
    <d v="2025-04-24T00:00:00"/>
    <x v="5"/>
    <x v="1"/>
    <d v="2025-04-29T00:00:00"/>
    <s v="CUST-5647"/>
    <s v="Diya Patel"/>
    <x v="1"/>
    <x v="2"/>
    <s v="Andhra Pradesh"/>
    <s v="Vijayawada"/>
    <x v="0"/>
    <x v="0"/>
    <s v="Elite Paper 308"/>
    <x v="1"/>
    <n v="1"/>
    <n v="4358.5"/>
    <n v="0.25"/>
    <n v="3268.88"/>
    <n v="3268.875"/>
    <n v="1993.74"/>
    <n v="0.39008374440747962"/>
    <n v="1275.1400000000001"/>
    <n v="1275.135"/>
    <x v="0"/>
    <x v="0"/>
    <n v="5"/>
    <s v="Clean"/>
    <m/>
  </r>
  <r>
    <s v="ORD-2025-10401"/>
    <d v="2025-06-06T00:00:00"/>
    <x v="2"/>
    <x v="1"/>
    <d v="2025-11-06T00:00:00"/>
    <s v="CUST-7150"/>
    <s v="Sneha Kapoor"/>
    <x v="1"/>
    <x v="0"/>
    <s v="Uttar Pradesh"/>
    <s v="Noida"/>
    <x v="0"/>
    <x v="0"/>
    <s v="Prime Paper 851"/>
    <x v="1"/>
    <n v="7"/>
    <n v="878.09"/>
    <n v="-0.1"/>
    <n v="5839.3"/>
    <n v="6761.2930000000006"/>
    <n v="4877.38"/>
    <m/>
    <n v="961.92"/>
    <m/>
    <x v="0"/>
    <x v="0"/>
    <n v="153"/>
    <s v="Invalid"/>
    <m/>
  </r>
  <r>
    <s v="ORD-2025-10402"/>
    <d v="2025-09-03T00:00:00"/>
    <x v="9"/>
    <x v="1"/>
    <d v="2025-03-16T00:00:00"/>
    <s v="CUST-6694"/>
    <s v="Arjun Bose"/>
    <x v="1"/>
    <x v="1"/>
    <s v="Jharkhand"/>
    <s v="Ranchi"/>
    <x v="1"/>
    <x v="1"/>
    <s v="Classic Tables 151"/>
    <x v="1"/>
    <n v="3"/>
    <n v="2625.85"/>
    <n v="0"/>
    <n v="7877.55"/>
    <n v="7877.5499999999993"/>
    <n v="5562.77"/>
    <n v="0.29384516759652418"/>
    <n v="2314.7800000000002"/>
    <n v="2314.7799999999988"/>
    <x v="0"/>
    <x v="0"/>
    <n v="-171"/>
    <s v="Invalid"/>
    <m/>
  </r>
  <r>
    <s v="ORD-2024-10403"/>
    <d v="2024-03-22T00:00:00"/>
    <x v="11"/>
    <x v="0"/>
    <d v="2024-03-22T00:00:00"/>
    <s v="CUST-7680"/>
    <s v="Priya Menon"/>
    <x v="1"/>
    <x v="2"/>
    <s v="Karnataka"/>
    <s v="Bengaluru"/>
    <x v="1"/>
    <x v="1"/>
    <s v="Smart Tables 829"/>
    <x v="4"/>
    <n v="3"/>
    <n v="1365.26"/>
    <n v="0"/>
    <n v="4095.78"/>
    <n v="4095.7799999999997"/>
    <n v="2807.77"/>
    <n v="0.31447245701673426"/>
    <n v="1288.01"/>
    <n v="1288.0099999999998"/>
    <x v="0"/>
    <x v="0"/>
    <n v="0"/>
    <s v="Warning"/>
    <m/>
  </r>
  <r>
    <s v="ORD-2024-10404"/>
    <d v="2024-09-30T00:00:00"/>
    <x v="9"/>
    <x v="0"/>
    <d v="2024-04-10T00:00:00"/>
    <s v="CUST-2700"/>
    <s v="Arjun Bose"/>
    <x v="1"/>
    <x v="2"/>
    <s v="Kerala"/>
    <s v="Kochi"/>
    <x v="0"/>
    <x v="0"/>
    <s v="Classic Paper 237"/>
    <x v="1"/>
    <n v="5"/>
    <n v="3512.25"/>
    <n v="0.05"/>
    <n v="16683.189999999999"/>
    <n v="16683.1875"/>
    <n v="10301.16"/>
    <n v="0.38254245479168775"/>
    <n v="6382.03"/>
    <n v="6382.0275000000001"/>
    <x v="0"/>
    <x v="2"/>
    <n v="-173"/>
    <s v="Invalid"/>
    <m/>
  </r>
  <r>
    <s v="ORD-2024-10405"/>
    <d v="2024-01-27T00:00:00"/>
    <x v="8"/>
    <x v="0"/>
    <d v="2024-02-03T00:00:00"/>
    <s v="CUST-2904"/>
    <s v="Aditi Sen"/>
    <x v="2"/>
    <x v="3"/>
    <s v="Rajasthan"/>
    <s v="Udaipur"/>
    <x v="1"/>
    <x v="4"/>
    <s v="Prime Chairs 891"/>
    <x v="1"/>
    <n v="3"/>
    <n v="359.61"/>
    <n v="0"/>
    <n v="1078.83"/>
    <n v="1078.83"/>
    <n v="926.35"/>
    <n v="0.14133830167867034"/>
    <n v="152.47999999999999"/>
    <n v="152.4799999999999"/>
    <x v="0"/>
    <x v="0"/>
    <n v="7"/>
    <s v="Clean"/>
    <m/>
  </r>
  <r>
    <s v="ORD-2024-10406"/>
    <d v="2024-09-23T00:00:00"/>
    <x v="9"/>
    <x v="0"/>
    <d v="2024-09-24T00:00:00"/>
    <s v="CUST-9961"/>
    <s v="Aditi Sen"/>
    <x v="3"/>
    <x v="3"/>
    <s v="Gujarat"/>
    <s v="Ahmedabad"/>
    <x v="1"/>
    <x v="10"/>
    <s v="Max Bookcases 812"/>
    <x v="4"/>
    <n v="7"/>
    <n v="3878.01"/>
    <n v="0.1"/>
    <n v="24431.46"/>
    <n v="24431.463"/>
    <n v="18202.36"/>
    <n v="0.25496234097810677"/>
    <n v="6229.1"/>
    <n v="6229.1029999999992"/>
    <x v="0"/>
    <x v="0"/>
    <n v="1"/>
    <s v="Warning"/>
    <m/>
  </r>
  <r>
    <s v="ORD-2025-10407"/>
    <d v="2025-02-25T00:00:00"/>
    <x v="6"/>
    <x v="1"/>
    <d v="2025-02-25T00:00:00"/>
    <s v="CUST-9909"/>
    <s v="Kabir Singh"/>
    <x v="1"/>
    <x v="3"/>
    <s v="Goa"/>
    <s v="Panaji"/>
    <x v="1"/>
    <x v="3"/>
    <s v="Basic Furnishings 164"/>
    <x v="3"/>
    <n v="2"/>
    <n v="3924.2"/>
    <n v="0.25"/>
    <n v="5886.3"/>
    <n v="5886.2999999999993"/>
    <n v="3621.76"/>
    <n v="0.38471365713606159"/>
    <n v="2264.54"/>
    <n v="2264.5399999999991"/>
    <x v="2"/>
    <x v="2"/>
    <n v="0"/>
    <s v="Clean"/>
    <m/>
  </r>
  <r>
    <s v="ORD-2024-10408"/>
    <d v="2024-12-05T00:00:00"/>
    <x v="7"/>
    <x v="0"/>
    <d v="2024-05-13T00:00:00"/>
    <s v="CUST-8520"/>
    <s v="Rahul Verma"/>
    <x v="2"/>
    <x v="3"/>
    <s v="Goa"/>
    <s v="Panaji"/>
    <x v="0"/>
    <x v="7"/>
    <s v="Smart Labels 261"/>
    <x v="0"/>
    <n v="3"/>
    <n v="2644.55"/>
    <n v="0"/>
    <n v="7933.65"/>
    <n v="7933.6500000000005"/>
    <n v="5698.42"/>
    <n v="0.2817404347305465"/>
    <n v="2235.23"/>
    <n v="2235.2300000000005"/>
    <x v="0"/>
    <x v="0"/>
    <n v="-206"/>
    <s v="Invalid"/>
    <m/>
  </r>
  <r>
    <s v="ORD-2025-10409"/>
    <d v="2025-08-01T00:00:00"/>
    <x v="1"/>
    <x v="1"/>
    <d v="2025-08-03T00:00:00"/>
    <s v="CUST-5036"/>
    <s v="Sneha Kapoor"/>
    <x v="0"/>
    <x v="3"/>
    <s v="Maharashtra"/>
    <s v="Mumbai"/>
    <x v="1"/>
    <x v="4"/>
    <s v="Max Chairs 765"/>
    <x v="2"/>
    <n v="4"/>
    <n v="1773.46"/>
    <n v="0"/>
    <n v="7093.84"/>
    <n v="7093.84"/>
    <n v="4587.49"/>
    <n v="0.35331357910525191"/>
    <n v="2506.35"/>
    <n v="2506.3500000000004"/>
    <x v="3"/>
    <x v="2"/>
    <n v="2"/>
    <s v="Clean"/>
    <m/>
  </r>
  <r>
    <s v="ORD-2025-10410"/>
    <d v="2025-02-13T00:00:00"/>
    <x v="6"/>
    <x v="1"/>
    <d v="2025-02-15T00:00:00"/>
    <s v="CUST-7721"/>
    <s v="Karan Malhotra"/>
    <x v="0"/>
    <x v="1"/>
    <s v="Assam"/>
    <s v="Guwahati"/>
    <x v="2"/>
    <x v="5"/>
    <s v="Pro Accessories 686"/>
    <x v="1"/>
    <n v="1"/>
    <n v="3025.46"/>
    <n v="0.25"/>
    <n v="2269.1"/>
    <n v="2269.0950000000003"/>
    <n v="1593.59"/>
    <n v="0.29769798091309541"/>
    <n v="675.51"/>
    <n v="675.50500000000034"/>
    <x v="1"/>
    <x v="2"/>
    <n v="2"/>
    <s v="Clean"/>
    <m/>
  </r>
  <r>
    <s v="ORD-2024-10411"/>
    <d v="2024-12-04T00:00:00"/>
    <x v="7"/>
    <x v="0"/>
    <d v="2024-04-20T00:00:00"/>
    <s v="CUST-9495"/>
    <s v="Diya Patel"/>
    <x v="0"/>
    <x v="3"/>
    <s v="Goa"/>
    <s v="Panaji"/>
    <x v="1"/>
    <x v="1"/>
    <s v="Smart Tables 100"/>
    <x v="2"/>
    <n v="9"/>
    <n v="1302.6099999999999"/>
    <n v="0.2"/>
    <n v="9378.7900000000009"/>
    <n v="9378.7919999999995"/>
    <n v="6774.48"/>
    <n v="0.27768096360384154"/>
    <n v="2604.31"/>
    <n v="2604.3119999999999"/>
    <x v="0"/>
    <x v="0"/>
    <n v="-228"/>
    <s v="Invalid"/>
    <m/>
  </r>
  <r>
    <s v="ORD-2025-10412"/>
    <d v="2025-08-23T00:00:00"/>
    <x v="1"/>
    <x v="1"/>
    <d v="2025-08-28T00:00:00"/>
    <s v="CUST-2855"/>
    <s v="Arjun Bose"/>
    <x v="3"/>
    <x v="3"/>
    <s v="Rajasthan"/>
    <s v="Udaipur"/>
    <x v="1"/>
    <x v="1"/>
    <s v="Basic Tables 615"/>
    <x v="2"/>
    <n v="1"/>
    <n v="4167.8100000000004"/>
    <n v="0.2"/>
    <n v="3334.25"/>
    <n v="3334.2480000000005"/>
    <n v="2768.77"/>
    <n v="0.16959686262089696"/>
    <n v="565.48"/>
    <n v="565.47800000000052"/>
    <x v="3"/>
    <x v="2"/>
    <n v="5"/>
    <s v="Clean"/>
    <m/>
  </r>
  <r>
    <s v="ORD-2024-10413"/>
    <d v="2024-01-22T00:00:00"/>
    <x v="8"/>
    <x v="0"/>
    <d v="2024-01-30T00:00:00"/>
    <s v="CUST-4329"/>
    <s v="Isha Nair"/>
    <x v="2"/>
    <x v="2"/>
    <s v="Karnataka"/>
    <s v="Bengaluru"/>
    <x v="1"/>
    <x v="4"/>
    <s v="Basic Chairs 790"/>
    <x v="1"/>
    <n v="1"/>
    <n v="2111.39"/>
    <n v="0.25"/>
    <n v="1583.54"/>
    <n v="1583.5425"/>
    <n v="1014.19"/>
    <n v="0.35954355503562424"/>
    <n v="569.35"/>
    <n v="569.35249999999996"/>
    <x v="0"/>
    <x v="0"/>
    <n v="8"/>
    <s v="Clean"/>
    <m/>
  </r>
  <r>
    <s v="ORD-2025-10414"/>
    <d v="2025-08-13T00:00:00"/>
    <x v="1"/>
    <x v="1"/>
    <d v="2025-08-17T00:00:00"/>
    <s v="CUST-5094"/>
    <s v="Neha Gupta"/>
    <x v="3"/>
    <x v="3"/>
    <s v="Madhya Pradesh"/>
    <s v="Indore"/>
    <x v="2"/>
    <x v="5"/>
    <s v="Smart Accessories 226"/>
    <x v="0"/>
    <n v="8"/>
    <n v="1918.23"/>
    <n v="0"/>
    <n v="15345.84"/>
    <n v="15345.84"/>
    <n v="10735.33"/>
    <n v="0.30044037993358463"/>
    <n v="4610.51"/>
    <n v="4610.51"/>
    <x v="2"/>
    <x v="1"/>
    <n v="4"/>
    <s v="Clean"/>
    <m/>
  </r>
  <r>
    <s v="ORD-2024-10415"/>
    <d v="2024-08-29T00:00:00"/>
    <x v="1"/>
    <x v="0"/>
    <d v="2024-08-30T00:00:00"/>
    <s v="CUST-4194"/>
    <s v="Arjun Bose"/>
    <x v="3"/>
    <x v="1"/>
    <s v="Assam"/>
    <s v="Guwahati"/>
    <x v="0"/>
    <x v="8"/>
    <s v="Max Storage 692"/>
    <x v="2"/>
    <n v="4"/>
    <n v="2484.08"/>
    <n v="0.05"/>
    <n v="9439.5"/>
    <n v="9439.503999999999"/>
    <n v="5519.39"/>
    <n v="0.41528813378330037"/>
    <n v="3920.11"/>
    <n v="3920.1139999999987"/>
    <x v="0"/>
    <x v="0"/>
    <n v="1"/>
    <s v="Clean"/>
    <m/>
  </r>
  <r>
    <s v="ORD-2024-10416"/>
    <d v="2024-01-25T00:00:00"/>
    <x v="8"/>
    <x v="0"/>
    <d v="2024-01-27T00:00:00"/>
    <s v="CUST-7087"/>
    <s v="Aarav Sharma"/>
    <x v="2"/>
    <x v="2"/>
    <s v="Karnataka"/>
    <s v="Bengaluru"/>
    <x v="0"/>
    <x v="8"/>
    <s v="Basic Storage 684"/>
    <x v="1"/>
    <n v="7"/>
    <n v="1727.26"/>
    <n v="0.15"/>
    <n v="10277.200000000001"/>
    <n v="10277.197"/>
    <n v="7906.5"/>
    <n v="0.23067544584384245"/>
    <n v="2370.6999999999998"/>
    <n v="2370.6970000000001"/>
    <x v="0"/>
    <x v="2"/>
    <n v="2"/>
    <s v="Clean"/>
    <m/>
  </r>
  <r>
    <s v="ORD-2025-10417"/>
    <d v="2025-08-01T00:00:00"/>
    <x v="1"/>
    <x v="1"/>
    <d v="2025-01-16T00:00:00"/>
    <s v="CUST-7608"/>
    <s v="Neha Gupta"/>
    <x v="0"/>
    <x v="2"/>
    <s v="Telangana"/>
    <s v="Hyderabad"/>
    <x v="1"/>
    <x v="3"/>
    <s v="Smart Furnishings 152"/>
    <x v="2"/>
    <n v="8"/>
    <n v="638.95000000000005"/>
    <n v="0.25"/>
    <n v="3833.7"/>
    <n v="3833.7000000000003"/>
    <n v="2886.35"/>
    <n v="0.24711114589039318"/>
    <n v="947.35"/>
    <n v="947.35000000000036"/>
    <x v="0"/>
    <x v="0"/>
    <n v="-197"/>
    <s v="Invalid"/>
    <m/>
  </r>
  <r>
    <s v="ORD-2025-10418"/>
    <d v="2025-01-29T00:00:00"/>
    <x v="8"/>
    <x v="1"/>
    <d v="2025-02-05T00:00:00"/>
    <s v="CUST-5269"/>
    <s v="Mira Das"/>
    <x v="0"/>
    <x v="3"/>
    <s v="Gujarat"/>
    <s v="Ahmedabad"/>
    <x v="0"/>
    <x v="2"/>
    <s v="Max Art 736"/>
    <x v="2"/>
    <n v="6"/>
    <n v="3863"/>
    <n v="0.2"/>
    <n v="18542.400000000001"/>
    <n v="18542.400000000001"/>
    <n v="11193.75"/>
    <n v="0.39631601087237905"/>
    <n v="7348.65"/>
    <n v="7348.6500000000015"/>
    <x v="0"/>
    <x v="0"/>
    <n v="7"/>
    <s v="Clean"/>
    <m/>
  </r>
  <r>
    <s v="ORD-2024-10419"/>
    <d v="2024-11-09T00:00:00"/>
    <x v="3"/>
    <x v="0"/>
    <d v="2024-11-17T00:00:00"/>
    <s v="CUST-7925"/>
    <s v="Sneha Kapoor"/>
    <x v="2"/>
    <x v="1"/>
    <s v="Odisha"/>
    <s v="Bhubaneswar"/>
    <x v="2"/>
    <x v="6"/>
    <s v="Elite Copiers 971"/>
    <x v="3"/>
    <n v="6"/>
    <n v="3660.4"/>
    <n v="0"/>
    <n v="21962.400000000001"/>
    <n v="21962.400000000001"/>
    <n v="15331.99"/>
    <n v="0.3018982442720286"/>
    <n v="6630.41"/>
    <n v="6630.4100000000017"/>
    <x v="3"/>
    <x v="1"/>
    <n v="8"/>
    <s v="Clean"/>
    <m/>
  </r>
  <r>
    <s v="ORD-2025-10420"/>
    <d v="2025-09-26T00:00:00"/>
    <x v="9"/>
    <x v="1"/>
    <d v="2025-09-30T00:00:00"/>
    <s v="CUST-6552"/>
    <s v="Sneha Kapoor"/>
    <x v="3"/>
    <x v="0"/>
    <s v="Haryana"/>
    <s v="Gurugram"/>
    <x v="2"/>
    <x v="11"/>
    <s v="Classic Phones 940"/>
    <x v="1"/>
    <n v="2"/>
    <n v="688.83"/>
    <n v="0.05"/>
    <n v="1308.78"/>
    <n v="1308.777"/>
    <n v="843"/>
    <n v="0.35588721378813964"/>
    <n v="465.78"/>
    <n v="465.77700000000004"/>
    <x v="0"/>
    <x v="0"/>
    <n v="4"/>
    <s v="Clean"/>
    <m/>
  </r>
  <r>
    <s v="ORD-2025-10421"/>
    <d v="2025-03-18T00:00:00"/>
    <x v="11"/>
    <x v="1"/>
    <d v="2025-03-19T00:00:00"/>
    <s v="CUST-7131"/>
    <s v="Isha Nair"/>
    <x v="2"/>
    <x v="2"/>
    <s v="Tamil Nadu"/>
    <s v="Chennai"/>
    <x v="2"/>
    <x v="12"/>
    <s v="Pro Machines 579"/>
    <x v="3"/>
    <n v="2"/>
    <n v="1209.99"/>
    <n v="0.25"/>
    <n v="1814.99"/>
    <n v="1814.9850000000001"/>
    <n v="1120.06"/>
    <n v="0.38288195219244242"/>
    <n v="694.93"/>
    <n v="694.92500000000018"/>
    <x v="2"/>
    <x v="1"/>
    <n v="1"/>
    <s v="Clean"/>
    <m/>
  </r>
  <r>
    <s v="ORD-2025-10422"/>
    <d v="2025-06-14T00:00:00"/>
    <x v="2"/>
    <x v="1"/>
    <d v="2025-06-19T00:00:00"/>
    <s v="CUST-2779"/>
    <s v="Rohan Mehta"/>
    <x v="1"/>
    <x v="0"/>
    <s v="Delhi"/>
    <s v="New Delhi"/>
    <x v="0"/>
    <x v="9"/>
    <s v="Elite Binders 943"/>
    <x v="1"/>
    <n v="3"/>
    <n v="1037.45"/>
    <n v="0.2"/>
    <n v="2489.88"/>
    <n v="2489.8800000000006"/>
    <n v="1707.52"/>
    <n v="0.31421594615001541"/>
    <n v="782.36"/>
    <n v="782.36000000000058"/>
    <x v="2"/>
    <x v="2"/>
    <n v="5"/>
    <s v="Clean"/>
    <m/>
  </r>
  <r>
    <s v="ORD-2025-10423"/>
    <d v="2025-09-03T00:00:00"/>
    <x v="9"/>
    <x v="1"/>
    <d v="2025-06-09T00:00:00"/>
    <s v="CUST-6077"/>
    <s v="Kabir Singh"/>
    <x v="0"/>
    <x v="3"/>
    <s v="Madhya Pradesh"/>
    <s v="Indore"/>
    <x v="2"/>
    <x v="6"/>
    <s v="Elite Copiers 474"/>
    <x v="1"/>
    <n v="7"/>
    <n v="688.85"/>
    <n v="0.15"/>
    <n v="4098.66"/>
    <n v="4098.6574999999993"/>
    <n v="2678.06"/>
    <n v="0.34660068571233377"/>
    <n v="1420.6"/>
    <n v="1420.5974999999994"/>
    <x v="0"/>
    <x v="0"/>
    <n v="-86"/>
    <s v="Invalid"/>
    <m/>
  </r>
  <r>
    <s v="ORD-2025-10091"/>
    <d v="2025-08-24T00:00:00"/>
    <x v="1"/>
    <x v="1"/>
    <d v="2025-08-29T00:00:00"/>
    <s v="CUST-5909"/>
    <s v="Aarav Sharma"/>
    <x v="1"/>
    <x v="1"/>
    <s v="Bihar"/>
    <s v="Patna"/>
    <x v="2"/>
    <x v="6"/>
    <s v="Smart Copiers 556"/>
    <x v="2"/>
    <n v="3"/>
    <n v="3703.96"/>
    <n v="0.15"/>
    <n v="9445.1"/>
    <n v="9445.098"/>
    <n v="5586.28"/>
    <n v="0.40855245758170006"/>
    <n v="3858.82"/>
    <n v="3858.8180000000002"/>
    <x v="0"/>
    <x v="0"/>
    <n v="5"/>
    <s v="Clean"/>
    <s v="conflicting duplicate"/>
  </r>
  <r>
    <s v="ORD-2024-10425"/>
    <d v="2024-06-26T00:00:00"/>
    <x v="2"/>
    <x v="0"/>
    <d v="2024-06-29T00:00:00"/>
    <s v="CUST-8904"/>
    <s v="Neha Gupta"/>
    <x v="2"/>
    <x v="0"/>
    <s v="Punjab"/>
    <s v="Ludhiana"/>
    <x v="2"/>
    <x v="11"/>
    <s v="Prime Phones 881"/>
    <x v="3"/>
    <n v="8"/>
    <n v="804.52"/>
    <n v="0"/>
    <n v="6436.16"/>
    <n v="6436.16"/>
    <n v="4263.83"/>
    <n v="0.33751957689056827"/>
    <n v="2172.33"/>
    <n v="2172.33"/>
    <x v="0"/>
    <x v="0"/>
    <n v="3"/>
    <s v="Clean"/>
    <m/>
  </r>
  <r>
    <s v="ORD-2024-10426"/>
    <d v="2024-09-26T00:00:00"/>
    <x v="9"/>
    <x v="0"/>
    <d v="2024-09-27T00:00:00"/>
    <s v="CUST-9586"/>
    <s v="Isha Nair"/>
    <x v="3"/>
    <x v="0"/>
    <s v="Delhi"/>
    <s v="New Delhi"/>
    <x v="0"/>
    <x v="7"/>
    <s v="Pro Labels 903"/>
    <x v="2"/>
    <n v="2"/>
    <n v="1065.69"/>
    <n v="0.1"/>
    <n v="1918.24"/>
    <n v="1918.2420000000002"/>
    <n v="1373.52"/>
    <n v="0.2839693844676533"/>
    <n v="544.72"/>
    <n v="544.72200000000021"/>
    <x v="1"/>
    <x v="1"/>
    <n v="1"/>
    <s v="Clean"/>
    <m/>
  </r>
  <r>
    <s v="ORD-2024-10427"/>
    <d v="2024-06-30T00:00:00"/>
    <x v="2"/>
    <x v="0"/>
    <d v="2024-01-07T00:00:00"/>
    <s v="CUST-5431"/>
    <s v="Aditi Sen"/>
    <x v="0"/>
    <x v="0"/>
    <s v="Haryana"/>
    <s v="Gurugram"/>
    <x v="2"/>
    <x v="6"/>
    <s v="Max Copiers 402"/>
    <x v="1"/>
    <n v="8"/>
    <n v="3756.66"/>
    <n v="0.1"/>
    <n v="27047.95"/>
    <n v="27047.952000000001"/>
    <n v="18431.330000000002"/>
    <n v="0.31856837072174626"/>
    <n v="8616.6200000000008"/>
    <n v="8616.6219999999994"/>
    <x v="0"/>
    <x v="0"/>
    <n v="-175"/>
    <s v="Invalid"/>
    <m/>
  </r>
  <r>
    <s v="ORD-2025-10428"/>
    <d v="2025-04-22T00:00:00"/>
    <x v="5"/>
    <x v="1"/>
    <d v="2025-04-24T00:00:00"/>
    <s v="CUST-8843"/>
    <s v="Isha Nair"/>
    <x v="2"/>
    <x v="4"/>
    <s v="Jharkhand"/>
    <s v="Ranchi"/>
    <x v="2"/>
    <x v="5"/>
    <s v="Prime Accessories 419"/>
    <x v="3"/>
    <n v="9"/>
    <n v="2939.44"/>
    <n v="0"/>
    <n v="26454.959999999999"/>
    <n v="26454.959999999999"/>
    <n v="17630.25"/>
    <n v="0.33357487594008833"/>
    <n v="8824.7099999999991"/>
    <n v="8824.7099999999991"/>
    <x v="0"/>
    <x v="0"/>
    <n v="2"/>
    <s v="Warning"/>
    <m/>
  </r>
  <r>
    <s v="ORD-2025-10429"/>
    <d v="2025-03-15T00:00:00"/>
    <x v="11"/>
    <x v="1"/>
    <d v="2025-03-22T00:00:00"/>
    <s v="CUST-7626"/>
    <s v="Karan Malhotra"/>
    <x v="1"/>
    <x v="1"/>
    <s v="West Bengal"/>
    <s v="Kolkata"/>
    <x v="2"/>
    <x v="11"/>
    <s v="Elite Phones 488"/>
    <x v="1"/>
    <n v="2"/>
    <n v="1235.93"/>
    <n v="0.25"/>
    <n v="1853.89"/>
    <n v="1853.895"/>
    <n v="1101.23"/>
    <n v="0.40599116994220275"/>
    <n v="752.66"/>
    <n v="752.66499999999996"/>
    <x v="2"/>
    <x v="1"/>
    <n v="7"/>
    <s v="Clean"/>
    <m/>
  </r>
  <r>
    <s v="ORD-2025-10430"/>
    <d v="2025-01-03T00:00:00"/>
    <x v="8"/>
    <x v="1"/>
    <d v="2025-08-03T00:00:00"/>
    <s v="CUST-8562"/>
    <s v="Neha Gupta"/>
    <x v="3"/>
    <x v="0"/>
    <s v="Rajasthan"/>
    <s v="Jaipur"/>
    <x v="2"/>
    <x v="6"/>
    <s v="Prime Copiers 109"/>
    <x v="1"/>
    <n v="8"/>
    <n v="2943.1"/>
    <n v="0.25"/>
    <n v="17658.599999999999"/>
    <n v="17658.599999999999"/>
    <n v="13842.48"/>
    <n v="0.2161054670245659"/>
    <n v="3816.12"/>
    <n v="3816.119999999999"/>
    <x v="0"/>
    <x v="0"/>
    <n v="212"/>
    <s v="Clean"/>
    <m/>
  </r>
  <r>
    <s v="ORD-2024-10431"/>
    <d v="2024-08-30T00:00:00"/>
    <x v="1"/>
    <x v="0"/>
    <d v="2024-02-09T00:00:00"/>
    <s v="CUST-2732"/>
    <s v="Neha Gupta"/>
    <x v="1"/>
    <x v="0"/>
    <s v="Haryana"/>
    <s v="Gurugram"/>
    <x v="0"/>
    <x v="0"/>
    <s v="Max Paper 576"/>
    <x v="0"/>
    <n v="1"/>
    <n v="4320.84"/>
    <n v="0.15"/>
    <n v="3672.71"/>
    <n v="3672.7139999999999"/>
    <n v="2714.23"/>
    <n v="0.26097430946161337"/>
    <n v="763.38"/>
    <n v="958.48399999999992"/>
    <x v="0"/>
    <x v="0"/>
    <n v="-203"/>
    <s v="Invalid"/>
    <m/>
  </r>
  <r>
    <s v="ORD-2024-10432"/>
    <d v="2024-10-02T00:00:00"/>
    <x v="10"/>
    <x v="0"/>
    <d v="2024-02-13T00:00:00"/>
    <s v="CUST-3989"/>
    <s v="Karan Malhotra"/>
    <x v="3"/>
    <x v="3"/>
    <s v="Goa"/>
    <s v="Panaji"/>
    <x v="2"/>
    <x v="12"/>
    <s v="Max Machines 412"/>
    <x v="1"/>
    <n v="2"/>
    <n v="4118.45"/>
    <n v="0.25"/>
    <n v="6177.67"/>
    <n v="6177.6749999999993"/>
    <n v="4520.75"/>
    <n v="0.26821174632851347"/>
    <n v="1656.92"/>
    <n v="1656.9249999999993"/>
    <x v="0"/>
    <x v="0"/>
    <n v="-232"/>
    <s v="Invalid"/>
    <m/>
  </r>
  <r>
    <s v="ORD-2024-10433"/>
    <d v="2024-08-29T00:00:00"/>
    <x v="1"/>
    <x v="0"/>
    <d v="2024-02-09T00:00:00"/>
    <s v="CUST-3522"/>
    <s v="Priya Menon"/>
    <x v="1"/>
    <x v="3"/>
    <s v="Maharashtra"/>
    <s v="Mumbai"/>
    <x v="1"/>
    <x v="10"/>
    <s v="Classic Bookcases 291"/>
    <x v="3"/>
    <n v="6"/>
    <n v="172.82"/>
    <n v="0.05"/>
    <n v="985.07"/>
    <n v="985.07400000000007"/>
    <n v="844.48"/>
    <n v="0.14272430294576857"/>
    <n v="140.59"/>
    <n v="140.59400000000005"/>
    <x v="0"/>
    <x v="0"/>
    <n v="-202"/>
    <s v="Invalid"/>
    <m/>
  </r>
  <r>
    <s v="ORD-2024-10434"/>
    <d v="2024-04-19T00:00:00"/>
    <x v="5"/>
    <x v="0"/>
    <d v="2024-04-20T00:00:00"/>
    <s v="CUST-7066"/>
    <s v="Priya Menon"/>
    <x v="2"/>
    <x v="2"/>
    <s v="Kerala"/>
    <s v="Kochi"/>
    <x v="0"/>
    <x v="2"/>
    <s v="Elite Art 946"/>
    <x v="0"/>
    <n v="4"/>
    <n v="1540.22"/>
    <n v="0"/>
    <n v="6160.88"/>
    <n v="6160.88"/>
    <n v="4938.7"/>
    <n v="0.19837750451234243"/>
    <n v="1222.18"/>
    <n v="1222.1800000000003"/>
    <x v="1"/>
    <x v="2"/>
    <n v="1"/>
    <s v="Clean"/>
    <m/>
  </r>
  <r>
    <s v="ORD-2025-10435"/>
    <d v="2025-04-11T00:00:00"/>
    <x v="5"/>
    <x v="1"/>
    <d v="2025-04-15T00:00:00"/>
    <s v="CUST-2351"/>
    <s v="Mira Das"/>
    <x v="3"/>
    <x v="0"/>
    <s v="Uttar Pradesh"/>
    <s v="Noida"/>
    <x v="2"/>
    <x v="5"/>
    <s v="Eco Accessories 705"/>
    <x v="0"/>
    <n v="5"/>
    <n v="652.78"/>
    <n v="0"/>
    <n v="3263.9"/>
    <n v="3263.8999999999996"/>
    <n v="2068.44"/>
    <n v="0.3662673488771101"/>
    <n v="1195.46"/>
    <n v="1195.4599999999996"/>
    <x v="0"/>
    <x v="0"/>
    <n v="4"/>
    <s v="Clean"/>
    <m/>
  </r>
  <r>
    <s v="ORD-2025-10436"/>
    <d v="2025-12-04T00:00:00"/>
    <x v="7"/>
    <x v="1"/>
    <d v="2025-04-20T00:00:00"/>
    <s v="CUST-7291"/>
    <s v="Kabir Singh"/>
    <x v="3"/>
    <x v="0"/>
    <s v="Delhi"/>
    <s v="New Delhi"/>
    <x v="2"/>
    <x v="12"/>
    <s v="Max Machines 151"/>
    <x v="3"/>
    <n v="1"/>
    <n v="2737.71"/>
    <n v="0.15"/>
    <n v="2327.0500000000002"/>
    <n v="2327.0535"/>
    <n v="1919.42"/>
    <n v="0.17517152055163318"/>
    <n v="407.63"/>
    <n v="407.63349999999991"/>
    <x v="0"/>
    <x v="1"/>
    <n v="-228"/>
    <s v="Invalid"/>
    <m/>
  </r>
  <r>
    <s v="ORD-2024-10437"/>
    <d v="2024-06-16T00:00:00"/>
    <x v="2"/>
    <x v="0"/>
    <d v="2024-06-21T00:00:00"/>
    <s v="CUST-4492"/>
    <s v="Neha Gupta"/>
    <x v="0"/>
    <x v="2"/>
    <s v="Kerala"/>
    <s v="Kochi"/>
    <x v="1"/>
    <x v="3"/>
    <s v="Max Furnishings 803"/>
    <x v="1"/>
    <n v="6"/>
    <n v="1156.78"/>
    <n v="0.05"/>
    <n v="6593.65"/>
    <n v="6593.6459999999997"/>
    <n v="4359.3900000000003"/>
    <n v="0.33884985636171544"/>
    <n v="2234.2600000000002"/>
    <n v="2234.2559999999994"/>
    <x v="0"/>
    <x v="2"/>
    <n v="5"/>
    <s v="Clean"/>
    <m/>
  </r>
  <r>
    <s v="ORD-2024-10438"/>
    <d v="2024-02-15T00:00:00"/>
    <x v="6"/>
    <x v="0"/>
    <d v="2024-02-18T00:00:00"/>
    <s v="CUST-5029"/>
    <s v="Aditi Sen"/>
    <x v="1"/>
    <x v="2"/>
    <s v="Kerala"/>
    <s v="Kochi"/>
    <x v="2"/>
    <x v="5"/>
    <s v="Max Accessories 423"/>
    <x v="1"/>
    <n v="8"/>
    <n v="379.82"/>
    <n v="0.05"/>
    <n v="2886.63"/>
    <n v="2886.6319999999996"/>
    <n v="1588.23"/>
    <n v="0.44979824238073984"/>
    <n v="1298.4000000000001"/>
    <n v="1298.4019999999996"/>
    <x v="3"/>
    <x v="2"/>
    <n v="3"/>
    <s v="Clean"/>
    <m/>
  </r>
  <r>
    <s v="ORD-2025-10439"/>
    <d v="2025-07-05T00:00:00"/>
    <x v="0"/>
    <x v="1"/>
    <d v="2025-05-05T00:00:00"/>
    <s v="CUST-7252"/>
    <s v="Neha Gupta"/>
    <x v="2"/>
    <x v="1"/>
    <s v="Jharkhand"/>
    <s v="Ranchi"/>
    <x v="2"/>
    <x v="11"/>
    <s v="Elite Phones 276"/>
    <x v="3"/>
    <n v="1"/>
    <n v="2266.4699999999998"/>
    <n v="0.2"/>
    <n v="1813.18"/>
    <n v="1813.1759999999999"/>
    <n v="1363.64"/>
    <n v="0.24792739370033567"/>
    <n v="449.54"/>
    <n v="449.53599999999983"/>
    <x v="0"/>
    <x v="0"/>
    <n v="-61"/>
    <s v="Invalid"/>
    <m/>
  </r>
  <r>
    <s v="ORD-2025-10440"/>
    <d v="2025-06-30T00:00:00"/>
    <x v="2"/>
    <x v="1"/>
    <d v="2025-03-07T00:00:00"/>
    <s v="CUST-7346"/>
    <s v="Aarav Sharma"/>
    <x v="3"/>
    <x v="3"/>
    <s v="Goa"/>
    <s v="Panaji"/>
    <x v="0"/>
    <x v="8"/>
    <s v="Smart Storage 287"/>
    <x v="1"/>
    <n v="5"/>
    <n v="665.25"/>
    <n v="0"/>
    <n v="3326.25"/>
    <n v="3326.25"/>
    <n v="2689.36"/>
    <n v="0.19147388199924836"/>
    <n v="636.89"/>
    <n v="636.88999999999987"/>
    <x v="1"/>
    <x v="2"/>
    <n v="-115"/>
    <s v="Invalid"/>
    <m/>
  </r>
  <r>
    <s v="ORD-2024-10441"/>
    <d v="2024-04-02T00:00:00"/>
    <x v="5"/>
    <x v="0"/>
    <d v="2024-04-08T00:00:00"/>
    <s v="CUST-9039"/>
    <s v="Vikram Iyer"/>
    <x v="2"/>
    <x v="1"/>
    <s v="Odisha"/>
    <s v="Bhubaneswar"/>
    <x v="2"/>
    <x v="12"/>
    <s v="Basic Machines 610"/>
    <x v="0"/>
    <n v="6"/>
    <n v="3722.84"/>
    <n v="0.2"/>
    <n v="17869.63"/>
    <n v="17869.632000000001"/>
    <n v="12163.8"/>
    <n v="0.31930327384469931"/>
    <n v="5705.83"/>
    <n v="5705.8320000000022"/>
    <x v="0"/>
    <x v="0"/>
    <n v="6"/>
    <s v="Clean"/>
    <m/>
  </r>
  <r>
    <s v="ORD-2024-10442"/>
    <d v="2024-03-10T00:00:00"/>
    <x v="11"/>
    <x v="0"/>
    <d v="2024-03-10T00:00:00"/>
    <s v="CUST-3975"/>
    <s v="Karan Malhotra"/>
    <x v="0"/>
    <x v="1"/>
    <s v="Bihar"/>
    <s v="Patna"/>
    <x v="1"/>
    <x v="10"/>
    <s v="Elite Bookcases 393"/>
    <x v="3"/>
    <n v="6"/>
    <n v="4217.49"/>
    <n v="0"/>
    <n v="25304.94"/>
    <n v="25304.94"/>
    <n v="20771.95"/>
    <n v="0.17913458795002077"/>
    <n v="4532.99"/>
    <n v="4532.989999999998"/>
    <x v="0"/>
    <x v="1"/>
    <n v="0"/>
    <s v="Clean"/>
    <m/>
  </r>
  <r>
    <s v="ORD-2025-10443"/>
    <d v="2025-12-01T00:00:00"/>
    <x v="7"/>
    <x v="1"/>
    <d v="2025-01-19T00:00:00"/>
    <s v="CUST-6588"/>
    <s v="Aarav Sharma"/>
    <x v="0"/>
    <x v="1"/>
    <s v="Jharkhand"/>
    <s v="Ranchi"/>
    <x v="1"/>
    <x v="1"/>
    <s v="Prime Tables 242"/>
    <x v="2"/>
    <n v="1"/>
    <n v="1842.31"/>
    <n v="0"/>
    <n v="1842.31"/>
    <n v="1842.31"/>
    <n v="1019.17"/>
    <n v="0.44679777019068451"/>
    <n v="823.14"/>
    <n v="823.14"/>
    <x v="0"/>
    <x v="0"/>
    <n v="-316"/>
    <s v="Invalid"/>
    <m/>
  </r>
  <r>
    <s v="ORD-2024-10444"/>
    <d v="2024-04-04T00:00:00"/>
    <x v="5"/>
    <x v="0"/>
    <d v="2024-07-04T00:00:00"/>
    <s v="CUST-2207"/>
    <s v="Rohan Mehta"/>
    <x v="3"/>
    <x v="1"/>
    <s v="Odisha"/>
    <s v="Bhubaneswar"/>
    <x v="1"/>
    <x v="3"/>
    <s v="Basic Furnishings 563"/>
    <x v="2"/>
    <n v="1"/>
    <n v="3683.75"/>
    <n v="0.1"/>
    <n v="3315.38"/>
    <n v="3315.375"/>
    <n v="2347.6799999999998"/>
    <n v="0.29188100893564084"/>
    <n v="967.7"/>
    <n v="967.69500000000016"/>
    <x v="0"/>
    <x v="0"/>
    <n v="91"/>
    <s v="Clean"/>
    <m/>
  </r>
  <r>
    <s v="ORD-2025-10445"/>
    <d v="2025-12-08T00:00:00"/>
    <x v="7"/>
    <x v="1"/>
    <d v="2025-08-16T00:00:00"/>
    <s v="CUST-4475"/>
    <s v="Ananya Rao"/>
    <x v="0"/>
    <x v="1"/>
    <s v="Assam"/>
    <s v="Guwahati"/>
    <x v="2"/>
    <x v="5"/>
    <s v="Prime Accessories 482"/>
    <x v="1"/>
    <n v="9"/>
    <n v="2379.2399999999998"/>
    <n v="0.05"/>
    <n v="20342.5"/>
    <n v="20342.501999999997"/>
    <n v="12407.51"/>
    <n v="0.39006961877157481"/>
    <n v="7934.99"/>
    <n v="7934.9919999999966"/>
    <x v="0"/>
    <x v="0"/>
    <n v="-114"/>
    <s v="Invalid"/>
    <m/>
  </r>
  <r>
    <s v="ORD-2024-10446"/>
    <d v="2024-05-09T00:00:00"/>
    <x v="4"/>
    <x v="0"/>
    <d v="2024-05-05T00:00:00"/>
    <s v="CUST-1351"/>
    <s v="Arjun Bose"/>
    <x v="0"/>
    <x v="1"/>
    <s v="Assam"/>
    <s v="Guwahati"/>
    <x v="1"/>
    <x v="10"/>
    <s v="Eco Bookcases 215"/>
    <x v="1"/>
    <n v="2"/>
    <n v="2111.23"/>
    <n v="0.2"/>
    <n v="3377.97"/>
    <n v="3377.9680000000003"/>
    <n v="2496.29"/>
    <n v="0.26100839321154029"/>
    <n v="881.68"/>
    <n v="881.67800000000034"/>
    <x v="0"/>
    <x v="0"/>
    <n v="-4"/>
    <s v="Invalid"/>
    <m/>
  </r>
  <r>
    <s v="ORD-2025-10447"/>
    <d v="2025-09-18T00:00:00"/>
    <x v="9"/>
    <x v="1"/>
    <d v="2025-09-19T00:00:00"/>
    <s v="CUST-9295"/>
    <s v="Sneha Kapoor"/>
    <x v="3"/>
    <x v="2"/>
    <s v="Andhra Pradesh"/>
    <s v="Vijayawada"/>
    <x v="0"/>
    <x v="8"/>
    <s v="Eco Storage 793"/>
    <x v="1"/>
    <n v="8"/>
    <n v="4242.51"/>
    <n v="0"/>
    <n v="33940.080000000002"/>
    <n v="33940.080000000002"/>
    <n v="23754.19"/>
    <n v="0.30011390662603044"/>
    <n v="10185.89"/>
    <n v="10185.890000000003"/>
    <x v="0"/>
    <x v="0"/>
    <n v="1"/>
    <s v="Clean"/>
    <m/>
  </r>
  <r>
    <s v="ORD-2025-10448"/>
    <d v="2025-10-08T00:00:00"/>
    <x v="10"/>
    <x v="1"/>
    <d v="2025-10-08T00:00:00"/>
    <s v="CUST-3614"/>
    <s v="Rohan Mehta"/>
    <x v="3"/>
    <x v="2"/>
    <s v="Telangana"/>
    <s v="Hyderabad"/>
    <x v="1"/>
    <x v="10"/>
    <s v="Basic Bookcases 182"/>
    <x v="3"/>
    <n v="6"/>
    <n v="4288.7"/>
    <n v="0.15"/>
    <n v="21872.37"/>
    <n v="21872.369999999995"/>
    <n v="13829.5"/>
    <n v="0.36771826738483288"/>
    <n v="8042.87"/>
    <n v="8042.8699999999953"/>
    <x v="2"/>
    <x v="2"/>
    <n v="0"/>
    <s v="Clean"/>
    <m/>
  </r>
  <r>
    <s v="ORD-2024-10449"/>
    <d v="2024-01-15T00:00:00"/>
    <x v="8"/>
    <x v="0"/>
    <d v="2024-01-18T00:00:00"/>
    <s v="CUST-1932"/>
    <s v="Mira Das"/>
    <x v="1"/>
    <x v="2"/>
    <s v="Andhra Pradesh"/>
    <s v="Vijayawada"/>
    <x v="1"/>
    <x v="4"/>
    <s v="Prime Chairs 631"/>
    <x v="2"/>
    <n v="2"/>
    <n v="201.21"/>
    <n v="0.15"/>
    <n v="342.06"/>
    <n v="342.05700000000002"/>
    <n v="244.57"/>
    <n v="0.28500220723446684"/>
    <n v="97.49"/>
    <n v="97.487000000000023"/>
    <x v="0"/>
    <x v="0"/>
    <n v="3"/>
    <s v="Clean"/>
    <m/>
  </r>
  <r>
    <s v="ORD-2024-10450"/>
    <d v="2024-06-06T00:00:00"/>
    <x v="2"/>
    <x v="0"/>
    <d v="2024-06-13T00:00:00"/>
    <s v="CUST-5094"/>
    <s v="Aditi Sen"/>
    <x v="2"/>
    <x v="1"/>
    <s v="Assam"/>
    <s v="Guwahati"/>
    <x v="2"/>
    <x v="12"/>
    <s v="Basic Machines 808"/>
    <x v="0"/>
    <n v="6"/>
    <n v="3270.36"/>
    <n v="0"/>
    <n v="19622.16"/>
    <n v="19622.16"/>
    <n v="14271.27"/>
    <n v="0.27269627808559299"/>
    <n v="5350.89"/>
    <n v="5350.8899999999994"/>
    <x v="0"/>
    <x v="0"/>
    <n v="7"/>
    <s v="Clean"/>
    <m/>
  </r>
  <r>
    <s v="ORD-2025-10451"/>
    <d v="2025-06-12T00:00:00"/>
    <x v="2"/>
    <x v="1"/>
    <d v="2025-06-19T00:00:00"/>
    <s v="CUST-8672"/>
    <s v="Ananya Rao"/>
    <x v="2"/>
    <x v="0"/>
    <s v="Delhi"/>
    <s v="New Delhi"/>
    <x v="1"/>
    <x v="4"/>
    <s v="Pro Chairs 302"/>
    <x v="3"/>
    <n v="9"/>
    <n v="2278.5700000000002"/>
    <n v="0.25"/>
    <n v="15380.35"/>
    <n v="15380.3475"/>
    <n v="9907.3700000000008"/>
    <n v="0.35584225258889624"/>
    <n v="5472.98"/>
    <n v="5472.9774999999991"/>
    <x v="0"/>
    <x v="0"/>
    <n v="7"/>
    <s v="Clean"/>
    <m/>
  </r>
  <r>
    <s v="ORD-2024-10452"/>
    <d v="2024-03-24T00:00:00"/>
    <x v="11"/>
    <x v="0"/>
    <d v="2024-03-26T00:00:00"/>
    <s v="CUST-3907"/>
    <s v="Rohan Mehta"/>
    <x v="1"/>
    <x v="0"/>
    <s v="Haryana"/>
    <s v="Gurugram"/>
    <x v="0"/>
    <x v="0"/>
    <s v="Classic Paper 272"/>
    <x v="0"/>
    <n v="8"/>
    <n v="1917.64"/>
    <n v="0.15"/>
    <n v="13039.95"/>
    <n v="13039.952000000001"/>
    <n v="11127.82"/>
    <n v="0.1466364293365498"/>
    <n v="1912.13"/>
    <n v="1912.1320000000014"/>
    <x v="0"/>
    <x v="1"/>
    <n v="2"/>
    <s v="Clean"/>
    <m/>
  </r>
  <r>
    <s v="ORD-2024-10453"/>
    <d v="2024-10-05T00:00:00"/>
    <x v="10"/>
    <x v="0"/>
    <d v="2024-05-16T00:00:00"/>
    <s v="CUST-8796"/>
    <s v="Diya Patel"/>
    <x v="3"/>
    <x v="1"/>
    <s v="Jharkhand"/>
    <s v="Ranchi"/>
    <x v="2"/>
    <x v="5"/>
    <s v="Smart Accessories 149"/>
    <x v="0"/>
    <n v="6"/>
    <n v="2013.33"/>
    <n v="0.2"/>
    <n v="9663.98"/>
    <n v="9663.9840000000004"/>
    <n v="5628.93"/>
    <n v="0.41753525254180884"/>
    <n v="4035.05"/>
    <n v="4035.0540000000001"/>
    <x v="0"/>
    <x v="0"/>
    <n v="-142"/>
    <s v="Invalid"/>
    <m/>
  </r>
  <r>
    <s v="ORD-2025-10454"/>
    <d v="2025-05-03T00:00:00"/>
    <x v="4"/>
    <x v="1"/>
    <d v="2025-11-05T00:00:00"/>
    <s v="CUST-2317"/>
    <s v="Rohan Mehta"/>
    <x v="1"/>
    <x v="3"/>
    <s v="Madhya Pradesh"/>
    <s v="Indore"/>
    <x v="0"/>
    <x v="7"/>
    <s v="Elite Labels 322"/>
    <x v="1"/>
    <n v="5"/>
    <n v="1483.52"/>
    <n v="0"/>
    <n v="7417.6"/>
    <n v="7417.6"/>
    <n v="4955.8599999999997"/>
    <n v="0.3318782355478862"/>
    <n v="2461.7399999999998"/>
    <n v="2461.7400000000007"/>
    <x v="0"/>
    <x v="0"/>
    <n v="186"/>
    <s v="Clean"/>
    <m/>
  </r>
  <r>
    <s v="ORD-2025-10455"/>
    <d v="2025-03-23T00:00:00"/>
    <x v="11"/>
    <x v="1"/>
    <d v="2025-03-28T00:00:00"/>
    <s v="CUST-8643"/>
    <s v="Vikram Iyer"/>
    <x v="1"/>
    <x v="0"/>
    <s v="Rajasthan"/>
    <s v="Jaipur"/>
    <x v="1"/>
    <x v="3"/>
    <s v="Max Furnishings 821"/>
    <x v="3"/>
    <n v="9"/>
    <n v="3298"/>
    <n v="0.15"/>
    <n v="25229.7"/>
    <n v="25229.7"/>
    <n v="20170.43"/>
    <n v="0.20052834556098567"/>
    <n v="5059.2700000000004"/>
    <n v="5059.2700000000004"/>
    <x v="0"/>
    <x v="0"/>
    <n v="5"/>
    <s v="Clean"/>
    <m/>
  </r>
  <r>
    <s v="ORD-2024-10456"/>
    <d v="2024-07-18T00:00:00"/>
    <x v="0"/>
    <x v="0"/>
    <d v="2024-07-22T00:00:00"/>
    <s v="CUST-1800"/>
    <s v="Neha Gupta"/>
    <x v="1"/>
    <x v="2"/>
    <s v="Telangana"/>
    <s v="Hyderabad"/>
    <x v="0"/>
    <x v="2"/>
    <s v="Basic Art 556"/>
    <x v="3"/>
    <n v="4"/>
    <n v="808.77"/>
    <n v="0"/>
    <n v="3235.08"/>
    <n v="3235.08"/>
    <n v="1848.6"/>
    <n v="0.42857672762342819"/>
    <n v="1386.48"/>
    <n v="1386.48"/>
    <x v="0"/>
    <x v="0"/>
    <n v="4"/>
    <s v="Clean"/>
    <m/>
  </r>
  <r>
    <s v="ORD-2024-10457"/>
    <d v="2024-02-20T00:00:00"/>
    <x v="6"/>
    <x v="0"/>
    <d v="2024-02-20T00:00:00"/>
    <s v="CUST-7688"/>
    <s v="Neha Gupta"/>
    <x v="2"/>
    <x v="0"/>
    <s v="Uttar Pradesh"/>
    <s v="Noida"/>
    <x v="2"/>
    <x v="5"/>
    <s v="Smart Accessories 265"/>
    <x v="1"/>
    <n v="5"/>
    <n v="2604.91"/>
    <n v="0.15"/>
    <n v="11070.87"/>
    <n v="11070.867499999998"/>
    <n v="6623.61"/>
    <n v="0.40170813172499803"/>
    <n v="4447.26"/>
    <n v="4447.2574999999988"/>
    <x v="0"/>
    <x v="2"/>
    <n v="0"/>
    <s v="Clean"/>
    <m/>
  </r>
  <r>
    <s v="ORD-2024-10458"/>
    <d v="2024-05-04T00:00:00"/>
    <x v="4"/>
    <x v="0"/>
    <d v="2024-04-05T00:00:00"/>
    <s v="CUST-4957"/>
    <s v="Mira Das"/>
    <x v="1"/>
    <x v="3"/>
    <s v="Goa"/>
    <s v="Panaji"/>
    <x v="1"/>
    <x v="1"/>
    <s v="Elite Tables 418"/>
    <x v="3"/>
    <n v="7"/>
    <n v="2851.51"/>
    <n v="0"/>
    <n v="19960.57"/>
    <n v="19960.57"/>
    <n v="16603.599999999999"/>
    <n v="0.1681800670020947"/>
    <n v="3356.97"/>
    <n v="3356.9700000000012"/>
    <x v="0"/>
    <x v="0"/>
    <n v="-29"/>
    <s v="Invalid"/>
    <m/>
  </r>
  <r>
    <s v="ORD-2024-10459"/>
    <d v="2024-10-02T00:00:00"/>
    <x v="10"/>
    <x v="0"/>
    <d v="2024-02-11T00:00:00"/>
    <s v="CUST-1263"/>
    <s v="Karan Malhotra"/>
    <x v="2"/>
    <x v="0"/>
    <s v="Rajasthan"/>
    <s v="Jaipur"/>
    <x v="2"/>
    <x v="11"/>
    <s v="Pro Phones 907"/>
    <x v="0"/>
    <n v="3"/>
    <n v="3183.72"/>
    <n v="0.1"/>
    <n v="8596.0400000000009"/>
    <n v="8596.0439999999999"/>
    <n v="5378.16"/>
    <n v="0.37434475672762962"/>
    <n v="3217.88"/>
    <n v="3217.884"/>
    <x v="0"/>
    <x v="0"/>
    <n v="-234"/>
    <s v="Invalid"/>
    <m/>
  </r>
  <r>
    <s v="ORD-2024-10460"/>
    <d v="2024-03-28T00:00:00"/>
    <x v="11"/>
    <x v="0"/>
    <d v="2024-04-04T00:00:00"/>
    <s v="CUST-4745"/>
    <s v="Ananya Rao"/>
    <x v="3"/>
    <x v="3"/>
    <s v="Goa"/>
    <s v="Panaji"/>
    <x v="0"/>
    <x v="0"/>
    <s v="Basic Paper 233"/>
    <x v="2"/>
    <n v="3"/>
    <n v="1150.92"/>
    <n v="0"/>
    <n v="3452.76"/>
    <n v="3452.76"/>
    <n v="2077.96"/>
    <n v="0.39817421425178701"/>
    <n v="1374.8"/>
    <n v="1374.8000000000002"/>
    <x v="0"/>
    <x v="0"/>
    <n v="7"/>
    <s v="Clean"/>
    <m/>
  </r>
  <r>
    <s v="ORD-2025-10461"/>
    <d v="2025-09-30T00:00:00"/>
    <x v="9"/>
    <x v="1"/>
    <d v="2025-06-10T00:00:00"/>
    <s v="CUST-5551"/>
    <s v="Aarav Sharma"/>
    <x v="2"/>
    <x v="4"/>
    <s v="Rajasthan"/>
    <s v="Jaipur"/>
    <x v="2"/>
    <x v="6"/>
    <s v="Eco Copiers 603"/>
    <x v="0"/>
    <n v="9"/>
    <n v="1359.88"/>
    <n v="0.05"/>
    <n v="11626.97"/>
    <n v="11626.974000000002"/>
    <n v="7394.07"/>
    <n v="0.36405895463428417"/>
    <n v="4232.8999999999996"/>
    <n v="4232.9040000000023"/>
    <x v="0"/>
    <x v="0"/>
    <n v="-112"/>
    <s v="Invalid/Warning"/>
    <m/>
  </r>
  <r>
    <s v="ORD-2025-10462"/>
    <d v="2025-05-25T00:00:00"/>
    <x v="4"/>
    <x v="1"/>
    <d v="2025-05-26T00:00:00"/>
    <s v="CUST-3659"/>
    <s v="Neha Gupta"/>
    <x v="2"/>
    <x v="2"/>
    <s v="Andhra Pradesh"/>
    <s v="Vijayawada"/>
    <x v="0"/>
    <x v="0"/>
    <s v="Max Paper 700"/>
    <x v="3"/>
    <n v="3"/>
    <n v="3378.15"/>
    <n v="0.15"/>
    <n v="8614.2800000000007"/>
    <n v="8614.2825000000012"/>
    <n v="7052.08"/>
    <n v="0.18135027496486225"/>
    <n v="1562.2"/>
    <n v="1562.2025000000012"/>
    <x v="0"/>
    <x v="0"/>
    <n v="1"/>
    <s v="Clean"/>
    <m/>
  </r>
  <r>
    <s v="ORD-2024-10463"/>
    <d v="2024-09-23T00:00:00"/>
    <x v="9"/>
    <x v="0"/>
    <d v="2024-09-25T00:00:00"/>
    <s v="CUST-6594"/>
    <s v="Aarav Sharma"/>
    <x v="3"/>
    <x v="0"/>
    <s v="Delhi"/>
    <s v="New Delhi"/>
    <x v="0"/>
    <x v="9"/>
    <s v="Pro Binders 404"/>
    <x v="2"/>
    <n v="2"/>
    <n v="1275.1400000000001"/>
    <n v="0.2"/>
    <n v="2040.22"/>
    <n v="2040.2240000000002"/>
    <n v="1395.71"/>
    <n v="0.31590354784572677"/>
    <n v="644.51"/>
    <n v="644.51400000000012"/>
    <x v="0"/>
    <x v="0"/>
    <n v="2"/>
    <s v="Clean"/>
    <m/>
  </r>
  <r>
    <s v="ORD-2025-10464"/>
    <d v="2025-07-02T00:00:00"/>
    <x v="0"/>
    <x v="1"/>
    <d v="2025-08-02T00:00:00"/>
    <s v="CUST-2626"/>
    <s v="Arjun Bose"/>
    <x v="2"/>
    <x v="3"/>
    <s v="Madhya Pradesh"/>
    <s v="Indore"/>
    <x v="2"/>
    <x v="11"/>
    <s v="Eco Phones 208"/>
    <x v="3"/>
    <n v="4"/>
    <n v="889.5"/>
    <n v="0.2"/>
    <n v="2846.4"/>
    <n v="2846.4"/>
    <n v="2132.37"/>
    <n v="0.25085370994940986"/>
    <n v="714.03"/>
    <n v="714.0300000000002"/>
    <x v="0"/>
    <x v="0"/>
    <n v="31"/>
    <s v="Clean"/>
    <m/>
  </r>
  <r>
    <s v="ORD-2025-10465"/>
    <d v="2025-11-03T00:00:00"/>
    <x v="3"/>
    <x v="1"/>
    <d v="2025-03-15T00:00:00"/>
    <s v="CUST-7362"/>
    <s v="Arjun Bose"/>
    <x v="2"/>
    <x v="1"/>
    <s v="Bihar"/>
    <s v="Patna"/>
    <x v="0"/>
    <x v="0"/>
    <s v="Elite Paper 106"/>
    <x v="1"/>
    <n v="3"/>
    <n v="3625.08"/>
    <n v="0.05"/>
    <n v="10331.48"/>
    <n v="10331.477999999999"/>
    <n v="7131.91"/>
    <n v="0.30969121746181905"/>
    <n v="3199.57"/>
    <n v="3199.5679999999993"/>
    <x v="2"/>
    <x v="1"/>
    <n v="-233"/>
    <s v="Invalid"/>
    <m/>
  </r>
  <r>
    <s v="ORD-2024-10466"/>
    <d v="2024-01-29T00:00:00"/>
    <x v="8"/>
    <x v="0"/>
    <d v="2024-06-02T00:00:00"/>
    <s v="CUST-1748"/>
    <s v="Aarav Sharma"/>
    <x v="1"/>
    <x v="3"/>
    <s v="Madhya Pradesh"/>
    <s v="Indore"/>
    <x v="0"/>
    <x v="7"/>
    <s v="Eco Labels 914"/>
    <x v="3"/>
    <n v="2"/>
    <n v="1258.9000000000001"/>
    <n v="0"/>
    <n v="2517.8000000000002"/>
    <n v="2517.8000000000002"/>
    <n v="1478.54"/>
    <n v="0.41276511239971408"/>
    <n v="1039.26"/>
    <n v="1039.2600000000002"/>
    <x v="0"/>
    <x v="0"/>
    <n v="125"/>
    <s v="Clean"/>
    <m/>
  </r>
  <r>
    <s v="ORD-2024-10467"/>
    <d v="2024-04-01T00:00:00"/>
    <x v="5"/>
    <x v="0"/>
    <d v="2024-01-08T00:00:00"/>
    <s v="CUST-2725"/>
    <s v="Mira Das"/>
    <x v="1"/>
    <x v="1"/>
    <s v="Bihar"/>
    <s v="Patna"/>
    <x v="2"/>
    <x v="5"/>
    <s v="Max Accessories 486"/>
    <x v="1"/>
    <n v="9"/>
    <n v="1591.96"/>
    <n v="0.2"/>
    <n v="11462.11"/>
    <n v="11462.112000000001"/>
    <n v="7105.48"/>
    <n v="0.38008981241851425"/>
    <n v="4356.63"/>
    <n v="4356.6320000000014"/>
    <x v="0"/>
    <x v="0"/>
    <n v="-84"/>
    <s v="Invalid"/>
    <m/>
  </r>
  <r>
    <s v="ORD-2024-10468"/>
    <d v="2024-08-20T00:00:00"/>
    <x v="1"/>
    <x v="0"/>
    <d v="2024-08-21T00:00:00"/>
    <s v="CUST-9470"/>
    <s v="Aditi Sen"/>
    <x v="2"/>
    <x v="1"/>
    <s v="Odisha"/>
    <s v="Bhubaneswar"/>
    <x v="2"/>
    <x v="6"/>
    <s v="Max Copiers 867"/>
    <x v="2"/>
    <n v="5"/>
    <n v="4288.33"/>
    <n v="0.1"/>
    <n v="19297.490000000002"/>
    <n v="19297.485000000001"/>
    <n v="15451.66"/>
    <n v="0.1992915138941681"/>
    <n v="3845.83"/>
    <n v="3845.8250000000007"/>
    <x v="1"/>
    <x v="1"/>
    <n v="1"/>
    <s v="Clean"/>
    <m/>
  </r>
  <r>
    <s v="ORD-2025-10469"/>
    <d v="2025-09-01T00:00:00"/>
    <x v="9"/>
    <x v="1"/>
    <d v="2025-07-01T00:00:00"/>
    <s v="CUST-4176"/>
    <s v="Aarav Sharma"/>
    <x v="3"/>
    <x v="1"/>
    <s v="West Bengal"/>
    <s v="Kolkata"/>
    <x v="0"/>
    <x v="9"/>
    <s v="Pro Binders 555"/>
    <x v="0"/>
    <n v="3"/>
    <n v="2188.33"/>
    <n v="0"/>
    <n v="6564.99"/>
    <n v="6564.99"/>
    <n v="5407.24"/>
    <n v="0.17635213458055535"/>
    <n v="1157.75"/>
    <n v="1157.75"/>
    <x v="0"/>
    <x v="0"/>
    <n v="-62"/>
    <s v="Invalid"/>
    <m/>
  </r>
  <r>
    <s v="ORD-2024-10470"/>
    <d v="2024-01-19T00:00:00"/>
    <x v="8"/>
    <x v="0"/>
    <d v="2024-01-25T00:00:00"/>
    <s v="CUST-3448"/>
    <s v="Aditi Sen"/>
    <x v="2"/>
    <x v="3"/>
    <s v="Goa"/>
    <s v="Panaji"/>
    <x v="2"/>
    <x v="6"/>
    <s v="Pro Copiers 971"/>
    <x v="2"/>
    <n v="3"/>
    <n v="1041.6600000000001"/>
    <n v="0.1"/>
    <n v="2812.48"/>
    <n v="2812.4820000000004"/>
    <n v="2282.12"/>
    <n v="0.18857436243147527"/>
    <n v="530.36"/>
    <n v="530.36200000000053"/>
    <x v="0"/>
    <x v="0"/>
    <n v="6"/>
    <s v="Clean"/>
    <m/>
  </r>
  <r>
    <s v="ORD-2024-10471"/>
    <d v="2024-07-28T00:00:00"/>
    <x v="0"/>
    <x v="0"/>
    <d v="2024-07-31T00:00:00"/>
    <s v="CUST-4970"/>
    <s v="Aditi Sen"/>
    <x v="0"/>
    <x v="0"/>
    <s v="Rajasthan"/>
    <s v="Jaipur"/>
    <x v="1"/>
    <x v="1"/>
    <s v="Pro Tables 833"/>
    <x v="1"/>
    <n v="2"/>
    <n v="4424.78"/>
    <n v="0.2"/>
    <n v="7079.65"/>
    <n v="7079.6480000000001"/>
    <n v="4465.91"/>
    <n v="0.36919038912669105"/>
    <n v="2613.7399999999998"/>
    <n v="2613.7380000000003"/>
    <x v="0"/>
    <x v="0"/>
    <n v="3"/>
    <s v="Clean"/>
    <m/>
  </r>
  <r>
    <s v="ORD-2024-10472"/>
    <d v="2024-11-02T00:00:00"/>
    <x v="3"/>
    <x v="0"/>
    <d v="2024-02-15T00:00:00"/>
    <s v="CUST-6147"/>
    <s v="Kabir Singh"/>
    <x v="0"/>
    <x v="2"/>
    <s v="Telangana"/>
    <s v="Hyderabad"/>
    <x v="0"/>
    <x v="9"/>
    <s v="Prime Binders 497"/>
    <x v="3"/>
    <n v="3"/>
    <n v="3019.14"/>
    <n v="0.25"/>
    <n v="6793.07"/>
    <n v="6793.0650000000005"/>
    <n v="4985.22"/>
    <n v="0.26613097327936652"/>
    <n v="1807.85"/>
    <n v="1807.8450000000003"/>
    <x v="0"/>
    <x v="0"/>
    <n v="-261"/>
    <s v="Invalid"/>
    <m/>
  </r>
  <r>
    <s v="ORD-2024-10473"/>
    <d v="2024-02-03T00:00:00"/>
    <x v="6"/>
    <x v="0"/>
    <d v="2024-03-07T00:00:00"/>
    <s v="CUST-7208"/>
    <s v="Rohan Mehta"/>
    <x v="2"/>
    <x v="1"/>
    <s v="Odisha"/>
    <s v="Bhubaneswar"/>
    <x v="0"/>
    <x v="8"/>
    <s v="Pro Storage 756"/>
    <x v="3"/>
    <n v="7"/>
    <n v="263.45999999999998"/>
    <n v="0"/>
    <n v="1844.22"/>
    <n v="1844.2199999999998"/>
    <n v="1094.21"/>
    <n v="0.40668141544934977"/>
    <n v="750.01"/>
    <n v="750.00999999999976"/>
    <x v="0"/>
    <x v="0"/>
    <n v="33"/>
    <s v="Clean"/>
    <m/>
  </r>
  <r>
    <s v="ORD-2024-10474"/>
    <d v="2024-11-13T00:00:00"/>
    <x v="3"/>
    <x v="0"/>
    <d v="2024-11-13T00:00:00"/>
    <s v="CUST-2794"/>
    <s v="Priya Menon"/>
    <x v="0"/>
    <x v="3"/>
    <s v="Goa"/>
    <s v="Panaji"/>
    <x v="2"/>
    <x v="6"/>
    <s v="Max Copiers 829"/>
    <x v="3"/>
    <n v="6"/>
    <n v="191.45"/>
    <n v="0.2"/>
    <n v="918.96"/>
    <n v="918.95999999999992"/>
    <n v="554.17999999999995"/>
    <n v="0.39694872464525116"/>
    <n v="364.78"/>
    <n v="364.78"/>
    <x v="0"/>
    <x v="0"/>
    <n v="0"/>
    <s v="Clean"/>
    <m/>
  </r>
  <r>
    <s v="ORD-2024-10475"/>
    <d v="2024-03-06T00:00:00"/>
    <x v="11"/>
    <x v="0"/>
    <d v="2024-10-06T00:00:00"/>
    <s v="CUST-6249"/>
    <s v="Diya Patel"/>
    <x v="2"/>
    <x v="0"/>
    <s v="Punjab"/>
    <s v="Ludhiana"/>
    <x v="1"/>
    <x v="3"/>
    <s v="Prime Furnishings 827"/>
    <x v="3"/>
    <n v="3"/>
    <n v="1633.57"/>
    <n v="0"/>
    <n v="4900.71"/>
    <n v="4900.71"/>
    <n v="2713.9"/>
    <n v="0.44622309828575857"/>
    <n v="2186.81"/>
    <n v="2186.81"/>
    <x v="0"/>
    <x v="0"/>
    <n v="214"/>
    <s v="Clean"/>
    <m/>
  </r>
  <r>
    <s v="ORD-2025-10476"/>
    <d v="2025-03-01T00:00:00"/>
    <x v="11"/>
    <x v="1"/>
    <d v="2025-08-03T00:00:00"/>
    <s v="CUST-5712"/>
    <s v="Vikram Iyer"/>
    <x v="0"/>
    <x v="1"/>
    <s v="West Bengal"/>
    <s v="Kolkata"/>
    <x v="1"/>
    <x v="4"/>
    <s v="Eco Chairs 365"/>
    <x v="1"/>
    <n v="8"/>
    <n v="3378.82"/>
    <n v="0.25"/>
    <n v="20272.919999999998"/>
    <n v="20272.920000000002"/>
    <n v="15873.38"/>
    <n v="0.21701560505344086"/>
    <n v="4399.54"/>
    <n v="4399.5400000000027"/>
    <x v="2"/>
    <x v="2"/>
    <n v="155"/>
    <s v="Clean"/>
    <m/>
  </r>
  <r>
    <s v="ORD-2024-10477"/>
    <d v="2024-05-07T00:00:00"/>
    <x v="4"/>
    <x v="0"/>
    <d v="2024-05-14T00:00:00"/>
    <s v="CUST-3004"/>
    <s v="Sneha Kapoor"/>
    <x v="1"/>
    <x v="0"/>
    <s v="Rajasthan"/>
    <s v="Jaipur"/>
    <x v="0"/>
    <x v="8"/>
    <s v="Classic Storage 545"/>
    <x v="2"/>
    <n v="3"/>
    <n v="383.58"/>
    <n v="0.1"/>
    <n v="1035.67"/>
    <n v="1035.6659999999999"/>
    <n v="595.41999999999996"/>
    <n v="0.42508492120046426"/>
    <n v="440.25"/>
    <n v="440.24599999999998"/>
    <x v="0"/>
    <x v="0"/>
    <n v="7"/>
    <s v="Clean"/>
    <m/>
  </r>
  <r>
    <s v="ORD-2025-10478"/>
    <d v="2025-08-23T00:00:00"/>
    <x v="1"/>
    <x v="1"/>
    <d v="2025-08-28T00:00:00"/>
    <s v="CUST-6920"/>
    <s v="Vikram Iyer"/>
    <x v="2"/>
    <x v="3"/>
    <s v="Gujarat"/>
    <s v="Ahmedabad"/>
    <x v="1"/>
    <x v="4"/>
    <s v="Pro Chairs 186"/>
    <x v="3"/>
    <n v="6"/>
    <n v="2193.23"/>
    <n v="0.1"/>
    <n v="11843.44"/>
    <n v="11843.442000000001"/>
    <n v="9356.8799999999992"/>
    <n v="0.20995264721184953"/>
    <n v="2486.56"/>
    <n v="2486.5620000000017"/>
    <x v="0"/>
    <x v="1"/>
    <n v="5"/>
    <s v="Clean"/>
    <m/>
  </r>
  <r>
    <s v="ORD-2024-10479"/>
    <d v="2024-06-09T00:00:00"/>
    <x v="2"/>
    <x v="0"/>
    <d v="2024-06-13T00:00:00"/>
    <s v="CUST-4838"/>
    <s v="Mira Das"/>
    <x v="3"/>
    <x v="4"/>
    <s v="Uttar Pradesh"/>
    <s v="Noida"/>
    <x v="2"/>
    <x v="12"/>
    <s v="Classic Machines 561"/>
    <x v="1"/>
    <n v="7"/>
    <n v="4079.71"/>
    <n v="0.1"/>
    <n v="25702.17"/>
    <n v="25702.173000000003"/>
    <n v="14571.48"/>
    <n v="0.43306427826160854"/>
    <n v="11130.69"/>
    <n v="11130.693000000003"/>
    <x v="1"/>
    <x v="2"/>
    <n v="4"/>
    <s v="Warning"/>
    <m/>
  </r>
  <r>
    <s v="ORD-2024-10480"/>
    <d v="2024-02-23T00:00:00"/>
    <x v="6"/>
    <x v="0"/>
    <d v="2024-02-20T00:00:00"/>
    <s v="CUST-7520"/>
    <s v="Arjun Bose"/>
    <x v="2"/>
    <x v="1"/>
    <s v="Odisha"/>
    <s v="Bhubaneswar"/>
    <x v="1"/>
    <x v="4"/>
    <s v="Max Chairs 594"/>
    <x v="0"/>
    <n v="1"/>
    <n v="2202.5500000000002"/>
    <n v="0"/>
    <n v="1651.91"/>
    <n v="2202.5500000000002"/>
    <n v="1034.57"/>
    <n v="0.53028535107035035"/>
    <n v="617.34"/>
    <n v="1167.9800000000002"/>
    <x v="0"/>
    <x v="0"/>
    <n v="-3"/>
    <s v="Invalid"/>
    <m/>
  </r>
  <r>
    <s v="ORD-2025-10481"/>
    <d v="2025-05-01T00:00:00"/>
    <x v="4"/>
    <x v="1"/>
    <d v="2025-09-01T00:00:00"/>
    <s v="CUST-9947"/>
    <s v="Neha Gupta"/>
    <x v="1"/>
    <x v="2"/>
    <s v="Tamil Nadu"/>
    <s v="Chennai"/>
    <x v="0"/>
    <x v="8"/>
    <s v="Eco Storage 923"/>
    <x v="4"/>
    <n v="5"/>
    <n v="905.16"/>
    <n v="0"/>
    <n v="4525.8"/>
    <n v="4525.8"/>
    <n v="2714.51"/>
    <n v="0.40021432674886204"/>
    <n v="1811.29"/>
    <n v="1811.29"/>
    <x v="0"/>
    <x v="0"/>
    <n v="123"/>
    <s v="Warning"/>
    <m/>
  </r>
  <r>
    <s v="ORD-2025-10482"/>
    <d v="2025-05-06T00:00:00"/>
    <x v="4"/>
    <x v="1"/>
    <d v="2025-06-13T00:00:00"/>
    <s v="CUST-4403"/>
    <s v="Isha Nair"/>
    <x v="0"/>
    <x v="0"/>
    <s v="Uttar Pradesh"/>
    <s v="Noida"/>
    <x v="2"/>
    <x v="12"/>
    <s v="Classic Machines 287"/>
    <x v="1"/>
    <n v="4"/>
    <n v="2793.88"/>
    <n v="0.85"/>
    <n v="10616.74"/>
    <n v="1676.3280000000002"/>
    <n v="6353.59"/>
    <n v="-2.7901830667983827"/>
    <n v="4263.1499999999996"/>
    <n v="-4677.2619999999997"/>
    <x v="0"/>
    <x v="0"/>
    <n v="38"/>
    <s v="Clean"/>
    <m/>
  </r>
  <r>
    <s v="ORD-2024-10483"/>
    <d v="2024-07-22T00:00:00"/>
    <x v="0"/>
    <x v="0"/>
    <d v="2024-07-22T00:00:00"/>
    <s v="CUST-3583"/>
    <s v="Priya Menon"/>
    <x v="0"/>
    <x v="2"/>
    <s v="Karnataka"/>
    <s v="Bengaluru"/>
    <x v="2"/>
    <x v="5"/>
    <s v="Basic Accessories 518"/>
    <x v="0"/>
    <n v="3"/>
    <n v="1286.22"/>
    <n v="0.25"/>
    <n v="2893.99"/>
    <n v="2893.9949999999999"/>
    <n v="1856.03"/>
    <n v="0.35866164247001114"/>
    <n v="1037.96"/>
    <n v="1037.9649999999999"/>
    <x v="0"/>
    <x v="0"/>
    <n v="0"/>
    <s v="Clean"/>
    <m/>
  </r>
  <r>
    <s v="ORD-2024-10484"/>
    <d v="2024-12-25T00:00:00"/>
    <x v="7"/>
    <x v="0"/>
    <d v="2024-12-25T00:00:00"/>
    <s v="CUST-9432"/>
    <s v="Mira Das"/>
    <x v="2"/>
    <x v="1"/>
    <s v="Bihar"/>
    <s v="Patna"/>
    <x v="2"/>
    <x v="6"/>
    <s v="Pro Copiers 984"/>
    <x v="3"/>
    <n v="1"/>
    <n v="829.66"/>
    <n v="0.15"/>
    <n v="705.21"/>
    <n v="705.2109999999999"/>
    <n v="438.32"/>
    <n v="0.37845552607659261"/>
    <n v="266.89"/>
    <n v="266.89099999999991"/>
    <x v="0"/>
    <x v="0"/>
    <n v="0"/>
    <s v="Clean"/>
    <m/>
  </r>
  <r>
    <s v="ORD-2024-10485"/>
    <d v="2024-12-28T00:00:00"/>
    <x v="7"/>
    <x v="0"/>
    <d v="2024-12-31T00:00:00"/>
    <s v="CUST-1801"/>
    <s v="Mira Das"/>
    <x v="1"/>
    <x v="2"/>
    <s v="Andhra Pradesh"/>
    <s v="Vijayawada"/>
    <x v="1"/>
    <x v="3"/>
    <s v="Max Furnishings 297"/>
    <x v="2"/>
    <n v="6"/>
    <n v="3641.22"/>
    <n v="0.25"/>
    <n v="16385.490000000002"/>
    <n v="16385.489999999998"/>
    <n v="13679.24"/>
    <n v="0.16516137143289572"/>
    <n v="2706.25"/>
    <n v="2706.2499999999982"/>
    <x v="0"/>
    <x v="0"/>
    <n v="3"/>
    <s v="Clean"/>
    <m/>
  </r>
  <r>
    <s v="ORD-2025-10486"/>
    <d v="2025-01-22T00:00:00"/>
    <x v="8"/>
    <x v="1"/>
    <d v="2025-01-23T00:00:00"/>
    <s v="CUST-1594"/>
    <s v="Rahul Verma"/>
    <x v="2"/>
    <x v="3"/>
    <s v="Goa"/>
    <s v="Panaji"/>
    <x v="1"/>
    <x v="10"/>
    <s v="Elite Bookcases 802"/>
    <x v="3"/>
    <n v="4"/>
    <n v="2555.19"/>
    <n v="0.25"/>
    <n v="7665.57"/>
    <n v="7665.57"/>
    <n v="5595.6"/>
    <n v="0.27003471366121495"/>
    <n v="2069.9699999999998"/>
    <n v="2069.9699999999993"/>
    <x v="0"/>
    <x v="0"/>
    <n v="1"/>
    <s v="Clean"/>
    <m/>
  </r>
  <r>
    <s v="ORD-2025-10487"/>
    <d v="2025-06-22T00:00:00"/>
    <x v="2"/>
    <x v="1"/>
    <d v="2025-06-26T00:00:00"/>
    <s v="CUST-8132"/>
    <s v="Rahul Verma"/>
    <x v="2"/>
    <x v="3"/>
    <s v="Goa"/>
    <s v="Panaji"/>
    <x v="1"/>
    <x v="1"/>
    <s v="Pro Tables 257"/>
    <x v="3"/>
    <n v="3"/>
    <n v="1946.18"/>
    <n v="0.2"/>
    <n v="4670.83"/>
    <n v="4670.8320000000003"/>
    <n v="3166.49"/>
    <n v="0.3220715281560117"/>
    <n v="1504.34"/>
    <n v="1504.3420000000006"/>
    <x v="0"/>
    <x v="0"/>
    <n v="4"/>
    <s v="Clean"/>
    <m/>
  </r>
  <r>
    <s v="ORD-2025-10488"/>
    <d v="2025-10-06T00:00:00"/>
    <x v="10"/>
    <x v="1"/>
    <d v="2025-06-17T00:00:00"/>
    <s v="CUST-7685"/>
    <s v="Rahul Verma"/>
    <x v="2"/>
    <x v="2"/>
    <s v="Telangana"/>
    <s v="Hyderabad"/>
    <x v="1"/>
    <x v="3"/>
    <s v="Prime Furnishings 299"/>
    <x v="3"/>
    <n v="5"/>
    <n v="1231.0999999999999"/>
    <n v="0"/>
    <n v="6155.5"/>
    <n v="6155.5"/>
    <n v="4282.09"/>
    <n v="0.3043473316546178"/>
    <n v="1873.41"/>
    <n v="1873.4099999999999"/>
    <x v="1"/>
    <x v="2"/>
    <n v="-111"/>
    <s v="Invalid"/>
    <m/>
  </r>
  <r>
    <s v="ORD-2024-10489"/>
    <d v="2024-10-14T00:00:00"/>
    <x v="10"/>
    <x v="0"/>
    <d v="2024-10-20T00:00:00"/>
    <s v="CUST-2183"/>
    <s v="Aditi Sen"/>
    <x v="1"/>
    <x v="0"/>
    <s v="Rajasthan"/>
    <s v="Jaipur"/>
    <x v="1"/>
    <x v="1"/>
    <s v="Eco Tables 487"/>
    <x v="1"/>
    <n v="7"/>
    <n v="1547.6"/>
    <n v="0.2"/>
    <n v="8666.56"/>
    <n v="8666.56"/>
    <n v="5967.44"/>
    <n v="0.31144075619392242"/>
    <n v="2699.12"/>
    <n v="2699.12"/>
    <x v="0"/>
    <x v="0"/>
    <n v="6"/>
    <s v="Clean"/>
    <m/>
  </r>
  <r>
    <s v="ORD-2024-10490"/>
    <d v="2024-07-02T00:00:00"/>
    <x v="0"/>
    <x v="0"/>
    <d v="2024-12-02T00:00:00"/>
    <s v="CUST-1636"/>
    <s v="Arjun Bose"/>
    <x v="3"/>
    <x v="1"/>
    <s v="West Bengal"/>
    <s v="Kolkata"/>
    <x v="2"/>
    <x v="5"/>
    <s v="Prime Accessories 960"/>
    <x v="0"/>
    <n v="1"/>
    <n v="452.19"/>
    <n v="0.2"/>
    <n v="361.75"/>
    <n v="361.75200000000001"/>
    <n v="262.52999999999997"/>
    <n v="0.27428182843495003"/>
    <n v="99.22"/>
    <n v="99.222000000000037"/>
    <x v="0"/>
    <x v="0"/>
    <n v="153"/>
    <s v="Clean"/>
    <m/>
  </r>
  <r>
    <s v="ORD-2024-10491"/>
    <d v="2024-09-16T00:00:00"/>
    <x v="9"/>
    <x v="0"/>
    <d v="2024-09-19T00:00:00"/>
    <s v="CUST-1350"/>
    <s v="Aditi Sen"/>
    <x v="0"/>
    <x v="3"/>
    <s v="Rajasthan"/>
    <s v="Udaipur"/>
    <x v="0"/>
    <x v="9"/>
    <s v="Smart Binders 191"/>
    <x v="2"/>
    <n v="7"/>
    <n v="406.42"/>
    <n v="0.15"/>
    <n v="2418.1999999999998"/>
    <n v="2418.1990000000001"/>
    <n v="1613.82"/>
    <n v="0.33263556886757462"/>
    <n v="804.38"/>
    <n v="804.37900000000013"/>
    <x v="0"/>
    <x v="0"/>
    <n v="3"/>
    <s v="Clean"/>
    <m/>
  </r>
  <r>
    <s v="ORD-2025-10492"/>
    <d v="2025-04-29T00:00:00"/>
    <x v="5"/>
    <x v="1"/>
    <d v="2025-04-30T00:00:00"/>
    <s v="CUST-4101"/>
    <s v="Mira Das"/>
    <x v="2"/>
    <x v="2"/>
    <s v="Kerala"/>
    <s v="Kochi"/>
    <x v="2"/>
    <x v="5"/>
    <s v="Prime Accessories 118"/>
    <x v="3"/>
    <n v="4"/>
    <n v="606.58000000000004"/>
    <n v="0.2"/>
    <n v="1941.06"/>
    <n v="1941.0560000000003"/>
    <n v="1207.42"/>
    <n v="0.37795715321969076"/>
    <n v="733.64"/>
    <n v="733.63600000000019"/>
    <x v="0"/>
    <x v="0"/>
    <n v="1"/>
    <s v="Clean"/>
    <m/>
  </r>
  <r>
    <s v="ORD-2025-10493"/>
    <d v="2025-06-28T00:00:00"/>
    <x v="2"/>
    <x v="1"/>
    <d v="2025-07-02T00:00:00"/>
    <s v="CUST-4679"/>
    <s v="Ananya Rao"/>
    <x v="2"/>
    <x v="2"/>
    <s v="Andhra Pradesh"/>
    <s v="Vijayawada"/>
    <x v="0"/>
    <x v="8"/>
    <s v="Elite Storage 331"/>
    <x v="0"/>
    <n v="2"/>
    <n v="2725.44"/>
    <n v="0.25"/>
    <n v="4088.16"/>
    <n v="4088.16"/>
    <n v="3205.68"/>
    <n v="0.21586239286133616"/>
    <n v="882.48"/>
    <n v="882.48"/>
    <x v="0"/>
    <x v="0"/>
    <n v="4"/>
    <s v="Clean"/>
    <m/>
  </r>
  <r>
    <s v="ORD-2025-10494"/>
    <d v="2025-02-13T00:00:00"/>
    <x v="6"/>
    <x v="1"/>
    <d v="2025-02-13T00:00:00"/>
    <s v="CUST-3765"/>
    <s v="Kabir Singh"/>
    <x v="2"/>
    <x v="1"/>
    <s v="Odisha"/>
    <s v="Bhubaneswar"/>
    <x v="0"/>
    <x v="0"/>
    <s v="Prime Paper 996"/>
    <x v="0"/>
    <n v="7"/>
    <n v="2296.6999999999998"/>
    <n v="0.05"/>
    <n v="15273.05"/>
    <n v="15273.054999999997"/>
    <n v="11088.76"/>
    <n v="0.27396581757873573"/>
    <n v="4184.29"/>
    <n v="4184.2949999999964"/>
    <x v="0"/>
    <x v="0"/>
    <n v="0"/>
    <s v="Clean"/>
    <m/>
  </r>
  <r>
    <s v="ORD-2024-10495"/>
    <d v="2024-11-14T00:00:00"/>
    <x v="3"/>
    <x v="0"/>
    <d v="2024-11-22T00:00:00"/>
    <s v="CUST-9056"/>
    <s v="Isha Nair"/>
    <x v="0"/>
    <x v="3"/>
    <s v="Madhya Pradesh"/>
    <s v="Indore"/>
    <x v="2"/>
    <x v="11"/>
    <s v="Smart Phones 125"/>
    <x v="3"/>
    <n v="3"/>
    <n v="671.68"/>
    <n v="-0.13"/>
    <n v="1712.78"/>
    <n v="2276.9951999999998"/>
    <n v="1569.38"/>
    <m/>
    <n v="360.66"/>
    <m/>
    <x v="3"/>
    <x v="1"/>
    <n v="8"/>
    <s v="Invalid"/>
    <m/>
  </r>
  <r>
    <s v="ORD-2024-10496"/>
    <d v="2024-05-09T00:00:00"/>
    <x v="4"/>
    <x v="0"/>
    <d v="2024-05-15T00:00:00"/>
    <s v="CUST-9801"/>
    <s v="Mira Das"/>
    <x v="1"/>
    <x v="1"/>
    <s v="Assam"/>
    <s v="Guwahati"/>
    <x v="2"/>
    <x v="11"/>
    <s v="Eco Phones 220"/>
    <x v="0"/>
    <n v="4"/>
    <n v="995.98"/>
    <n v="0.05"/>
    <n v="3784.72"/>
    <n v="3784.7239999999997"/>
    <n v="2419.2399999999998"/>
    <n v="0.36078826355633858"/>
    <n v="1365.48"/>
    <n v="1365.4839999999999"/>
    <x v="1"/>
    <x v="2"/>
    <n v="6"/>
    <s v="Clean"/>
    <m/>
  </r>
  <r>
    <s v="ORD-2025-10497"/>
    <d v="2025-04-07T00:00:00"/>
    <x v="5"/>
    <x v="1"/>
    <d v="2025-06-07T00:00:00"/>
    <s v="CUST-2038"/>
    <s v="Kabir Singh"/>
    <x v="1"/>
    <x v="1"/>
    <s v="Jharkhand"/>
    <s v="Ranchi"/>
    <x v="1"/>
    <x v="4"/>
    <s v="Eco Chairs 795"/>
    <x v="0"/>
    <n v="2"/>
    <n v="3686.42"/>
    <n v="0.1"/>
    <n v="6635.56"/>
    <n v="6635.5560000000005"/>
    <n v="3652.91"/>
    <n v="0.44949451108543131"/>
    <n v="2982.65"/>
    <n v="2982.6460000000006"/>
    <x v="0"/>
    <x v="0"/>
    <n v="61"/>
    <s v="Clean"/>
    <m/>
  </r>
  <r>
    <s v="ORD-2024-10498"/>
    <d v="2024-08-29T00:00:00"/>
    <x v="1"/>
    <x v="0"/>
    <d v="2024-08-29T00:00:00"/>
    <s v="CUST-1567"/>
    <s v="Sneha Kapoor"/>
    <x v="1"/>
    <x v="0"/>
    <s v="Uttar Pradesh"/>
    <s v="Noida"/>
    <x v="2"/>
    <x v="5"/>
    <s v="Smart Accessories 896"/>
    <x v="0"/>
    <n v="1"/>
    <n v="3106.88"/>
    <n v="0.2"/>
    <n v="2485.5"/>
    <n v="2485.5040000000004"/>
    <n v="2028.43"/>
    <n v="0.18389590199814615"/>
    <n v="457.07"/>
    <n v="457.0740000000003"/>
    <x v="0"/>
    <x v="1"/>
    <n v="0"/>
    <s v="Clean"/>
    <m/>
  </r>
  <r>
    <s v="ORD-2025-10499"/>
    <d v="2025-07-09T00:00:00"/>
    <x v="0"/>
    <x v="1"/>
    <d v="2025-10-09T00:00:00"/>
    <s v="CUST-1190"/>
    <s v="Karan Malhotra"/>
    <x v="0"/>
    <x v="0"/>
    <s v="Punjab"/>
    <s v="Ludhiana"/>
    <x v="1"/>
    <x v="4"/>
    <s v="Basic Chairs 255"/>
    <x v="1"/>
    <n v="2"/>
    <n v="447.55"/>
    <n v="0.05"/>
    <n v="850.35"/>
    <n v="850.34500000000003"/>
    <n v="600.98"/>
    <n v="0.29325156260106194"/>
    <n v="249.37"/>
    <n v="249.36500000000001"/>
    <x v="1"/>
    <x v="1"/>
    <n v="92"/>
    <s v="Clean"/>
    <m/>
  </r>
  <r>
    <s v="ORD-2024-10500"/>
    <d v="2024-12-22T00:00:00"/>
    <x v="7"/>
    <x v="0"/>
    <d v="2024-12-26T00:00:00"/>
    <s v="CUST-5604"/>
    <s v="Rahul Verma"/>
    <x v="3"/>
    <x v="0"/>
    <s v="Uttar Pradesh"/>
    <s v="Noida"/>
    <x v="1"/>
    <x v="4"/>
    <s v="Eco Chairs 210"/>
    <x v="3"/>
    <n v="9"/>
    <n v="1110.8699999999999"/>
    <n v="0"/>
    <n v="7498.37"/>
    <n v="9997.8299999999981"/>
    <n v="6059.07"/>
    <n v="0.3939614896432525"/>
    <n v="1439.3"/>
    <n v="3938.7599999999984"/>
    <x v="0"/>
    <x v="1"/>
    <n v="4"/>
    <s v="Clean"/>
    <m/>
  </r>
  <r>
    <s v="ORD-2024-10501"/>
    <d v="2024-05-17T00:00:00"/>
    <x v="4"/>
    <x v="0"/>
    <d v="2024-05-22T00:00:00"/>
    <s v="CUST-7661"/>
    <s v="Sneha Kapoor"/>
    <x v="0"/>
    <x v="2"/>
    <s v="Kerala"/>
    <s v="Kochi"/>
    <x v="2"/>
    <x v="11"/>
    <s v="Prime Phones 533"/>
    <x v="1"/>
    <n v="9"/>
    <n v="3795.99"/>
    <n v="0.85"/>
    <n v="34163.910000000003"/>
    <n v="5124.5865000000003"/>
    <n v="28577.15"/>
    <n v="-4.5764791949555343"/>
    <n v="5586.76"/>
    <n v="-23452.5635"/>
    <x v="0"/>
    <x v="0"/>
    <n v="5"/>
    <s v="Clean"/>
    <m/>
  </r>
  <r>
    <s v="ORD-2024-10502"/>
    <d v="2024-11-08T00:00:00"/>
    <x v="3"/>
    <x v="0"/>
    <d v="2024-08-17T00:00:00"/>
    <s v="CUST-3710"/>
    <s v="Neha Gupta"/>
    <x v="0"/>
    <x v="1"/>
    <s v="Jharkhand"/>
    <s v="Ranchi"/>
    <x v="0"/>
    <x v="2"/>
    <s v="Elite Art 325"/>
    <x v="0"/>
    <n v="6"/>
    <n v="3497.54"/>
    <n v="0.15"/>
    <n v="17837.45"/>
    <n v="17837.453999999998"/>
    <n v="13627.02"/>
    <n v="0.23604456106796395"/>
    <n v="4210.43"/>
    <n v="4210.4339999999975"/>
    <x v="0"/>
    <x v="0"/>
    <n v="-83"/>
    <s v="Invalid"/>
    <m/>
  </r>
  <r>
    <s v="ORD-2024-10503"/>
    <d v="2024-04-01T00:00:00"/>
    <x v="5"/>
    <x v="0"/>
    <d v="2024-09-04T00:00:00"/>
    <s v="CUST-1534"/>
    <s v="Priya Menon"/>
    <x v="1"/>
    <x v="1"/>
    <s v="Odisha"/>
    <s v="Bhubaneswar"/>
    <x v="2"/>
    <x v="6"/>
    <s v="Prime Copiers 557"/>
    <x v="0"/>
    <n v="6"/>
    <n v="826.93"/>
    <n v="0.1"/>
    <n v="4465.42"/>
    <n v="4465.4220000000005"/>
    <n v="3377.1"/>
    <n v="0.24372209390288319"/>
    <n v="1088.32"/>
    <n v="1088.3220000000006"/>
    <x v="0"/>
    <x v="0"/>
    <n v="156"/>
    <s v="Clean"/>
    <m/>
  </r>
  <r>
    <s v="ORD-2024-10504"/>
    <d v="2024-09-28T00:00:00"/>
    <x v="9"/>
    <x v="0"/>
    <d v="2024-05-10T00:00:00"/>
    <s v="CUST-7422"/>
    <s v="Aarav Sharma"/>
    <x v="0"/>
    <x v="2"/>
    <s v="Tamil Nadu"/>
    <s v="Chennai"/>
    <x v="2"/>
    <x v="11"/>
    <s v="Smart Phones 674"/>
    <x v="3"/>
    <n v="7"/>
    <n v="1681.6"/>
    <n v="0.1"/>
    <n v="10594.08"/>
    <n v="10594.08"/>
    <n v="7160.31"/>
    <n v="0.32412158488514337"/>
    <n v="3433.77"/>
    <n v="3433.7699999999995"/>
    <x v="0"/>
    <x v="0"/>
    <n v="-141"/>
    <s v="Invalid"/>
    <m/>
  </r>
  <r>
    <s v="ORD-2025-10505"/>
    <d v="2025-12-02T00:00:00"/>
    <x v="7"/>
    <x v="1"/>
    <d v="2025-02-17T00:00:00"/>
    <s v="CUST-9693"/>
    <s v="Arjun Bose"/>
    <x v="2"/>
    <x v="3"/>
    <s v="Gujarat"/>
    <s v="Ahmedabad"/>
    <x v="0"/>
    <x v="2"/>
    <s v="Elite Art 553"/>
    <x v="3"/>
    <n v="4"/>
    <n v="4328.12"/>
    <n v="0"/>
    <n v="17312.48"/>
    <n v="17312.48"/>
    <n v="14424.22"/>
    <n v="0.16683109525613893"/>
    <n v="2888.26"/>
    <n v="2888.26"/>
    <x v="0"/>
    <x v="0"/>
    <n v="-288"/>
    <s v="Invalid"/>
    <m/>
  </r>
  <r>
    <s v="ORD-2024-10506"/>
    <d v="2024-09-11T00:00:00"/>
    <x v="9"/>
    <x v="0"/>
    <d v="2024-11-14T00:00:00"/>
    <s v="CUST-5458"/>
    <s v="Neha Gupta"/>
    <x v="2"/>
    <x v="3"/>
    <s v="Madhya Pradesh"/>
    <s v="Indore"/>
    <x v="0"/>
    <x v="2"/>
    <s v="Classic Art 339"/>
    <x v="2"/>
    <n v="9"/>
    <n v="2438.29"/>
    <n v="0.2"/>
    <n v="17555.689999999999"/>
    <n v="17555.688000000002"/>
    <n v="13293.2"/>
    <n v="0.24279811762432785"/>
    <n v="4262.49"/>
    <n v="4262.4880000000012"/>
    <x v="0"/>
    <x v="1"/>
    <n v="64"/>
    <s v="Clean"/>
    <m/>
  </r>
  <r>
    <s v="ORD-2024-10507"/>
    <d v="2024-12-15T00:00:00"/>
    <x v="7"/>
    <x v="0"/>
    <d v="2024-12-15T00:00:00"/>
    <s v="CUST-3011"/>
    <s v="Aarav Sharma"/>
    <x v="1"/>
    <x v="0"/>
    <s v="Punjab"/>
    <s v="Ludhiana"/>
    <x v="1"/>
    <x v="3"/>
    <s v="Smart Furnishings 352"/>
    <x v="2"/>
    <n v="2"/>
    <n v="669.8"/>
    <n v="0.1"/>
    <n v="1205.6400000000001"/>
    <n v="1205.6399999999999"/>
    <n v="842.07"/>
    <n v="0.30155767890912699"/>
    <n v="363.57"/>
    <n v="363.56999999999982"/>
    <x v="1"/>
    <x v="2"/>
    <n v="0"/>
    <s v="Clean"/>
    <m/>
  </r>
  <r>
    <s v="ORD-2025-10508"/>
    <d v="2025-04-15T00:00:00"/>
    <x v="5"/>
    <x v="1"/>
    <d v="2025-04-22T00:00:00"/>
    <s v="CUST-1826"/>
    <s v="Isha Nair"/>
    <x v="1"/>
    <x v="0"/>
    <s v="Haryana"/>
    <s v="Gurugram"/>
    <x v="0"/>
    <x v="9"/>
    <s v="Classic Binders 602"/>
    <x v="1"/>
    <n v="4"/>
    <n v="2990.42"/>
    <n v="0.25"/>
    <n v="8971.26"/>
    <n v="8971.26"/>
    <n v="6814.35"/>
    <n v="0.24042442198754688"/>
    <n v="2156.91"/>
    <n v="2156.91"/>
    <x v="0"/>
    <x v="0"/>
    <n v="7"/>
    <s v="Clean"/>
    <m/>
  </r>
  <r>
    <s v="ORD-2024-10509"/>
    <d v="2024-03-31T00:00:00"/>
    <x v="11"/>
    <x v="0"/>
    <d v="2024-07-04T00:00:00"/>
    <s v="CUST-3333"/>
    <s v="Isha Nair"/>
    <x v="1"/>
    <x v="0"/>
    <s v="Haryana"/>
    <s v="Gurugram"/>
    <x v="2"/>
    <x v="12"/>
    <s v="Smart Machines 853"/>
    <x v="0"/>
    <n v="4"/>
    <n v="1831"/>
    <n v="0"/>
    <n v="7324"/>
    <n v="7324"/>
    <n v="4179.63"/>
    <n v="0.42932413981430911"/>
    <n v="3144.37"/>
    <n v="3144.37"/>
    <x v="0"/>
    <x v="0"/>
    <n v="95"/>
    <s v="Clean"/>
    <m/>
  </r>
  <r>
    <s v="ORD-2025-10510"/>
    <d v="2025-12-05T00:00:00"/>
    <x v="7"/>
    <x v="1"/>
    <d v="2025-05-14T00:00:00"/>
    <s v="CUST-7901"/>
    <s v="Neha Gupta"/>
    <x v="0"/>
    <x v="3"/>
    <s v="Gujarat"/>
    <s v="Ahmedabad"/>
    <x v="2"/>
    <x v="12"/>
    <s v="Classic Machines 599"/>
    <x v="1"/>
    <n v="8"/>
    <n v="3631.44"/>
    <n v="0.2"/>
    <n v="23241.22"/>
    <n v="23241.216"/>
    <n v="17220.900000000001"/>
    <n v="0.25903618812371948"/>
    <n v="6020.32"/>
    <n v="6020.3159999999989"/>
    <x v="0"/>
    <x v="0"/>
    <n v="-205"/>
    <s v="Invalid"/>
    <m/>
  </r>
  <r>
    <s v="ORD-2024-10511"/>
    <d v="2024-10-18T00:00:00"/>
    <x v="10"/>
    <x v="0"/>
    <d v="2024-10-21T00:00:00"/>
    <s v="CUST-9759"/>
    <s v="Aarav Sharma"/>
    <x v="0"/>
    <x v="2"/>
    <s v="Karnataka"/>
    <s v="Bengaluru"/>
    <x v="0"/>
    <x v="8"/>
    <s v="Pro Storage 373"/>
    <x v="0"/>
    <n v="2"/>
    <n v="4238.51"/>
    <n v="0"/>
    <n v="8477.02"/>
    <n v="8477.02"/>
    <n v="6884.96"/>
    <n v="0.18780892341884298"/>
    <n v="1592.06"/>
    <n v="1592.0600000000004"/>
    <x v="0"/>
    <x v="0"/>
    <n v="3"/>
    <s v="Clean"/>
    <m/>
  </r>
  <r>
    <s v="ORD-2024-10512"/>
    <d v="2024-10-23T00:00:00"/>
    <x v="10"/>
    <x v="0"/>
    <d v="2024-10-26T00:00:00"/>
    <s v="CUST-7232"/>
    <s v="Sneha Kapoor"/>
    <x v="0"/>
    <x v="3"/>
    <s v="Madhya Pradesh"/>
    <s v="Indore"/>
    <x v="1"/>
    <x v="10"/>
    <s v="Smart Bookcases 920"/>
    <x v="3"/>
    <n v="9"/>
    <n v="544.27"/>
    <n v="0.25"/>
    <n v="3673.82"/>
    <n v="3673.8225000000002"/>
    <n v="2088.15"/>
    <n v="0.43161380278987349"/>
    <n v="1585.67"/>
    <n v="1585.6725000000001"/>
    <x v="0"/>
    <x v="0"/>
    <n v="3"/>
    <s v="Clean"/>
    <m/>
  </r>
  <r>
    <s v="ORD-2025-10513"/>
    <d v="2025-03-02T00:00:00"/>
    <x v="11"/>
    <x v="1"/>
    <d v="2025-03-03T00:00:00"/>
    <s v="CUST-9943"/>
    <s v="Isha Nair"/>
    <x v="2"/>
    <x v="2"/>
    <s v="Kerala"/>
    <s v="Kochi"/>
    <x v="0"/>
    <x v="7"/>
    <s v="Pro Labels 849"/>
    <x v="0"/>
    <n v="2"/>
    <n v="4031.45"/>
    <n v="0.25"/>
    <n v="6047.17"/>
    <n v="6047.1749999999993"/>
    <n v="3368.79"/>
    <n v="0.44291508018206843"/>
    <n v="2678.38"/>
    <n v="2678.3849999999993"/>
    <x v="0"/>
    <x v="0"/>
    <n v="1"/>
    <s v="Clean"/>
    <m/>
  </r>
  <r>
    <s v="ORD-2025-10514"/>
    <d v="2025-06-27T00:00:00"/>
    <x v="2"/>
    <x v="1"/>
    <d v="2025-07-02T00:00:00"/>
    <s v="CUST-8993"/>
    <s v="Aarav Sharma"/>
    <x v="2"/>
    <x v="2"/>
    <s v="Kerala"/>
    <s v="Kochi"/>
    <x v="2"/>
    <x v="5"/>
    <s v="Prime Accessories 849"/>
    <x v="2"/>
    <n v="6"/>
    <n v="1099.49"/>
    <n v="0.1"/>
    <n v="6212.38"/>
    <n v="5937.246000000001"/>
    <n v="4088.46"/>
    <n v="0.31138780505304997"/>
    <n v="1848.79"/>
    <n v="1848.786000000001"/>
    <x v="0"/>
    <x v="0"/>
    <n v="5"/>
    <s v="Clean"/>
    <m/>
  </r>
  <r>
    <s v="ORD-2024-10515"/>
    <d v="2024-11-18T00:00:00"/>
    <x v="3"/>
    <x v="0"/>
    <d v="2024-11-22T00:00:00"/>
    <s v="CUST-7729"/>
    <s v="Karan Malhotra"/>
    <x v="3"/>
    <x v="2"/>
    <s v="Kerala"/>
    <s v="Kochi"/>
    <x v="2"/>
    <x v="5"/>
    <s v="Smart Accessories 388"/>
    <x v="3"/>
    <n v="6"/>
    <n v="3872.94"/>
    <n v="0.1"/>
    <n v="20913.88"/>
    <n v="20913.876"/>
    <n v="11684.68"/>
    <n v="0.44129533903710627"/>
    <n v="9229.2000000000007"/>
    <n v="9229.1959999999999"/>
    <x v="0"/>
    <x v="0"/>
    <n v="4"/>
    <s v="Clean"/>
    <m/>
  </r>
  <r>
    <s v="ORD-2025-10516"/>
    <d v="2025-04-11T00:00:00"/>
    <x v="5"/>
    <x v="1"/>
    <d v="2025-11-04T00:00:00"/>
    <s v="CUST-9986"/>
    <s v="Rahul Verma"/>
    <x v="2"/>
    <x v="0"/>
    <s v="Delhi"/>
    <s v="New Delhi"/>
    <x v="0"/>
    <x v="0"/>
    <s v="Classic Paper 752"/>
    <x v="3"/>
    <n v="1"/>
    <n v="4458.49"/>
    <n v="-7.0000000000000007E-2"/>
    <n v="3566.79"/>
    <n v="4770.5843000000004"/>
    <n v="2083.41"/>
    <m/>
    <n v="1483.38"/>
    <m/>
    <x v="0"/>
    <x v="0"/>
    <n v="207"/>
    <s v="Invalid"/>
    <m/>
  </r>
  <r>
    <s v="ORD-2024-10517"/>
    <d v="2024-09-28T00:00:00"/>
    <x v="9"/>
    <x v="0"/>
    <d v="2024-04-10T00:00:00"/>
    <s v="CUST-2731"/>
    <s v="Kabir Singh"/>
    <x v="3"/>
    <x v="0"/>
    <s v="Delhi"/>
    <s v="New Delhi"/>
    <x v="2"/>
    <x v="6"/>
    <s v="Classic Copiers 143"/>
    <x v="3"/>
    <n v="1"/>
    <n v="2233.1799999999998"/>
    <n v="0"/>
    <n v="2233.1799999999998"/>
    <n v="2233.1799999999998"/>
    <n v="1585.82"/>
    <n v="0.28988258895386843"/>
    <n v="647.36"/>
    <n v="647.3599999999999"/>
    <x v="3"/>
    <x v="2"/>
    <n v="-171"/>
    <s v="Invalid"/>
    <m/>
  </r>
  <r>
    <s v="ORD-2025-10518"/>
    <d v="2025-05-25T00:00:00"/>
    <x v="4"/>
    <x v="1"/>
    <d v="2025-05-27T00:00:00"/>
    <s v="CUST-4235"/>
    <s v="Rahul Verma"/>
    <x v="0"/>
    <x v="1"/>
    <s v="Odisha"/>
    <s v="Bhubaneswar"/>
    <x v="1"/>
    <x v="3"/>
    <s v="Basic Furnishings 386"/>
    <x v="0"/>
    <n v="7"/>
    <n v="2123.2800000000002"/>
    <n v="0.2"/>
    <n v="11890.37"/>
    <n v="11890.368000000002"/>
    <n v="9234.5300000000007"/>
    <n v="0.22336045444514427"/>
    <n v="2655.84"/>
    <n v="2655.8380000000016"/>
    <x v="1"/>
    <x v="2"/>
    <n v="2"/>
    <s v="Clean"/>
    <m/>
  </r>
  <r>
    <s v="ORD-2025-10519"/>
    <d v="2025-04-30T00:00:00"/>
    <x v="5"/>
    <x v="1"/>
    <d v="2025-04-26T00:00:00"/>
    <s v="CUST-3377"/>
    <s v="Diya Patel"/>
    <x v="2"/>
    <x v="1"/>
    <s v="Odisha"/>
    <s v="Bhubaneswar"/>
    <x v="1"/>
    <x v="1"/>
    <s v="Classic Tables 592"/>
    <x v="2"/>
    <n v="7"/>
    <n v="1604.13"/>
    <n v="0.25"/>
    <n v="8421.68"/>
    <n v="8421.682499999999"/>
    <n v="6534.47"/>
    <n v="0.22408972316398759"/>
    <n v="1887.21"/>
    <n v="1887.2124999999987"/>
    <x v="0"/>
    <x v="1"/>
    <n v="-4"/>
    <s v="Invalid"/>
    <m/>
  </r>
  <r>
    <s v="ORD-2025-10520"/>
    <d v="2025-03-07T00:00:00"/>
    <x v="11"/>
    <x v="1"/>
    <d v="2025-07-07T00:00:00"/>
    <s v="CUST-3258"/>
    <s v="Priya Menon"/>
    <x v="0"/>
    <x v="0"/>
    <s v="Uttar Pradesh"/>
    <s v="Noida"/>
    <x v="1"/>
    <x v="1"/>
    <s v="Pro Tables 412"/>
    <x v="3"/>
    <n v="4"/>
    <n v="4365.21"/>
    <n v="0.2"/>
    <n v="13968.67"/>
    <n v="13968.672"/>
    <n v="8857.58"/>
    <n v="0.36589677243477409"/>
    <n v="5111.09"/>
    <n v="5111.0920000000006"/>
    <x v="2"/>
    <x v="1"/>
    <n v="122"/>
    <s v="Clean"/>
    <m/>
  </r>
  <r>
    <s v="ORD-2024-10521"/>
    <d v="2024-07-16T00:00:00"/>
    <x v="0"/>
    <x v="0"/>
    <d v="2024-07-23T00:00:00"/>
    <s v="CUST-2155"/>
    <s v="Aarav Sharma"/>
    <x v="3"/>
    <x v="2"/>
    <s v="Karnataka"/>
    <s v="Bengaluru"/>
    <x v="2"/>
    <x v="12"/>
    <s v="Prime Machines 393"/>
    <x v="1"/>
    <n v="1"/>
    <n v="1695.91"/>
    <n v="0.05"/>
    <n v="1611.11"/>
    <n v="1611.1144999999999"/>
    <n v="895.15"/>
    <n v="0.44439082386757739"/>
    <n v="715.96"/>
    <n v="715.96449999999993"/>
    <x v="0"/>
    <x v="0"/>
    <n v="7"/>
    <s v="Clean"/>
    <m/>
  </r>
  <r>
    <s v="ORD-2025-10522"/>
    <d v="2025-03-25T00:00:00"/>
    <x v="11"/>
    <x v="1"/>
    <d v="2025-01-04T00:00:00"/>
    <s v="CUST-8012"/>
    <s v="Diya Patel"/>
    <x v="0"/>
    <x v="0"/>
    <s v="Punjab"/>
    <s v="Ludhiana"/>
    <x v="0"/>
    <x v="7"/>
    <s v="Classic Labels 776"/>
    <x v="0"/>
    <n v="6"/>
    <n v="2192.11"/>
    <n v="0.05"/>
    <n v="12495.03"/>
    <n v="12495.027"/>
    <n v="9184.52"/>
    <n v="0.26494596610315446"/>
    <n v="3310.51"/>
    <n v="3310.5069999999996"/>
    <x v="0"/>
    <x v="0"/>
    <n v="-80"/>
    <s v="Invalid"/>
    <m/>
  </r>
  <r>
    <s v="ORD-2025-10523"/>
    <d v="2025-02-28T00:00:00"/>
    <x v="6"/>
    <x v="1"/>
    <d v="2025-08-03T00:00:00"/>
    <s v="CUST-2917"/>
    <s v="Neha Gupta"/>
    <x v="1"/>
    <x v="1"/>
    <s v="Jharkhand"/>
    <s v="Ranchi"/>
    <x v="2"/>
    <x v="11"/>
    <s v="Max Phones 612"/>
    <x v="2"/>
    <n v="9"/>
    <n v="3670.54"/>
    <n v="0"/>
    <n v="33034.86"/>
    <n v="33034.86"/>
    <n v="24539.83"/>
    <n v="0.25715350390466307"/>
    <n v="8495.0300000000007"/>
    <n v="8495.0299999999988"/>
    <x v="0"/>
    <x v="0"/>
    <n v="156"/>
    <s v="Clean"/>
    <m/>
  </r>
  <r>
    <s v="ORD-2024-10524"/>
    <d v="2024-02-04T00:00:00"/>
    <x v="6"/>
    <x v="0"/>
    <d v="2024-03-04T00:00:00"/>
    <s v="CUST-4653"/>
    <s v="Kabir Singh"/>
    <x v="3"/>
    <x v="3"/>
    <s v="Goa"/>
    <s v="Panaji"/>
    <x v="0"/>
    <x v="0"/>
    <s v="Basic Paper 315"/>
    <x v="0"/>
    <n v="2"/>
    <n v="2902.63"/>
    <n v="0"/>
    <n v="5805.26"/>
    <n v="5805.26"/>
    <n v="4654.3599999999997"/>
    <n v="0.19825124111581574"/>
    <n v="1150.9000000000001"/>
    <n v="1150.9000000000005"/>
    <x v="0"/>
    <x v="2"/>
    <n v="29"/>
    <s v="Clean"/>
    <m/>
  </r>
  <r>
    <s v="ORD-2024-10525"/>
    <d v="2024-11-30T00:00:00"/>
    <x v="3"/>
    <x v="0"/>
    <d v="2024-01-12T00:00:00"/>
    <s v="CUST-3311"/>
    <s v="Ananya Rao"/>
    <x v="2"/>
    <x v="3"/>
    <s v="Gujarat"/>
    <s v="Ahmedabad"/>
    <x v="1"/>
    <x v="4"/>
    <s v="Basic Chairs 333"/>
    <x v="2"/>
    <n v="9"/>
    <n v="4207.3599999999997"/>
    <n v="0.1"/>
    <n v="34079.620000000003"/>
    <n v="34079.616000000002"/>
    <n v="21871.39"/>
    <n v="0.35822663025311091"/>
    <n v="12208.23"/>
    <n v="12208.226000000002"/>
    <x v="0"/>
    <x v="0"/>
    <n v="-323"/>
    <s v="Invalid"/>
    <m/>
  </r>
  <r>
    <s v="ORD-2024-10526"/>
    <d v="2024-10-17T00:00:00"/>
    <x v="10"/>
    <x v="0"/>
    <d v="2024-10-17T00:00:00"/>
    <s v="CUST-2924"/>
    <s v="Priya Menon"/>
    <x v="3"/>
    <x v="1"/>
    <s v="West Bengal"/>
    <s v="Kolkata"/>
    <x v="1"/>
    <x v="4"/>
    <s v="Prime Chairs 215"/>
    <x v="3"/>
    <n v="5"/>
    <n v="2524.4"/>
    <n v="0.1"/>
    <n v="11359.8"/>
    <n v="11359.800000000001"/>
    <n v="7062.44"/>
    <n v="0.37829539252451638"/>
    <n v="4297.3599999999997"/>
    <n v="4297.3600000000015"/>
    <x v="0"/>
    <x v="0"/>
    <n v="0"/>
    <s v="Clean"/>
    <m/>
  </r>
  <r>
    <s v="ORD-2025-10527"/>
    <d v="2025-07-18T00:00:00"/>
    <x v="0"/>
    <x v="1"/>
    <d v="2025-07-21T00:00:00"/>
    <s v="CUST-7198"/>
    <s v="Priya Menon"/>
    <x v="0"/>
    <x v="1"/>
    <s v="Odisha"/>
    <s v="Bhubaneswar"/>
    <x v="1"/>
    <x v="1"/>
    <s v="Elite Tables 815"/>
    <x v="0"/>
    <n v="4"/>
    <n v="284.04000000000002"/>
    <n v="0"/>
    <n v="908.93"/>
    <n v="1136.1600000000001"/>
    <n v="572.08000000000004"/>
    <n v="0.49647936910294327"/>
    <n v="336.85"/>
    <n v="564.08000000000004"/>
    <x v="0"/>
    <x v="0"/>
    <n v="3"/>
    <s v="Clean"/>
    <m/>
  </r>
  <r>
    <s v="ORD-2025-10528"/>
    <d v="2025-01-10T00:00:00"/>
    <x v="8"/>
    <x v="1"/>
    <d v="2025-05-10T00:00:00"/>
    <s v="CUST-3419"/>
    <s v="Aditi Sen"/>
    <x v="3"/>
    <x v="0"/>
    <s v="Haryana"/>
    <s v="Gurugram"/>
    <x v="0"/>
    <x v="0"/>
    <s v="Basic Paper 388"/>
    <x v="2"/>
    <n v="5"/>
    <n v="3247.56"/>
    <n v="0.15"/>
    <n v="13802.13"/>
    <n v="13802.13"/>
    <n v="10075.93"/>
    <n v="0.26997282303528508"/>
    <n v="3726.2"/>
    <n v="3726.1999999999989"/>
    <x v="0"/>
    <x v="0"/>
    <n v="120"/>
    <s v="Clean"/>
    <m/>
  </r>
  <r>
    <s v="ORD-2024-10529"/>
    <d v="2024-07-10T00:00:00"/>
    <x v="0"/>
    <x v="0"/>
    <d v="2024-09-10T00:00:00"/>
    <s v="CUST-2390"/>
    <s v="Diya Patel"/>
    <x v="0"/>
    <x v="2"/>
    <s v="Tamil Nadu"/>
    <s v="Chennai"/>
    <x v="0"/>
    <x v="9"/>
    <s v="Eco Binders 855"/>
    <x v="3"/>
    <n v="9"/>
    <n v="3457.09"/>
    <n v="0.05"/>
    <n v="29558.12"/>
    <n v="29558.119500000001"/>
    <n v="21302.13"/>
    <n v="0.27931376013281223"/>
    <n v="8255.99"/>
    <n v="8255.9894999999997"/>
    <x v="2"/>
    <x v="2"/>
    <n v="62"/>
    <s v="Clean"/>
    <m/>
  </r>
  <r>
    <s v="ORD-2024-10530"/>
    <d v="2024-06-02T00:00:00"/>
    <x v="2"/>
    <x v="0"/>
    <d v="2024-08-02T00:00:00"/>
    <s v="CUST-3362"/>
    <s v="Karan Malhotra"/>
    <x v="0"/>
    <x v="1"/>
    <s v="Jharkhand"/>
    <s v="Ranchi"/>
    <x v="1"/>
    <x v="10"/>
    <s v="Classic Bookcases 947"/>
    <x v="0"/>
    <n v="9"/>
    <n v="1822.25"/>
    <n v="0"/>
    <n v="16400.25"/>
    <n v="16400.25"/>
    <n v="12146.96"/>
    <n v="0.25934299782015524"/>
    <n v="4253.29"/>
    <n v="4253.2900000000009"/>
    <x v="0"/>
    <x v="0"/>
    <n v="61"/>
    <s v="Clean"/>
    <m/>
  </r>
  <r>
    <s v="ORD-2025-10531"/>
    <d v="2025-05-30T00:00:00"/>
    <x v="4"/>
    <x v="1"/>
    <d v="2025-01-06T00:00:00"/>
    <s v="CUST-8177"/>
    <s v="Rahul Verma"/>
    <x v="3"/>
    <x v="2"/>
    <s v="Tamil Nadu"/>
    <s v="Chennai"/>
    <x v="0"/>
    <x v="9"/>
    <s v="Eco Binders 352"/>
    <x v="3"/>
    <n v="9"/>
    <n v="1994.51"/>
    <n v="0.05"/>
    <n v="17053.060000000001"/>
    <n v="17053.0605"/>
    <n v="10742.38"/>
    <n v="0.37006146198801093"/>
    <n v="6310.68"/>
    <n v="6310.6805000000004"/>
    <x v="0"/>
    <x v="0"/>
    <n v="-144"/>
    <s v="Invalid"/>
    <m/>
  </r>
  <r>
    <s v="ORD-2024-10532"/>
    <d v="2024-01-08T00:00:00"/>
    <x v="8"/>
    <x v="0"/>
    <d v="2024-08-08T00:00:00"/>
    <s v="CUST-6357"/>
    <s v="Diya Patel"/>
    <x v="1"/>
    <x v="3"/>
    <s v="Maharashtra"/>
    <s v="Mumbai"/>
    <x v="0"/>
    <x v="8"/>
    <s v="Pro Storage 364"/>
    <x v="4"/>
    <n v="1"/>
    <n v="442.97"/>
    <n v="0.1"/>
    <n v="398.67"/>
    <n v="398.67300000000006"/>
    <n v="311.66000000000003"/>
    <n v="0.21825656615822997"/>
    <n v="87.01"/>
    <n v="87.013000000000034"/>
    <x v="0"/>
    <x v="0"/>
    <n v="213"/>
    <s v="Warning"/>
    <m/>
  </r>
  <r>
    <s v="ORD-2025-10533"/>
    <d v="2025-05-10T00:00:00"/>
    <x v="4"/>
    <x v="1"/>
    <d v="2025-10-10T00:00:00"/>
    <s v="CUST-7690"/>
    <s v="Priya Menon"/>
    <x v="2"/>
    <x v="1"/>
    <s v="Assam"/>
    <s v="Guwahati"/>
    <x v="1"/>
    <x v="1"/>
    <s v="Classic Tables 213"/>
    <x v="0"/>
    <n v="9"/>
    <n v="2089.14"/>
    <n v="0.05"/>
    <n v="17862.150000000001"/>
    <n v="17862.146999999997"/>
    <n v="9892.2099999999991"/>
    <n v="0.44619143488182017"/>
    <n v="7969.94"/>
    <n v="7969.9369999999981"/>
    <x v="3"/>
    <x v="1"/>
    <n v="153"/>
    <s v="Clean"/>
    <m/>
  </r>
  <r>
    <s v="ORD-2024-10534"/>
    <d v="2024-08-25T00:00:00"/>
    <x v="1"/>
    <x v="0"/>
    <d v="2024-01-09T00:00:00"/>
    <s v="CUST-4487"/>
    <s v="Isha Nair"/>
    <x v="3"/>
    <x v="0"/>
    <s v="Rajasthan"/>
    <s v="Jaipur"/>
    <x v="1"/>
    <x v="1"/>
    <s v="Smart Tables 659"/>
    <x v="1"/>
    <n v="6"/>
    <n v="481.3"/>
    <n v="0.25"/>
    <n v="2165.85"/>
    <n v="2165.8500000000004"/>
    <n v="2124.48"/>
    <n v="1.91010457787937E-2"/>
    <n v="430.45"/>
    <n v="41.370000000000346"/>
    <x v="0"/>
    <x v="0"/>
    <n v="-229"/>
    <s v="Invalid"/>
    <m/>
  </r>
  <r>
    <s v="ORD-2025-10535"/>
    <d v="2025-04-27T00:00:00"/>
    <x v="5"/>
    <x v="1"/>
    <d v="2025-05-05T00:00:00"/>
    <s v="CUST-8204"/>
    <s v="Rohan Mehta"/>
    <x v="3"/>
    <x v="1"/>
    <s v="Bihar"/>
    <s v="Patna"/>
    <x v="2"/>
    <x v="5"/>
    <s v="Classic Accessories 325"/>
    <x v="0"/>
    <n v="4"/>
    <n v="3963.39"/>
    <n v="0.1"/>
    <n v="14268.2"/>
    <n v="14268.204"/>
    <n v="11705.3"/>
    <n v="0.17962344805274724"/>
    <n v="2562.9"/>
    <n v="2562.9040000000005"/>
    <x v="2"/>
    <x v="2"/>
    <n v="8"/>
    <s v="Clean"/>
    <m/>
  </r>
  <r>
    <s v="ORD-2024-10536"/>
    <d v="2024-05-19T00:00:00"/>
    <x v="4"/>
    <x v="0"/>
    <d v="2024-05-21T00:00:00"/>
    <s v="CUST-1729"/>
    <s v="Diya Patel"/>
    <x v="1"/>
    <x v="3"/>
    <s v="Maharashtra"/>
    <s v="Mumbai"/>
    <x v="2"/>
    <x v="6"/>
    <s v="Eco Copiers 243"/>
    <x v="2"/>
    <n v="3"/>
    <n v="4000.98"/>
    <n v="0.2"/>
    <n v="9602.35"/>
    <n v="9602.3520000000008"/>
    <n v="7387.57"/>
    <n v="0.23064994909580494"/>
    <n v="2214.7800000000002"/>
    <n v="2214.7820000000011"/>
    <x v="0"/>
    <x v="0"/>
    <n v="2"/>
    <s v="Clean"/>
    <m/>
  </r>
  <r>
    <s v="ORD-2025-10537"/>
    <d v="2025-10-04T00:00:00"/>
    <x v="10"/>
    <x v="1"/>
    <d v="2025-04-17T00:00:00"/>
    <s v="CUST-4269"/>
    <s v="Ananya Rao"/>
    <x v="1"/>
    <x v="3"/>
    <s v="Rajasthan"/>
    <s v="Udaipur"/>
    <x v="1"/>
    <x v="4"/>
    <s v="Elite Chairs 777"/>
    <x v="2"/>
    <n v="7"/>
    <n v="3788.9"/>
    <n v="0.25"/>
    <n v="19891.72"/>
    <n v="19891.724999999999"/>
    <n v="12295.76"/>
    <n v="0.38186557475533162"/>
    <n v="7595.96"/>
    <n v="7595.9649999999983"/>
    <x v="3"/>
    <x v="1"/>
    <n v="-170"/>
    <s v="Invalid"/>
    <m/>
  </r>
  <r>
    <s v="ORD-2024-10538"/>
    <d v="2024-01-22T00:00:00"/>
    <x v="8"/>
    <x v="0"/>
    <d v="2024-01-30T00:00:00"/>
    <s v="CUST-1370"/>
    <s v="Ananya Rao"/>
    <x v="1"/>
    <x v="0"/>
    <s v="Haryana"/>
    <s v="Gurugram"/>
    <x v="0"/>
    <x v="2"/>
    <s v="Classic Art 772"/>
    <x v="1"/>
    <n v="3"/>
    <n v="676.37"/>
    <n v="0.05"/>
    <n v="1927.65"/>
    <n v="1927.6545000000001"/>
    <n v="1460.6"/>
    <n v="0.24229160360427668"/>
    <n v="467.05"/>
    <n v="467.05450000000019"/>
    <x v="3"/>
    <x v="1"/>
    <n v="8"/>
    <s v="Clean"/>
    <m/>
  </r>
  <r>
    <s v="ORD-2024-10539"/>
    <d v="2024-09-25T00:00:00"/>
    <x v="9"/>
    <x v="0"/>
    <d v="2024-01-10T00:00:00"/>
    <s v="CUST-5381"/>
    <s v="Diya Patel"/>
    <x v="1"/>
    <x v="1"/>
    <s v="Jharkhand"/>
    <s v="Ranchi"/>
    <x v="1"/>
    <x v="1"/>
    <s v="Elite Tables 888"/>
    <x v="0"/>
    <n v="9"/>
    <n v="3908.6"/>
    <n v="0.15"/>
    <n v="29900.79"/>
    <n v="29900.79"/>
    <n v="24650.67"/>
    <n v="0.17558465846554563"/>
    <n v="5250.12"/>
    <n v="5250.1200000000026"/>
    <x v="0"/>
    <x v="0"/>
    <n v="-259"/>
    <s v="Invalid"/>
    <m/>
  </r>
  <r>
    <s v="ORD-2025-10540"/>
    <d v="2025-07-04T00:00:00"/>
    <x v="0"/>
    <x v="1"/>
    <d v="2025-04-07T00:00:00"/>
    <s v="CUST-3694"/>
    <s v="Mira Das"/>
    <x v="1"/>
    <x v="2"/>
    <s v="Tamil Nadu"/>
    <s v="Chennai"/>
    <x v="1"/>
    <x v="4"/>
    <s v="Classic Chairs 666"/>
    <x v="3"/>
    <n v="3"/>
    <n v="705.35"/>
    <n v="0.1"/>
    <n v="1904.45"/>
    <n v="1904.4450000000002"/>
    <n v="1316.54"/>
    <n v="0.30870148520960183"/>
    <n v="587.91"/>
    <n v="587.9050000000002"/>
    <x v="0"/>
    <x v="1"/>
    <n v="-88"/>
    <s v="Invalid"/>
    <m/>
  </r>
  <r>
    <s v="ORD-2024-10541"/>
    <d v="2024-02-26T00:00:00"/>
    <x v="6"/>
    <x v="0"/>
    <d v="2024-02-23T00:00:00"/>
    <s v="CUST-7563"/>
    <s v="Kabir Singh"/>
    <x v="0"/>
    <x v="3"/>
    <s v="Gujarat"/>
    <s v="Ahmedabad"/>
    <x v="1"/>
    <x v="3"/>
    <s v="Basic Furnishings 350"/>
    <x v="3"/>
    <n v="7"/>
    <n v="3852.07"/>
    <n v="0.2"/>
    <n v="21571.59"/>
    <n v="21571.592000000004"/>
    <n v="17118.07"/>
    <n v="0.20645309813017063"/>
    <n v="4453.5200000000004"/>
    <n v="4453.5220000000045"/>
    <x v="0"/>
    <x v="0"/>
    <n v="-3"/>
    <s v="Invalid"/>
    <m/>
  </r>
  <r>
    <s v="ORD-2025-10542"/>
    <d v="2025-08-07T00:00:00"/>
    <x v="1"/>
    <x v="1"/>
    <d v="2025-09-07T00:00:00"/>
    <s v="CUST-4188"/>
    <s v="Sneha Kapoor"/>
    <x v="0"/>
    <x v="3"/>
    <s v="Maharashtra"/>
    <s v="Mumbai"/>
    <x v="2"/>
    <x v="6"/>
    <s v="Elite Copiers 831"/>
    <x v="1"/>
    <n v="3"/>
    <n v="2880.56"/>
    <n v="0"/>
    <n v="8641.68"/>
    <n v="8641.68"/>
    <n v="5747.09"/>
    <n v="0.33495686024013849"/>
    <n v="2894.59"/>
    <n v="2894.59"/>
    <x v="0"/>
    <x v="2"/>
    <n v="31"/>
    <s v="Clean"/>
    <m/>
  </r>
  <r>
    <s v="ORD-2024-10543"/>
    <d v="2024-09-17T00:00:00"/>
    <x v="9"/>
    <x v="0"/>
    <d v="2024-09-23T00:00:00"/>
    <s v="CUST-9376"/>
    <s v="Rahul Verma"/>
    <x v="3"/>
    <x v="2"/>
    <s v="Kerala"/>
    <s v="Kochi"/>
    <x v="1"/>
    <x v="10"/>
    <s v="Eco Bookcases 759"/>
    <x v="0"/>
    <n v="3"/>
    <n v="4067.62"/>
    <n v="0.2"/>
    <n v="9988.5300000000007"/>
    <n v="9762.2880000000005"/>
    <n v="8368.24"/>
    <n v="0.14279931098119628"/>
    <n v="1394.05"/>
    <n v="1394.0480000000007"/>
    <x v="0"/>
    <x v="1"/>
    <n v="6"/>
    <s v="Clean"/>
    <m/>
  </r>
  <r>
    <s v="ORD-2024-10544"/>
    <d v="2024-07-14T00:00:00"/>
    <x v="0"/>
    <x v="0"/>
    <d v="2024-07-20T00:00:00"/>
    <s v="CUST-9094"/>
    <s v="Mira Das"/>
    <x v="0"/>
    <x v="1"/>
    <s v="Bihar"/>
    <s v="Patna"/>
    <x v="2"/>
    <x v="6"/>
    <s v="Max Copiers 440"/>
    <x v="1"/>
    <n v="1"/>
    <n v="492.67"/>
    <n v="0.15"/>
    <n v="418.77"/>
    <n v="418.76949999999999"/>
    <n v="313.72000000000003"/>
    <n v="0.25085279610859906"/>
    <n v="105.05"/>
    <n v="105.04949999999997"/>
    <x v="0"/>
    <x v="0"/>
    <n v="6"/>
    <s v="Clean"/>
    <m/>
  </r>
  <r>
    <s v="ORD-2025-10545"/>
    <d v="2025-01-29T00:00:00"/>
    <x v="8"/>
    <x v="1"/>
    <d v="2025-02-05T00:00:00"/>
    <s v="CUST-2366"/>
    <s v="Ananya Rao"/>
    <x v="0"/>
    <x v="2"/>
    <s v="Kerala"/>
    <s v="Kochi"/>
    <x v="0"/>
    <x v="2"/>
    <s v="Smart Art 201"/>
    <x v="1"/>
    <n v="8"/>
    <n v="3643.62"/>
    <n v="0.25"/>
    <n v="21861.72"/>
    <n v="21861.72"/>
    <n v="18464.34"/>
    <n v="0.1554031430280875"/>
    <n v="3397.38"/>
    <n v="3397.380000000001"/>
    <x v="0"/>
    <x v="1"/>
    <n v="7"/>
    <s v="Clean"/>
    <m/>
  </r>
  <r>
    <s v="ORD-2024-10546"/>
    <d v="2024-05-27T00:00:00"/>
    <x v="4"/>
    <x v="0"/>
    <d v="2024-05-30T00:00:00"/>
    <s v="CUST-7168"/>
    <s v="Kabir Singh"/>
    <x v="1"/>
    <x v="1"/>
    <s v="Jharkhand"/>
    <s v="Ranchi"/>
    <x v="0"/>
    <x v="8"/>
    <s v="Classic Storage 755"/>
    <x v="1"/>
    <n v="7"/>
    <n v="2900.86"/>
    <n v="0.15"/>
    <n v="17260.12"/>
    <n v="17260.116999999998"/>
    <n v="13513.51"/>
    <n v="0.21706730029697935"/>
    <n v="3746.61"/>
    <n v="3746.6069999999982"/>
    <x v="0"/>
    <x v="0"/>
    <n v="3"/>
    <s v="Clean"/>
    <m/>
  </r>
  <r>
    <s v="ORD-2025-10547"/>
    <d v="2025-08-14T00:00:00"/>
    <x v="1"/>
    <x v="1"/>
    <d v="2025-08-22T00:00:00"/>
    <s v="CUST-8157"/>
    <s v="Arjun Bose"/>
    <x v="2"/>
    <x v="3"/>
    <s v="Gujarat"/>
    <s v="Ahmedabad"/>
    <x v="0"/>
    <x v="0"/>
    <s v="Prime Paper 143"/>
    <x v="2"/>
    <n v="5"/>
    <n v="2567.37"/>
    <n v="0.15"/>
    <n v="10911.32"/>
    <n v="10911.322499999998"/>
    <n v="6966.44"/>
    <n v="0.36154027158486052"/>
    <n v="4395.17"/>
    <n v="3944.8824999999988"/>
    <x v="0"/>
    <x v="0"/>
    <n v="8"/>
    <s v="Clean"/>
    <m/>
  </r>
  <r>
    <s v="ORD-2024-10548"/>
    <d v="2024-05-16T00:00:00"/>
    <x v="4"/>
    <x v="0"/>
    <d v="2024-05-23T00:00:00"/>
    <s v="CUST-9146"/>
    <s v="Neha Gupta"/>
    <x v="1"/>
    <x v="0"/>
    <s v="Uttar Pradesh"/>
    <s v="Noida"/>
    <x v="2"/>
    <x v="6"/>
    <s v="Max Copiers 607"/>
    <x v="3"/>
    <n v="9"/>
    <n v="3722.09"/>
    <n v="0.1"/>
    <n v="30148.93"/>
    <n v="30148.929"/>
    <n v="25155.07"/>
    <n v="0.16563968159532302"/>
    <n v="4993.8599999999997"/>
    <n v="4993.8590000000004"/>
    <x v="0"/>
    <x v="0"/>
    <n v="7"/>
    <s v="Clean"/>
    <m/>
  </r>
  <r>
    <s v="ORD-2024-10549"/>
    <d v="2024-05-29T00:00:00"/>
    <x v="4"/>
    <x v="0"/>
    <d v="2024-05-29T00:00:00"/>
    <s v="CUST-5129"/>
    <s v="Rohan Mehta"/>
    <x v="2"/>
    <x v="1"/>
    <s v="Bihar"/>
    <s v="Patna"/>
    <x v="1"/>
    <x v="10"/>
    <s v="Prime Bookcases 402"/>
    <x v="1"/>
    <n v="1"/>
    <n v="1072.01"/>
    <n v="0"/>
    <n v="1072.01"/>
    <n v="1072.01"/>
    <n v="852.62"/>
    <n v="0.20465294167032022"/>
    <n v="219.39"/>
    <n v="219.39"/>
    <x v="2"/>
    <x v="1"/>
    <n v="0"/>
    <s v="Clean"/>
    <m/>
  </r>
  <r>
    <s v="ORD-2025-10550"/>
    <d v="2025-10-11T00:00:00"/>
    <x v="10"/>
    <x v="1"/>
    <d v="2025-10-13T00:00:00"/>
    <s v="CUST-6028"/>
    <s v="Mira Das"/>
    <x v="2"/>
    <x v="2"/>
    <s v="Telangana"/>
    <s v="Hyderabad"/>
    <x v="0"/>
    <x v="2"/>
    <s v="Pro Art 287"/>
    <x v="0"/>
    <n v="3"/>
    <n v="3804.27"/>
    <n v="0.1"/>
    <n v="10271.530000000001"/>
    <n v="10271.529"/>
    <n v="8272.24"/>
    <n v="0.19464375751652949"/>
    <n v="1999.29"/>
    <n v="1999.2890000000007"/>
    <x v="0"/>
    <x v="0"/>
    <n v="2"/>
    <s v="Clean"/>
    <m/>
  </r>
  <r>
    <s v="ORD-2024-10551"/>
    <d v="2024-02-08T00:00:00"/>
    <x v="6"/>
    <x v="0"/>
    <d v="2024-08-10T00:00:00"/>
    <s v="CUST-8687"/>
    <s v="Mira Das"/>
    <x v="3"/>
    <x v="1"/>
    <s v="Odisha"/>
    <s v="Bhubaneswar"/>
    <x v="2"/>
    <x v="5"/>
    <s v="Max Accessories 591"/>
    <x v="3"/>
    <n v="6"/>
    <n v="2126.44"/>
    <n v="0.2"/>
    <n v="10206.91"/>
    <n v="10206.912"/>
    <n v="6764.53"/>
    <n v="0.33725988820125036"/>
    <n v="3442.38"/>
    <n v="3442.3820000000005"/>
    <x v="0"/>
    <x v="0"/>
    <n v="184"/>
    <s v="Clean"/>
    <m/>
  </r>
  <r>
    <s v="ORD-2024-10552"/>
    <d v="2024-02-27T00:00:00"/>
    <x v="6"/>
    <x v="0"/>
    <d v="2024-02-27T00:00:00"/>
    <s v="CUST-8172"/>
    <s v="Sneha Kapoor"/>
    <x v="0"/>
    <x v="1"/>
    <s v="Jharkhand"/>
    <s v="Ranchi"/>
    <x v="1"/>
    <x v="4"/>
    <s v="Elite Chairs 314"/>
    <x v="0"/>
    <n v="3"/>
    <n v="3148.09"/>
    <n v="0.15"/>
    <n v="8027.63"/>
    <n v="8027.6295"/>
    <n v="5496.09"/>
    <n v="0.31535330572991688"/>
    <n v="2531.54"/>
    <n v="2531.5394999999999"/>
    <x v="0"/>
    <x v="0"/>
    <n v="0"/>
    <s v="Clean"/>
    <m/>
  </r>
  <r>
    <s v="ORD-2025-10553"/>
    <d v="2025-01-24T00:00:00"/>
    <x v="8"/>
    <x v="1"/>
    <d v="2025-01-30T00:00:00"/>
    <s v="CUST-8861"/>
    <s v="Ananya Rao"/>
    <x v="2"/>
    <x v="1"/>
    <s v="West Bengal"/>
    <s v="Kolkata"/>
    <x v="2"/>
    <x v="6"/>
    <s v="Pro Copiers 246"/>
    <x v="3"/>
    <n v="8"/>
    <n v="312.52999999999997"/>
    <n v="0.7"/>
    <n v="1875.18"/>
    <n v="750.072"/>
    <n v="1579.17"/>
    <n v="-1.1053578856429784"/>
    <n v="296.01"/>
    <n v="-829.09800000000007"/>
    <x v="0"/>
    <x v="0"/>
    <n v="6"/>
    <s v="Clean"/>
    <m/>
  </r>
  <r>
    <s v="ORD-2025-10554"/>
    <d v="2025-04-25T00:00:00"/>
    <x v="5"/>
    <x v="1"/>
    <d v="2025-04-28T00:00:00"/>
    <s v="CUST-9241"/>
    <s v="Aarav Sharma"/>
    <x v="1"/>
    <x v="3"/>
    <s v="Gujarat"/>
    <s v="Ahmedabad"/>
    <x v="0"/>
    <x v="8"/>
    <s v="Pro Storage 128"/>
    <x v="2"/>
    <n v="9"/>
    <n v="1294.1099999999999"/>
    <n v="0.25"/>
    <n v="8735.24"/>
    <n v="8735.2425000000003"/>
    <n v="6620.07"/>
    <n v="0.24214239043735769"/>
    <n v="2115.17"/>
    <n v="2115.1725000000006"/>
    <x v="0"/>
    <x v="0"/>
    <n v="3"/>
    <s v="Clean"/>
    <m/>
  </r>
  <r>
    <s v="ORD-2024-10555"/>
    <d v="2024-12-10T00:00:00"/>
    <x v="7"/>
    <x v="0"/>
    <d v="2024-10-17T00:00:00"/>
    <s v="CUST-2126"/>
    <s v="Arjun Bose"/>
    <x v="0"/>
    <x v="4"/>
    <s v="Jharkhand"/>
    <s v="Ranchi"/>
    <x v="1"/>
    <x v="3"/>
    <s v="Prime Furnishings 892"/>
    <x v="3"/>
    <n v="4"/>
    <n v="1071.22"/>
    <n v="0.05"/>
    <n v="4070.64"/>
    <n v="4070.636"/>
    <n v="2831.62"/>
    <n v="0.30437897173807732"/>
    <n v="1239.02"/>
    <n v="1239.0160000000001"/>
    <x v="0"/>
    <x v="0"/>
    <n v="-54"/>
    <s v="Invalid/Warning"/>
    <m/>
  </r>
  <r>
    <s v="ORD-2025-10556"/>
    <d v="2025-04-02T00:00:00"/>
    <x v="5"/>
    <x v="1"/>
    <d v="2025-10-02T00:00:00"/>
    <s v="CUST-7513"/>
    <s v="Ananya Rao"/>
    <x v="1"/>
    <x v="2"/>
    <s v="Telangana"/>
    <s v="Hyderabad"/>
    <x v="0"/>
    <x v="8"/>
    <s v="Prime Storage 689"/>
    <x v="3"/>
    <n v="6"/>
    <n v="1042.8"/>
    <n v="0.05"/>
    <n v="5943.96"/>
    <n v="5943.9599999999991"/>
    <n v="3604.14"/>
    <n v="0.39364665980255581"/>
    <n v="2339.8200000000002"/>
    <n v="2339.8199999999993"/>
    <x v="0"/>
    <x v="0"/>
    <n v="183"/>
    <s v="Clean"/>
    <m/>
  </r>
  <r>
    <s v="ORD-2024-10557"/>
    <d v="2024-06-23T00:00:00"/>
    <x v="2"/>
    <x v="0"/>
    <d v="2024-06-29T00:00:00"/>
    <s v="CUST-1992"/>
    <s v="Neha Gupta"/>
    <x v="0"/>
    <x v="0"/>
    <s v="Haryana"/>
    <s v="Gurugram"/>
    <x v="1"/>
    <x v="1"/>
    <s v="Classic Tables 769"/>
    <x v="2"/>
    <n v="1"/>
    <n v="4426.66"/>
    <n v="0"/>
    <n v="4426.66"/>
    <n v="4426.66"/>
    <n v="3035.2"/>
    <n v="0.31433631677156143"/>
    <n v="1816.23"/>
    <n v="1391.46"/>
    <x v="0"/>
    <x v="2"/>
    <n v="6"/>
    <s v="Clean"/>
    <m/>
  </r>
  <r>
    <s v="ORD-2024-10558"/>
    <d v="2024-08-05T00:00:00"/>
    <x v="1"/>
    <x v="0"/>
    <d v="2024-05-14T00:00:00"/>
    <s v="CUST-8848"/>
    <s v="Vikram Iyer"/>
    <x v="3"/>
    <x v="0"/>
    <s v="Haryana"/>
    <s v="Gurugram"/>
    <x v="2"/>
    <x v="11"/>
    <s v="Prime Phones 503"/>
    <x v="2"/>
    <n v="9"/>
    <n v="3769.46"/>
    <n v="0.05"/>
    <n v="32228.880000000001"/>
    <n v="32228.882999999998"/>
    <n v="24971.360000000001"/>
    <n v="0.22518692317074712"/>
    <n v="7257.52"/>
    <n v="7257.5229999999974"/>
    <x v="0"/>
    <x v="1"/>
    <n v="-83"/>
    <s v="Invalid"/>
    <m/>
  </r>
  <r>
    <s v="ORD-2025-10559"/>
    <d v="2025-04-09T00:00:00"/>
    <x v="5"/>
    <x v="1"/>
    <d v="2025-09-04T00:00:00"/>
    <s v="CUST-9368"/>
    <s v="Aditi Sen"/>
    <x v="2"/>
    <x v="0"/>
    <s v="Punjab"/>
    <s v="Ludhiana"/>
    <x v="2"/>
    <x v="12"/>
    <s v="Basic Machines 136"/>
    <x v="2"/>
    <n v="8"/>
    <n v="3079.95"/>
    <n v="0.2"/>
    <n v="19711.68"/>
    <n v="19711.68"/>
    <n v="14461.8"/>
    <n v="0.26633346320557155"/>
    <n v="5249.88"/>
    <n v="5249.880000000001"/>
    <x v="0"/>
    <x v="0"/>
    <n v="148"/>
    <s v="Clean"/>
    <m/>
  </r>
  <r>
    <s v="ORD-2025-10560"/>
    <d v="2025-09-30T00:00:00"/>
    <x v="9"/>
    <x v="1"/>
    <d v="2025-07-10T00:00:00"/>
    <s v="CUST-6797"/>
    <s v="Diya Patel"/>
    <x v="2"/>
    <x v="1"/>
    <s v="Bihar"/>
    <s v="Patna"/>
    <x v="2"/>
    <x v="6"/>
    <s v="Basic Copiers 512"/>
    <x v="0"/>
    <n v="5"/>
    <n v="3277.82"/>
    <n v="0.1"/>
    <n v="14750.19"/>
    <n v="14750.190000000002"/>
    <n v="9482.58"/>
    <n v="0.35712150148574368"/>
    <n v="5267.61"/>
    <n v="5267.6100000000024"/>
    <x v="0"/>
    <x v="2"/>
    <n v="-82"/>
    <s v="Invalid"/>
    <m/>
  </r>
  <r>
    <s v="ORD-2024-10561"/>
    <d v="2024-01-16T00:00:00"/>
    <x v="8"/>
    <x v="0"/>
    <d v="2024-01-22T00:00:00"/>
    <s v="CUST-9333"/>
    <s v="Arjun Bose"/>
    <x v="0"/>
    <x v="3"/>
    <s v="Goa"/>
    <s v="Panaji"/>
    <x v="0"/>
    <x v="8"/>
    <s v="Smart Storage 767"/>
    <x v="3"/>
    <n v="4"/>
    <n v="282.52999999999997"/>
    <n v="0"/>
    <n v="1130.1199999999999"/>
    <n v="1130.1199999999999"/>
    <n v="848.62"/>
    <n v="0.249088592361873"/>
    <n v="281.5"/>
    <n v="281.49999999999989"/>
    <x v="0"/>
    <x v="1"/>
    <n v="6"/>
    <s v="Clean"/>
    <m/>
  </r>
  <r>
    <s v="ORD-2025-10562"/>
    <d v="2025-07-14T00:00:00"/>
    <x v="0"/>
    <x v="1"/>
    <d v="2025-07-18T00:00:00"/>
    <s v="CUST-6654"/>
    <s v="Aditi Sen"/>
    <x v="0"/>
    <x v="0"/>
    <s v="Punjab"/>
    <s v="Ludhiana"/>
    <x v="2"/>
    <x v="6"/>
    <s v="Eco Copiers 954"/>
    <x v="2"/>
    <n v="4"/>
    <n v="725.22"/>
    <n v="0"/>
    <n v="2900.88"/>
    <n v="2900.88"/>
    <n v="2391.85"/>
    <n v="0.17547433882132324"/>
    <n v="509.03"/>
    <n v="509.0300000000002"/>
    <x v="2"/>
    <x v="2"/>
    <n v="4"/>
    <s v="Clean"/>
    <m/>
  </r>
  <r>
    <s v="ORD-2024-10563"/>
    <d v="2024-10-05T00:00:00"/>
    <x v="10"/>
    <x v="0"/>
    <d v="2024-05-16T00:00:00"/>
    <s v="CUST-8622"/>
    <s v="Karan Malhotra"/>
    <x v="0"/>
    <x v="0"/>
    <s v="Punjab"/>
    <s v="Ludhiana"/>
    <x v="0"/>
    <x v="9"/>
    <s v="Elite Binders 143"/>
    <x v="1"/>
    <n v="7"/>
    <n v="121.54"/>
    <n v="0.2"/>
    <n v="680.62"/>
    <n v="680.62400000000014"/>
    <n v="463.49"/>
    <n v="0.31902195632243363"/>
    <n v="217.13"/>
    <n v="217.13400000000013"/>
    <x v="3"/>
    <x v="2"/>
    <n v="-142"/>
    <s v="Invalid"/>
    <m/>
  </r>
  <r>
    <s v="ORD-2024-10564"/>
    <d v="2024-05-06T00:00:00"/>
    <x v="4"/>
    <x v="0"/>
    <d v="2024-12-05T00:00:00"/>
    <s v="CUST-8776"/>
    <s v="Arjun Bose"/>
    <x v="2"/>
    <x v="3"/>
    <s v="Goa"/>
    <s v="Panaji"/>
    <x v="1"/>
    <x v="1"/>
    <s v="Classic Tables 560"/>
    <x v="3"/>
    <n v="9"/>
    <n v="790.97"/>
    <n v="0.2"/>
    <n v="5694.98"/>
    <n v="5694.9840000000004"/>
    <n v="4618.33"/>
    <n v="0.1890530333360024"/>
    <n v="1076.6500000000001"/>
    <n v="1076.6540000000005"/>
    <x v="2"/>
    <x v="1"/>
    <n v="213"/>
    <s v="Clean"/>
    <m/>
  </r>
  <r>
    <s v="ORD-2024-10565"/>
    <d v="2024-11-10T00:00:00"/>
    <x v="3"/>
    <x v="0"/>
    <d v="2024-11-14T00:00:00"/>
    <s v="CUST-9100"/>
    <s v="Sneha Kapoor"/>
    <x v="2"/>
    <x v="2"/>
    <s v="Andhra Pradesh"/>
    <s v="Vijayawada"/>
    <x v="1"/>
    <x v="1"/>
    <s v="Basic Tables 759"/>
    <x v="2"/>
    <n v="2"/>
    <n v="921.34"/>
    <n v="0.2"/>
    <n v="1474.14"/>
    <n v="1474.1440000000002"/>
    <n v="968.46"/>
    <n v="0.34303568715132315"/>
    <n v="505.68"/>
    <n v="505.6840000000002"/>
    <x v="0"/>
    <x v="0"/>
    <n v="4"/>
    <s v="Clean"/>
    <m/>
  </r>
  <r>
    <s v="ORD-2025-10566"/>
    <d v="2025-07-08T00:00:00"/>
    <x v="0"/>
    <x v="1"/>
    <d v="2025-08-13T00:00:00"/>
    <s v="CUST-5601"/>
    <s v="Mira Das"/>
    <x v="2"/>
    <x v="0"/>
    <s v="Delhi"/>
    <s v="New Delhi"/>
    <x v="2"/>
    <x v="11"/>
    <s v="Prime Phones 564"/>
    <x v="3"/>
    <n v="6"/>
    <n v="1921.86"/>
    <n v="0.2"/>
    <n v="9224.93"/>
    <n v="9224.9279999999999"/>
    <n v="7005.2"/>
    <n v="0.24062279944081949"/>
    <n v="2219.73"/>
    <n v="2219.7280000000001"/>
    <x v="1"/>
    <x v="1"/>
    <n v="36"/>
    <s v="Clean"/>
    <m/>
  </r>
  <r>
    <s v="ORD-2024-10567"/>
    <d v="2024-11-08T00:00:00"/>
    <x v="3"/>
    <x v="0"/>
    <d v="2024-08-19T00:00:00"/>
    <s v="CUST-5246"/>
    <s v="Sneha Kapoor"/>
    <x v="1"/>
    <x v="3"/>
    <s v="Maharashtra"/>
    <s v="Mumbai"/>
    <x v="0"/>
    <x v="0"/>
    <s v="Smart Paper 807"/>
    <x v="1"/>
    <n v="2"/>
    <n v="2617.89"/>
    <n v="0.1"/>
    <n v="4712.2"/>
    <n v="4712.2020000000002"/>
    <n v="3851.91"/>
    <n v="0.18256687637754077"/>
    <n v="860.29"/>
    <n v="860.29200000000037"/>
    <x v="3"/>
    <x v="2"/>
    <n v="-81"/>
    <s v="Invalid"/>
    <m/>
  </r>
  <r>
    <s v="ORD-2024-10568"/>
    <d v="2024-06-02T00:00:00"/>
    <x v="2"/>
    <x v="0"/>
    <d v="2024-10-02T00:00:00"/>
    <s v="CUST-3128"/>
    <s v="Arjun Bose"/>
    <x v="3"/>
    <x v="0"/>
    <s v="Uttar Pradesh"/>
    <s v="Noida"/>
    <x v="1"/>
    <x v="3"/>
    <s v="Pro Furnishings 108"/>
    <x v="1"/>
    <n v="1"/>
    <n v="1374.06"/>
    <n v="0.05"/>
    <n v="1305.3599999999999"/>
    <n v="1305.357"/>
    <n v="731.89"/>
    <n v="0.4393181328939133"/>
    <n v="573.47"/>
    <n v="573.46699999999998"/>
    <x v="0"/>
    <x v="0"/>
    <n v="122"/>
    <s v="Clean"/>
    <m/>
  </r>
  <r>
    <s v="ORD-2024-10569"/>
    <d v="2024-01-21T00:00:00"/>
    <x v="8"/>
    <x v="0"/>
    <d v="2024-01-24T00:00:00"/>
    <s v="CUST-4604"/>
    <s v="Kabir Singh"/>
    <x v="2"/>
    <x v="0"/>
    <s v="Punjab"/>
    <s v="Ludhiana"/>
    <x v="2"/>
    <x v="12"/>
    <s v="Classic Machines 522"/>
    <x v="1"/>
    <n v="1"/>
    <n v="3806.3"/>
    <n v="0.25"/>
    <n v="2854.73"/>
    <n v="2854.7250000000004"/>
    <n v="1968.12"/>
    <n v="0.31057457373302172"/>
    <n v="886.61"/>
    <n v="886.60500000000047"/>
    <x v="0"/>
    <x v="0"/>
    <n v="3"/>
    <s v="Clean"/>
    <m/>
  </r>
  <r>
    <s v="ORD-2025-10570"/>
    <d v="2025-09-08T00:00:00"/>
    <x v="9"/>
    <x v="1"/>
    <d v="2025-10-09T00:00:00"/>
    <s v="CUST-2586"/>
    <s v="Rahul Verma"/>
    <x v="3"/>
    <x v="3"/>
    <s v="Maharashtra"/>
    <s v="Mumbai"/>
    <x v="1"/>
    <x v="3"/>
    <s v="Elite Furnishings 822"/>
    <x v="3"/>
    <n v="6"/>
    <n v="3251.17"/>
    <n v="0.25"/>
    <n v="14630.26"/>
    <n v="14630.264999999999"/>
    <n v="11906.36"/>
    <n v="0.18618288868998606"/>
    <n v="2723.9"/>
    <n v="2723.9049999999988"/>
    <x v="1"/>
    <x v="2"/>
    <n v="31"/>
    <s v="Clean"/>
    <m/>
  </r>
  <r>
    <s v="ORD-2025-10571"/>
    <d v="2025-08-18T00:00:00"/>
    <x v="1"/>
    <x v="1"/>
    <d v="2025-08-22T00:00:00"/>
    <s v="CUST-6585"/>
    <s v="Arjun Bose"/>
    <x v="0"/>
    <x v="1"/>
    <s v="Jharkhand"/>
    <s v="Ranchi"/>
    <x v="1"/>
    <x v="3"/>
    <s v="Max Furnishings 647"/>
    <x v="0"/>
    <n v="3"/>
    <n v="3946.44"/>
    <n v="0.25"/>
    <n v="8879.49"/>
    <n v="8879.49"/>
    <n v="6344.57"/>
    <n v="0.28548035979543873"/>
    <n v="2534.92"/>
    <n v="2534.92"/>
    <x v="3"/>
    <x v="2"/>
    <n v="4"/>
    <s v="Clean"/>
    <m/>
  </r>
  <r>
    <s v="ORD-2025-10091"/>
    <d v="2025-08-24T00:00:00"/>
    <x v="1"/>
    <x v="1"/>
    <d v="2025-08-29T00:00:00"/>
    <s v="CUST-5909"/>
    <s v="Aarav Sharma"/>
    <x v="1"/>
    <x v="1"/>
    <s v="Bihar"/>
    <s v="Patna"/>
    <x v="2"/>
    <x v="6"/>
    <s v="Smart Copiers 556"/>
    <x v="2"/>
    <n v="3"/>
    <n v="3703.96"/>
    <n v="0.15"/>
    <n v="9549.44"/>
    <n v="9445.098"/>
    <n v="5586.28"/>
    <n v="0.40855245758170006"/>
    <n v="3858.82"/>
    <n v="3858.8180000000002"/>
    <x v="0"/>
    <x v="2"/>
    <n v="5"/>
    <s v="Clean"/>
    <s v="conflicting duplicate"/>
  </r>
  <r>
    <s v="ORD-2024-10573"/>
    <d v="2024-01-02T00:00:00"/>
    <x v="8"/>
    <x v="0"/>
    <d v="2024-09-01T00:00:00"/>
    <s v="CUST-8633"/>
    <s v="Diya Patel"/>
    <x v="2"/>
    <x v="0"/>
    <s v="Delhi"/>
    <s v="New Delhi"/>
    <x v="2"/>
    <x v="11"/>
    <s v="Eco Phones 368"/>
    <x v="3"/>
    <n v="3"/>
    <n v="739.56"/>
    <n v="0.2"/>
    <n v="1774.94"/>
    <n v="1774.944"/>
    <n v="1007.4"/>
    <n v="0.43243279787982042"/>
    <n v="767.54"/>
    <n v="767.54399999999998"/>
    <x v="0"/>
    <x v="0"/>
    <n v="243"/>
    <s v="Clean"/>
    <m/>
  </r>
  <r>
    <s v="ORD-2025-10574"/>
    <d v="2025-09-22T00:00:00"/>
    <x v="9"/>
    <x v="1"/>
    <d v="2025-09-26T00:00:00"/>
    <s v="CUST-8243"/>
    <s v="Isha Nair"/>
    <x v="0"/>
    <x v="2"/>
    <s v="Andhra Pradesh"/>
    <s v="Vijayawada"/>
    <x v="2"/>
    <x v="11"/>
    <s v="Pro Phones 644"/>
    <x v="3"/>
    <n v="1"/>
    <n v="573.65"/>
    <n v="0"/>
    <n v="573.65"/>
    <n v="573.65"/>
    <n v="322.67"/>
    <n v="0.43751416368866031"/>
    <n v="250.98"/>
    <n v="250.97999999999996"/>
    <x v="0"/>
    <x v="0"/>
    <n v="4"/>
    <s v="Clean"/>
    <m/>
  </r>
  <r>
    <s v="ORD-2024-10575"/>
    <d v="2024-02-20T00:00:00"/>
    <x v="6"/>
    <x v="0"/>
    <d v="2024-02-25T00:00:00"/>
    <s v="CUST-9139"/>
    <s v="Diya Patel"/>
    <x v="3"/>
    <x v="0"/>
    <s v="Punjab"/>
    <s v="Ludhiana"/>
    <x v="2"/>
    <x v="12"/>
    <s v="Smart Machines 566"/>
    <x v="3"/>
    <n v="4"/>
    <n v="1355.8"/>
    <n v="0"/>
    <n v="5423.2"/>
    <n v="5423.2"/>
    <n v="4072.44"/>
    <n v="0.24907065938929043"/>
    <n v="1350.76"/>
    <n v="1350.7599999999998"/>
    <x v="0"/>
    <x v="0"/>
    <n v="5"/>
    <s v="Clean"/>
    <m/>
  </r>
  <r>
    <s v="ORD-2025-10576"/>
    <d v="2025-11-03T00:00:00"/>
    <x v="3"/>
    <x v="1"/>
    <d v="2025-03-14T00:00:00"/>
    <s v="CUST-5496"/>
    <s v="Sneha Kapoor"/>
    <x v="3"/>
    <x v="2"/>
    <s v="Kerala"/>
    <s v="Kochi"/>
    <x v="1"/>
    <x v="3"/>
    <s v="Elite Furnishings 173"/>
    <x v="1"/>
    <n v="4"/>
    <n v="1244.82"/>
    <n v="0.2"/>
    <n v="3983.42"/>
    <n v="3983.424"/>
    <n v="3174.91"/>
    <n v="0.2029696060474607"/>
    <n v="808.51"/>
    <n v="808.51400000000012"/>
    <x v="3"/>
    <x v="2"/>
    <n v="-234"/>
    <s v="Invalid"/>
    <m/>
  </r>
  <r>
    <s v="ORD-2024-10577"/>
    <d v="2024-02-17T00:00:00"/>
    <x v="6"/>
    <x v="0"/>
    <d v="2024-02-23T00:00:00"/>
    <s v="CUST-2228"/>
    <s v="Rohan Mehta"/>
    <x v="3"/>
    <x v="4"/>
    <s v="Bihar"/>
    <s v="Patna"/>
    <x v="0"/>
    <x v="9"/>
    <s v="Smart Binders 417"/>
    <x v="3"/>
    <n v="9"/>
    <n v="2614.46"/>
    <n v="0"/>
    <n v="23530.14"/>
    <n v="23530.14"/>
    <n v="19537.79"/>
    <n v="0.16966962372514566"/>
    <n v="3992.35"/>
    <n v="3992.3499999999985"/>
    <x v="1"/>
    <x v="2"/>
    <n v="6"/>
    <s v="Warning"/>
    <m/>
  </r>
  <r>
    <s v="ORD-2025-10578"/>
    <d v="2025-08-28T00:00:00"/>
    <x v="1"/>
    <x v="1"/>
    <d v="2025-03-09T00:00:00"/>
    <s v="CUST-4151"/>
    <s v="Priya Menon"/>
    <x v="2"/>
    <x v="3"/>
    <s v="Madhya Pradesh"/>
    <s v="Indore"/>
    <x v="1"/>
    <x v="3"/>
    <s v="Smart Furnishings 714"/>
    <x v="3"/>
    <n v="7"/>
    <n v="268.45"/>
    <n v="0"/>
    <n v="1879.15"/>
    <n v="1879.1499999999999"/>
    <n v="1134.9000000000001"/>
    <n v="0.39605672777585599"/>
    <n v="744.25"/>
    <n v="744.24999999999977"/>
    <x v="0"/>
    <x v="0"/>
    <n v="-172"/>
    <s v="Invalid"/>
    <m/>
  </r>
  <r>
    <s v="ORD-2024-10579"/>
    <d v="2024-02-21T00:00:00"/>
    <x v="6"/>
    <x v="0"/>
    <d v="2024-02-23T00:00:00"/>
    <s v="CUST-4900"/>
    <s v="Neha Gupta"/>
    <x v="1"/>
    <x v="3"/>
    <s v="Gujarat"/>
    <s v="Ahmedabad"/>
    <x v="2"/>
    <x v="6"/>
    <s v="Elite Copiers 682"/>
    <x v="2"/>
    <n v="6"/>
    <n v="2633.65"/>
    <n v="0.05"/>
    <n v="15011.81"/>
    <n v="15011.805"/>
    <n v="9660.36"/>
    <n v="0.35648244831317749"/>
    <n v="5351.45"/>
    <n v="5351.4449999999997"/>
    <x v="0"/>
    <x v="0"/>
    <n v="2"/>
    <s v="Clean"/>
    <m/>
  </r>
  <r>
    <s v="ORD-2024-10580"/>
    <d v="2024-06-19T00:00:00"/>
    <x v="2"/>
    <x v="0"/>
    <d v="2024-06-24T00:00:00"/>
    <s v="CUST-9617"/>
    <s v="Aarav Sharma"/>
    <x v="1"/>
    <x v="2"/>
    <s v="Tamil Nadu"/>
    <s v="Chennai"/>
    <x v="0"/>
    <x v="8"/>
    <s v="Pro Storage 482"/>
    <x v="1"/>
    <n v="1"/>
    <n v="3202.41"/>
    <n v="0"/>
    <n v="3202.41"/>
    <n v="3202.41"/>
    <n v="2608.44"/>
    <n v="0.18547593843386695"/>
    <n v="593.97"/>
    <n v="593.9699999999998"/>
    <x v="0"/>
    <x v="0"/>
    <n v="5"/>
    <s v="Clean"/>
    <m/>
  </r>
  <r>
    <s v="ORD-2025-10581"/>
    <d v="2025-06-03T00:00:00"/>
    <x v="2"/>
    <x v="1"/>
    <d v="2025-03-13T00:00:00"/>
    <s v="CUST-7958"/>
    <s v="Kabir Singh"/>
    <x v="0"/>
    <x v="2"/>
    <s v="Kerala"/>
    <s v="Kochi"/>
    <x v="1"/>
    <x v="4"/>
    <s v="Pro Chairs 888"/>
    <x v="3"/>
    <n v="3"/>
    <n v="163.72"/>
    <n v="0.15"/>
    <n v="417.49"/>
    <n v="417.48599999999999"/>
    <n v="261.67"/>
    <n v="0.37322449136018926"/>
    <n v="155.82"/>
    <n v="155.81599999999997"/>
    <x v="3"/>
    <x v="2"/>
    <n v="-82"/>
    <s v="Invalid"/>
    <m/>
  </r>
  <r>
    <s v="ORD-2025-10582"/>
    <d v="2025-09-08T00:00:00"/>
    <x v="9"/>
    <x v="1"/>
    <d v="2025-08-10T00:00:00"/>
    <s v="CUST-9931"/>
    <s v="Neha Gupta"/>
    <x v="0"/>
    <x v="0"/>
    <s v="Delhi"/>
    <s v="New Delhi"/>
    <x v="0"/>
    <x v="2"/>
    <s v="Classic Art 611"/>
    <x v="0"/>
    <n v="4"/>
    <n v="4080.95"/>
    <n v="0"/>
    <n v="16323.8"/>
    <n v="16323.8"/>
    <n v="9965.7900000000009"/>
    <n v="0.38949325524693995"/>
    <n v="6358.01"/>
    <n v="6358.0099999999984"/>
    <x v="1"/>
    <x v="2"/>
    <n v="-29"/>
    <s v="Invalid"/>
    <m/>
  </r>
  <r>
    <s v="ORD-2024-10583"/>
    <d v="2024-10-15T00:00:00"/>
    <x v="10"/>
    <x v="0"/>
    <d v="2024-10-20T00:00:00"/>
    <s v="CUST-2088"/>
    <s v="Ananya Rao"/>
    <x v="0"/>
    <x v="1"/>
    <s v="Odisha"/>
    <s v="Bhubaneswar"/>
    <x v="0"/>
    <x v="2"/>
    <s v="Basic Art 174"/>
    <x v="2"/>
    <n v="5"/>
    <n v="671.24"/>
    <n v="0"/>
    <n v="3356.2"/>
    <n v="3356.2"/>
    <n v="2205.7199999999998"/>
    <n v="0.34279244383528995"/>
    <n v="1150.48"/>
    <n v="1150.48"/>
    <x v="2"/>
    <x v="2"/>
    <n v="5"/>
    <s v="Clean"/>
    <m/>
  </r>
  <r>
    <s v="ORD-2024-10584"/>
    <d v="2024-02-28T00:00:00"/>
    <x v="6"/>
    <x v="0"/>
    <d v="2024-02-28T00:00:00"/>
    <s v="CUST-1686"/>
    <s v="Rohan Mehta"/>
    <x v="1"/>
    <x v="1"/>
    <s v="West Bengal"/>
    <s v="Kolkata"/>
    <x v="0"/>
    <x v="8"/>
    <s v="Classic Storage 451"/>
    <x v="2"/>
    <n v="1"/>
    <n v="2626.84"/>
    <n v="0.2"/>
    <n v="2101.4699999999998"/>
    <n v="2101.4720000000002"/>
    <n v="1217.83"/>
    <n v="0.42048716328364127"/>
    <n v="883.64"/>
    <n v="883.64200000000028"/>
    <x v="3"/>
    <x v="2"/>
    <n v="0"/>
    <s v="Clean"/>
    <m/>
  </r>
  <r>
    <s v="ORD-2024-10585"/>
    <d v="2024-08-04T00:00:00"/>
    <x v="1"/>
    <x v="0"/>
    <d v="2024-10-08T00:00:00"/>
    <s v="CUST-4894"/>
    <s v="Vikram Iyer"/>
    <x v="0"/>
    <x v="1"/>
    <s v="Bihar"/>
    <s v="Patna"/>
    <x v="0"/>
    <x v="2"/>
    <s v="Pro Art 172"/>
    <x v="1"/>
    <n v="1"/>
    <n v="984.93"/>
    <n v="0.15"/>
    <n v="837.19"/>
    <n v="837.19049999999993"/>
    <n v="583.79"/>
    <n v="0.30267961712417901"/>
    <n v="253.4"/>
    <n v="253.40049999999997"/>
    <x v="2"/>
    <x v="2"/>
    <n v="65"/>
    <s v="Clean"/>
    <m/>
  </r>
  <r>
    <s v="ORD-2025-10586"/>
    <d v="2025-06-22T00:00:00"/>
    <x v="2"/>
    <x v="1"/>
    <d v="2025-06-25T00:00:00"/>
    <s v="CUST-5201"/>
    <s v="Diya Patel"/>
    <x v="1"/>
    <x v="3"/>
    <s v="Maharashtra"/>
    <s v="Mumbai"/>
    <x v="2"/>
    <x v="11"/>
    <s v="Prime Phones 744"/>
    <x v="2"/>
    <n v="8"/>
    <n v="3453.66"/>
    <n v="0"/>
    <n v="27629.279999999999"/>
    <n v="27629.279999999999"/>
    <n v="22026.48"/>
    <n v="0.20278487170132553"/>
    <n v="5602.8"/>
    <n v="5602.7999999999993"/>
    <x v="0"/>
    <x v="0"/>
    <n v="3"/>
    <s v="Clean"/>
    <m/>
  </r>
  <r>
    <s v="ORD-2025-10587"/>
    <d v="2025-12-04T00:00:00"/>
    <x v="7"/>
    <x v="1"/>
    <d v="2025-12-04T00:00:00"/>
    <s v="CUST-8626"/>
    <s v="Mira Das"/>
    <x v="3"/>
    <x v="0"/>
    <s v="Punjab"/>
    <s v="Ludhiana"/>
    <x v="0"/>
    <x v="9"/>
    <s v="Prime Binders 249"/>
    <x v="0"/>
    <n v="7"/>
    <n v="1334.2"/>
    <n v="0.2"/>
    <n v="7471.52"/>
    <n v="7471.52"/>
    <n v="6184.32"/>
    <n v="0.17228087457438387"/>
    <n v="1287.2"/>
    <n v="1287.2000000000007"/>
    <x v="0"/>
    <x v="0"/>
    <n v="0"/>
    <s v="Clean"/>
    <m/>
  </r>
  <r>
    <s v="ORD-2025-10588"/>
    <d v="2025-07-23T00:00:00"/>
    <x v="0"/>
    <x v="1"/>
    <d v="2025-07-31T00:00:00"/>
    <s v="CUST-1013"/>
    <s v="Kabir Singh"/>
    <x v="3"/>
    <x v="3"/>
    <s v="Madhya Pradesh"/>
    <s v="Indore"/>
    <x v="2"/>
    <x v="5"/>
    <s v="Eco Accessories 948"/>
    <x v="2"/>
    <n v="1"/>
    <n v="4253.84"/>
    <n v="0.15"/>
    <n v="3615.76"/>
    <n v="3615.7640000000001"/>
    <n v="2951.52"/>
    <n v="0.18370778623826114"/>
    <n v="664.24"/>
    <n v="664.24400000000014"/>
    <x v="1"/>
    <x v="1"/>
    <n v="8"/>
    <s v="Clean"/>
    <m/>
  </r>
  <r>
    <s v="ORD-2025-10589"/>
    <d v="2025-11-03T00:00:00"/>
    <x v="3"/>
    <x v="1"/>
    <d v="2025-03-15T00:00:00"/>
    <s v="CUST-3601"/>
    <s v="Aarav Sharma"/>
    <x v="3"/>
    <x v="2"/>
    <s v="Karnataka"/>
    <s v="Bengaluru"/>
    <x v="2"/>
    <x v="5"/>
    <s v="Classic Accessories 458"/>
    <x v="0"/>
    <n v="8"/>
    <n v="4446.3599999999997"/>
    <n v="0.1"/>
    <n v="32013.79"/>
    <n v="32013.791999999998"/>
    <n v="20896.88"/>
    <n v="0.34725383359771933"/>
    <n v="11116.91"/>
    <n v="11116.911999999997"/>
    <x v="1"/>
    <x v="1"/>
    <n v="-233"/>
    <s v="Invalid"/>
    <m/>
  </r>
  <r>
    <s v="ORD-2024-10590"/>
    <d v="2024-06-12T00:00:00"/>
    <x v="2"/>
    <x v="0"/>
    <d v="2024-12-12T00:00:00"/>
    <s v="CUST-7846"/>
    <s v="Rohan Mehta"/>
    <x v="2"/>
    <x v="0"/>
    <s v="Uttar Pradesh"/>
    <s v="Noida"/>
    <x v="2"/>
    <x v="11"/>
    <s v="Max Phones 318"/>
    <x v="2"/>
    <n v="3"/>
    <n v="524.75"/>
    <n v="0"/>
    <n v="1574.25"/>
    <n v="1574.25"/>
    <n v="1326.12"/>
    <n v="0.15761791329204389"/>
    <n v="248.13"/>
    <n v="248.13000000000011"/>
    <x v="0"/>
    <x v="0"/>
    <n v="183"/>
    <s v="Clean"/>
    <m/>
  </r>
  <r>
    <s v="ORD-2024-10591"/>
    <d v="2024-05-29T00:00:00"/>
    <x v="4"/>
    <x v="0"/>
    <d v="2024-05-29T00:00:00"/>
    <s v="CUST-3433"/>
    <s v="Aarav Sharma"/>
    <x v="3"/>
    <x v="0"/>
    <s v="Delhi"/>
    <s v="New Delhi"/>
    <x v="1"/>
    <x v="4"/>
    <s v="Elite Chairs 372"/>
    <x v="1"/>
    <n v="6"/>
    <n v="3430.35"/>
    <n v="0"/>
    <n v="20582.099999999999"/>
    <n v="20582.099999999999"/>
    <n v="15897.65"/>
    <n v="0.22759825285077806"/>
    <n v="4684.45"/>
    <n v="4684.4499999999989"/>
    <x v="2"/>
    <x v="1"/>
    <n v="0"/>
    <s v="Clean"/>
    <m/>
  </r>
  <r>
    <s v="ORD-2024-10592"/>
    <d v="2024-02-22T00:00:00"/>
    <x v="6"/>
    <x v="0"/>
    <d v="2024-02-24T00:00:00"/>
    <s v="CUST-2423"/>
    <s v="Sneha Kapoor"/>
    <x v="0"/>
    <x v="2"/>
    <s v="Karnataka"/>
    <s v="Bengaluru"/>
    <x v="2"/>
    <x v="6"/>
    <s v="Eco Copiers 324"/>
    <x v="2"/>
    <n v="3"/>
    <n v="3545.08"/>
    <n v="0"/>
    <n v="10635.24"/>
    <n v="10635.24"/>
    <n v="6031.88"/>
    <n v="0.43284025560307055"/>
    <n v="4603.3599999999997"/>
    <n v="4603.3599999999997"/>
    <x v="3"/>
    <x v="2"/>
    <n v="2"/>
    <s v="Clean"/>
    <m/>
  </r>
  <r>
    <s v="ORD-2024-10593"/>
    <d v="2024-04-03T00:00:00"/>
    <x v="5"/>
    <x v="0"/>
    <d v="2024-09-03T00:00:00"/>
    <s v="CUST-3559"/>
    <s v="Mira Das"/>
    <x v="0"/>
    <x v="1"/>
    <s v="West Bengal"/>
    <s v="Kolkata"/>
    <x v="2"/>
    <x v="5"/>
    <s v="Classic Accessories 131"/>
    <x v="1"/>
    <n v="8"/>
    <n v="4401.41"/>
    <n v="0.15"/>
    <n v="29929.59"/>
    <n v="29929.588"/>
    <n v="22436.03"/>
    <n v="0.25037290857461858"/>
    <n v="7493.56"/>
    <n v="7493.5580000000009"/>
    <x v="0"/>
    <x v="0"/>
    <n v="153"/>
    <s v="Clean"/>
    <m/>
  </r>
  <r>
    <s v="ORD-2025-10594"/>
    <d v="2025-09-27T00:00:00"/>
    <x v="9"/>
    <x v="1"/>
    <d v="2025-09-29T00:00:00"/>
    <s v="CUST-2917"/>
    <s v="Arjun Bose"/>
    <x v="3"/>
    <x v="0"/>
    <s v="Uttar Pradesh"/>
    <s v="Noida"/>
    <x v="1"/>
    <x v="1"/>
    <s v="Eco Tables 550"/>
    <x v="0"/>
    <n v="9"/>
    <n v="4100.1099999999997"/>
    <n v="0.25"/>
    <n v="27675.74"/>
    <n v="27675.7425"/>
    <n v="15571.08"/>
    <n v="0.4373744444254748"/>
    <n v="12104.66"/>
    <n v="12104.6625"/>
    <x v="0"/>
    <x v="0"/>
    <n v="2"/>
    <s v="Clean"/>
    <m/>
  </r>
  <r>
    <s v="ORD-2024-10595"/>
    <d v="2024-09-19T00:00:00"/>
    <x v="9"/>
    <x v="0"/>
    <d v="2024-09-21T00:00:00"/>
    <s v="CUST-6850"/>
    <s v="Karan Malhotra"/>
    <x v="1"/>
    <x v="1"/>
    <s v="West Bengal"/>
    <s v="Kolkata"/>
    <x v="1"/>
    <x v="4"/>
    <s v="Basic Chairs 932"/>
    <x v="2"/>
    <n v="3"/>
    <n v="3981.76"/>
    <n v="0"/>
    <n v="11945.28"/>
    <n v="11945.28"/>
    <n v="9700.31"/>
    <n v="0.18793782983739193"/>
    <n v="2244.9699999999998"/>
    <n v="2244.9700000000012"/>
    <x v="0"/>
    <x v="0"/>
    <n v="2"/>
    <s v="Clean"/>
    <m/>
  </r>
  <r>
    <s v="ORD-2025-10596"/>
    <d v="2025-02-11T00:00:00"/>
    <x v="6"/>
    <x v="1"/>
    <d v="2025-02-16T00:00:00"/>
    <s v="CUST-5566"/>
    <s v="Mira Das"/>
    <x v="2"/>
    <x v="0"/>
    <s v="Uttar Pradesh"/>
    <s v="Noida"/>
    <x v="2"/>
    <x v="11"/>
    <s v="Classic Phones 294"/>
    <x v="2"/>
    <n v="8"/>
    <n v="1825.56"/>
    <n v="0.1"/>
    <n v="13144.03"/>
    <n v="13144.031999999999"/>
    <n v="9764"/>
    <n v="0.25715336055176974"/>
    <n v="3380.03"/>
    <n v="3380.0319999999992"/>
    <x v="0"/>
    <x v="0"/>
    <n v="5"/>
    <s v="Clean"/>
    <m/>
  </r>
  <r>
    <s v="ORD-2024-10597"/>
    <d v="2024-10-04T00:00:00"/>
    <x v="10"/>
    <x v="0"/>
    <d v="2024-04-16T00:00:00"/>
    <s v="CUST-2593"/>
    <s v="Aditi Sen"/>
    <x v="0"/>
    <x v="2"/>
    <s v="Kerala"/>
    <s v="Kochi"/>
    <x v="1"/>
    <x v="4"/>
    <s v="Elite Chairs 700"/>
    <x v="0"/>
    <n v="9"/>
    <n v="2723.26"/>
    <n v="0.25"/>
    <n v="18382.009999999998"/>
    <n v="18382.005000000005"/>
    <n v="13108.2"/>
    <n v="0.28690042245119629"/>
    <n v="5273.81"/>
    <n v="5273.8050000000039"/>
    <x v="0"/>
    <x v="0"/>
    <n v="-171"/>
    <s v="Invalid"/>
    <m/>
  </r>
  <r>
    <s v="ORD-2025-10598"/>
    <d v="2025-08-07T00:00:00"/>
    <x v="1"/>
    <x v="1"/>
    <d v="2025-07-08T00:00:00"/>
    <s v="CUST-6957"/>
    <s v="Aditi Sen"/>
    <x v="0"/>
    <x v="2"/>
    <s v="Telangana"/>
    <s v="Hyderabad"/>
    <x v="2"/>
    <x v="6"/>
    <s v="Prime Copiers 969"/>
    <x v="1"/>
    <n v="9"/>
    <n v="274.88"/>
    <n v="0.25"/>
    <n v="1855.44"/>
    <n v="1855.44"/>
    <n v="1262.74"/>
    <n v="0.3194390548872505"/>
    <n v="592.70000000000005"/>
    <n v="592.70000000000005"/>
    <x v="0"/>
    <x v="0"/>
    <n v="-30"/>
    <s v="Invalid"/>
    <m/>
  </r>
  <r>
    <s v="ORD-2024-10599"/>
    <d v="2024-08-17T00:00:00"/>
    <x v="1"/>
    <x v="0"/>
    <d v="2024-08-24T00:00:00"/>
    <s v="CUST-8498"/>
    <s v="Ananya Rao"/>
    <x v="2"/>
    <x v="1"/>
    <s v="West Bengal"/>
    <s v="Kolkata"/>
    <x v="2"/>
    <x v="6"/>
    <s v="Eco Copiers 268"/>
    <x v="1"/>
    <n v="3"/>
    <n v="1490.69"/>
    <n v="0.25"/>
    <n v="3354.05"/>
    <n v="3354.0524999999998"/>
    <n v="2672.67"/>
    <n v="0.20315200790685289"/>
    <n v="681.38"/>
    <n v="681.38249999999971"/>
    <x v="0"/>
    <x v="0"/>
    <n v="7"/>
    <s v="Clean"/>
    <m/>
  </r>
  <r>
    <s v="ORD-2024-10600"/>
    <d v="2024-08-19T00:00:00"/>
    <x v="1"/>
    <x v="0"/>
    <d v="2024-08-21T00:00:00"/>
    <s v="CUST-2612"/>
    <s v="Arjun Bose"/>
    <x v="0"/>
    <x v="0"/>
    <s v="Punjab"/>
    <s v="Ludhiana"/>
    <x v="2"/>
    <x v="11"/>
    <s v="Pro Phones 588"/>
    <x v="2"/>
    <n v="3"/>
    <n v="1103.54"/>
    <n v="0.25"/>
    <n v="2482.9699999999998"/>
    <n v="2482.9650000000001"/>
    <n v="1621.72"/>
    <n v="0.34686151435884116"/>
    <n v="861.25"/>
    <n v="861.24500000000012"/>
    <x v="0"/>
    <x v="0"/>
    <n v="2"/>
    <s v="Clean"/>
    <m/>
  </r>
  <r>
    <s v="ORD-2025-10601"/>
    <d v="2025-05-03T00:00:00"/>
    <x v="4"/>
    <x v="1"/>
    <d v="2025-12-03T00:00:00"/>
    <s v="CUST-6013"/>
    <s v="Ananya Rao"/>
    <x v="2"/>
    <x v="3"/>
    <s v="Madhya Pradesh"/>
    <s v="Indore"/>
    <x v="0"/>
    <x v="8"/>
    <s v="Prime Storage 432"/>
    <x v="1"/>
    <n v="3"/>
    <n v="3682.75"/>
    <n v="0"/>
    <n v="11048.25"/>
    <n v="11048.25"/>
    <n v="9062.7199999999993"/>
    <n v="0.17971443441268986"/>
    <n v="1985.53"/>
    <n v="1985.5300000000007"/>
    <x v="0"/>
    <x v="0"/>
    <n v="214"/>
    <s v="Clean"/>
    <m/>
  </r>
  <r>
    <s v="ORD-2024-10602"/>
    <d v="2024-01-26T00:00:00"/>
    <x v="8"/>
    <x v="0"/>
    <d v="2024-01-31T00:00:00"/>
    <s v="CUST-8289"/>
    <s v="Ananya Rao"/>
    <x v="3"/>
    <x v="1"/>
    <s v="West Bengal"/>
    <s v="Kolkata"/>
    <x v="0"/>
    <x v="0"/>
    <s v="Basic Paper 452"/>
    <x v="0"/>
    <n v="5"/>
    <n v="1615.03"/>
    <n v="0.2"/>
    <n v="6460.12"/>
    <n v="6460.12"/>
    <n v="3604.03"/>
    <n v="0.44211098245853014"/>
    <n v="2856.09"/>
    <n v="2856.0899999999997"/>
    <x v="0"/>
    <x v="0"/>
    <n v="5"/>
    <s v="Clean"/>
    <m/>
  </r>
  <r>
    <s v="ORD-2024-10603"/>
    <d v="2024-10-23T00:00:00"/>
    <x v="10"/>
    <x v="0"/>
    <d v="2024-10-30T00:00:00"/>
    <s v="CUST-5668"/>
    <s v="Aarav Sharma"/>
    <x v="0"/>
    <x v="1"/>
    <s v="Jharkhand"/>
    <s v="Ranchi"/>
    <x v="2"/>
    <x v="6"/>
    <s v="Max Copiers 477"/>
    <x v="0"/>
    <n v="9"/>
    <n v="3423.82"/>
    <n v="0.15"/>
    <n v="26192.22"/>
    <n v="26192.223000000002"/>
    <n v="20795.55"/>
    <n v="0.20604104508426041"/>
    <n v="5396.67"/>
    <n v="5396.6730000000025"/>
    <x v="0"/>
    <x v="0"/>
    <n v="7"/>
    <s v="Clean"/>
    <m/>
  </r>
  <r>
    <s v="ORD-2025-10604"/>
    <d v="2025-01-03T00:00:00"/>
    <x v="8"/>
    <x v="1"/>
    <d v="2025-11-01T00:00:00"/>
    <s v="CUST-5808"/>
    <s v="Vikram Iyer"/>
    <x v="2"/>
    <x v="1"/>
    <s v="Bihar"/>
    <s v="Patna"/>
    <x v="2"/>
    <x v="5"/>
    <s v="Prime Accessories 300"/>
    <x v="2"/>
    <n v="8"/>
    <n v="2574.29"/>
    <n v="0.05"/>
    <n v="19564.599999999999"/>
    <n v="19564.603999999999"/>
    <n v="11154.59"/>
    <n v="0.42985863654587642"/>
    <n v="8410.01"/>
    <n v="8410.0139999999992"/>
    <x v="2"/>
    <x v="1"/>
    <n v="302"/>
    <s v="Clean"/>
    <m/>
  </r>
  <r>
    <s v="ORD-2025-10605"/>
    <d v="2025-05-02T00:00:00"/>
    <x v="4"/>
    <x v="1"/>
    <d v="2025-02-06T00:00:00"/>
    <s v="CUST-4526"/>
    <s v="Ananya Rao"/>
    <x v="0"/>
    <x v="3"/>
    <s v="Madhya Pradesh"/>
    <s v="Indore"/>
    <x v="0"/>
    <x v="9"/>
    <s v="Max Binders 547"/>
    <x v="1"/>
    <n v="3"/>
    <n v="1076.3"/>
    <n v="0"/>
    <n v="3228.9"/>
    <n v="3228.8999999999996"/>
    <n v="1853.23"/>
    <n v="0.42604911889497965"/>
    <n v="1375.67"/>
    <n v="1375.6699999999996"/>
    <x v="0"/>
    <x v="0"/>
    <n v="-85"/>
    <s v="Invalid"/>
    <m/>
  </r>
  <r>
    <s v="ORD-2025-10606"/>
    <d v="2025-09-07T00:00:00"/>
    <x v="9"/>
    <x v="1"/>
    <d v="2025-07-13T00:00:00"/>
    <s v="CUST-4447"/>
    <s v="Kabir Singh"/>
    <x v="2"/>
    <x v="3"/>
    <s v="Goa"/>
    <s v="Panaji"/>
    <x v="1"/>
    <x v="3"/>
    <s v="Pro Furnishings 267"/>
    <x v="0"/>
    <n v="5"/>
    <n v="1680.01"/>
    <n v="0.85"/>
    <n v="7560.04"/>
    <n v="1260.0075000000002"/>
    <n v="6448.05"/>
    <n v="-4.1174695388717915"/>
    <n v="1111.99"/>
    <n v="-5188.0424999999996"/>
    <x v="0"/>
    <x v="1"/>
    <n v="-56"/>
    <s v="Invalid"/>
    <m/>
  </r>
  <r>
    <s v="ORD-2025-10607"/>
    <d v="2025-02-22T00:00:00"/>
    <x v="6"/>
    <x v="1"/>
    <d v="2025-02-28T00:00:00"/>
    <s v="CUST-2698"/>
    <s v="Rahul Verma"/>
    <x v="3"/>
    <x v="3"/>
    <s v="Madhya Pradesh"/>
    <s v="Indore"/>
    <x v="2"/>
    <x v="6"/>
    <s v="Max Copiers 520"/>
    <x v="1"/>
    <n v="3"/>
    <n v="3890.81"/>
    <n v="0.25"/>
    <n v="8754.32"/>
    <n v="8754.3225000000002"/>
    <n v="6238.9"/>
    <n v="0.28733491369549163"/>
    <n v="2515.42"/>
    <n v="2515.4225000000006"/>
    <x v="0"/>
    <x v="0"/>
    <n v="6"/>
    <s v="Clean"/>
    <m/>
  </r>
  <r>
    <s v="ORD-2025-10608"/>
    <d v="2025-02-16T00:00:00"/>
    <x v="6"/>
    <x v="1"/>
    <d v="2025-02-22T00:00:00"/>
    <s v="CUST-6297"/>
    <s v="Sneha Kapoor"/>
    <x v="3"/>
    <x v="1"/>
    <s v="Bihar"/>
    <s v="Patna"/>
    <x v="0"/>
    <x v="8"/>
    <s v="Max Storage 424"/>
    <x v="1"/>
    <n v="5"/>
    <n v="954.67"/>
    <n v="0.15"/>
    <n v="4057.35"/>
    <n v="4057.3474999999994"/>
    <n v="2862.03"/>
    <n v="0.29460565061286947"/>
    <n v="1195.32"/>
    <n v="1195.3174999999992"/>
    <x v="0"/>
    <x v="0"/>
    <n v="6"/>
    <s v="Clean"/>
    <m/>
  </r>
  <r>
    <s v="ORD-2024-10609"/>
    <d v="2024-06-21T00:00:00"/>
    <x v="2"/>
    <x v="0"/>
    <d v="2024-06-23T00:00:00"/>
    <s v="CUST-7690"/>
    <s v="Karan Malhotra"/>
    <x v="3"/>
    <x v="3"/>
    <s v="Goa"/>
    <s v="Panaji"/>
    <x v="1"/>
    <x v="3"/>
    <s v="Elite Furnishings 706"/>
    <x v="0"/>
    <n v="9"/>
    <n v="2153.75"/>
    <n v="0"/>
    <n v="19383.75"/>
    <n v="19383.75"/>
    <n v="11667.43"/>
    <n v="0.39808189849745274"/>
    <n v="7716.32"/>
    <n v="7716.32"/>
    <x v="0"/>
    <x v="0"/>
    <n v="2"/>
    <s v="Clean"/>
    <m/>
  </r>
  <r>
    <s v="ORD-2025-10610"/>
    <d v="2025-08-01T00:00:00"/>
    <x v="1"/>
    <x v="1"/>
    <d v="2025-12-01T00:00:00"/>
    <s v="CUST-4380"/>
    <s v="Sneha Kapoor"/>
    <x v="3"/>
    <x v="2"/>
    <s v="Karnataka"/>
    <s v="Bengaluru"/>
    <x v="1"/>
    <x v="4"/>
    <s v="Pro Chairs 908"/>
    <x v="3"/>
    <n v="7"/>
    <n v="4337.4799999999996"/>
    <n v="0"/>
    <n v="30362.36"/>
    <n v="30362.359999999997"/>
    <n v="25065.4"/>
    <n v="0.17445811195177174"/>
    <n v="5296.96"/>
    <n v="5296.9599999999955"/>
    <x v="0"/>
    <x v="0"/>
    <n v="122"/>
    <s v="Clean"/>
    <m/>
  </r>
  <r>
    <s v="ORD-2024-10611"/>
    <d v="2024-05-20T00:00:00"/>
    <x v="4"/>
    <x v="0"/>
    <d v="2024-05-20T00:00:00"/>
    <s v="CUST-2779"/>
    <s v="Karan Malhotra"/>
    <x v="3"/>
    <x v="3"/>
    <s v="Madhya Pradesh"/>
    <s v="Indore"/>
    <x v="1"/>
    <x v="4"/>
    <s v="Pro Chairs 712"/>
    <x v="3"/>
    <n v="1"/>
    <n v="3032.95"/>
    <n v="0.1"/>
    <n v="2729.65"/>
    <n v="2729.6549999999997"/>
    <n v="1715.36"/>
    <n v="0.37158358840219735"/>
    <n v="1014.29"/>
    <n v="1014.2949999999998"/>
    <x v="0"/>
    <x v="0"/>
    <n v="0"/>
    <s v="Clean"/>
    <m/>
  </r>
  <r>
    <s v="ORD-2025-10612"/>
    <d v="2025-08-07T00:00:00"/>
    <x v="1"/>
    <x v="1"/>
    <d v="2025-07-15T00:00:00"/>
    <s v="CUST-6108"/>
    <s v="Ananya Rao"/>
    <x v="1"/>
    <x v="0"/>
    <s v="Rajasthan"/>
    <s v="Jaipur"/>
    <x v="0"/>
    <x v="9"/>
    <s v="Max Binders 785"/>
    <x v="1"/>
    <n v="8"/>
    <n v="655.28"/>
    <n v="0.1"/>
    <n v="4718.0200000000004"/>
    <n v="4718.0159999999996"/>
    <n v="3908.23"/>
    <n v="0.17163697622051297"/>
    <n v="809.79"/>
    <n v="809.7859999999996"/>
    <x v="0"/>
    <x v="0"/>
    <n v="-23"/>
    <s v="Invalid"/>
    <m/>
  </r>
  <r>
    <s v="ORD-2025-10613"/>
    <d v="2025-06-04T00:00:00"/>
    <x v="2"/>
    <x v="1"/>
    <d v="2025-04-13T00:00:00"/>
    <s v="CUST-5663"/>
    <s v="Aditi Sen"/>
    <x v="0"/>
    <x v="4"/>
    <s v="Odisha"/>
    <s v="Bhubaneswar"/>
    <x v="2"/>
    <x v="11"/>
    <s v="Elite Phones 239"/>
    <x v="3"/>
    <n v="1"/>
    <n v="3844.01"/>
    <n v="0"/>
    <n v="3844.01"/>
    <n v="3844.01"/>
    <n v="2195.79"/>
    <n v="0.42877619985379856"/>
    <n v="1648.22"/>
    <n v="1648.2200000000003"/>
    <x v="0"/>
    <x v="0"/>
    <n v="-52"/>
    <s v="Invalid/Warning"/>
    <m/>
  </r>
  <r>
    <s v="ORD-2024-10614"/>
    <d v="2024-05-10T00:00:00"/>
    <x v="4"/>
    <x v="0"/>
    <d v="2024-10-10T00:00:00"/>
    <s v="CUST-9311"/>
    <s v="Diya Patel"/>
    <x v="3"/>
    <x v="3"/>
    <s v="Gujarat"/>
    <s v="Ahmedabad"/>
    <x v="2"/>
    <x v="12"/>
    <s v="Basic Machines 413"/>
    <x v="1"/>
    <n v="9"/>
    <n v="3361.3"/>
    <n v="0.25"/>
    <n v="22688.78"/>
    <n v="22688.775000000001"/>
    <n v="14672.41"/>
    <n v="0.35331854628555315"/>
    <n v="8016.37"/>
    <n v="8016.3650000000016"/>
    <x v="0"/>
    <x v="0"/>
    <n v="153"/>
    <s v="Clean"/>
    <m/>
  </r>
  <r>
    <s v="ORD-2024-10615"/>
    <d v="2024-11-02T00:00:00"/>
    <x v="3"/>
    <x v="0"/>
    <d v="2024-02-19T00:00:00"/>
    <s v="CUST-8154"/>
    <s v="Ananya Rao"/>
    <x v="3"/>
    <x v="2"/>
    <s v="Telangana"/>
    <s v="Hyderabad"/>
    <x v="1"/>
    <x v="4"/>
    <s v="Elite Chairs 140"/>
    <x v="3"/>
    <n v="8"/>
    <n v="3398.32"/>
    <n v="0.25"/>
    <n v="20389.919999999998"/>
    <n v="20389.920000000002"/>
    <n v="16661.080000000002"/>
    <n v="0.18287663708342161"/>
    <n v="3728.84"/>
    <n v="3728.84"/>
    <x v="1"/>
    <x v="1"/>
    <n v="-257"/>
    <s v="Invalid"/>
    <m/>
  </r>
  <r>
    <s v="ORD-2024-10616"/>
    <d v="2024-04-10T00:00:00"/>
    <x v="5"/>
    <x v="0"/>
    <d v="2024-10-07T00:00:00"/>
    <s v="CUST-4462"/>
    <s v="Rahul Verma"/>
    <x v="2"/>
    <x v="2"/>
    <s v="Kerala"/>
    <s v="Kochi"/>
    <x v="0"/>
    <x v="2"/>
    <s v="Basic Art 771"/>
    <x v="0"/>
    <n v="2"/>
    <n v="3144.38"/>
    <n v="0.1"/>
    <n v="5904.57"/>
    <n v="5659.884"/>
    <n v="4337.79"/>
    <n v="0.23359029973052453"/>
    <n v="1322.09"/>
    <n v="1322.0940000000001"/>
    <x v="0"/>
    <x v="0"/>
    <n v="180"/>
    <s v="Clean"/>
    <m/>
  </r>
  <r>
    <s v="ORD-2024-10617"/>
    <d v="2024-08-16T00:00:00"/>
    <x v="1"/>
    <x v="0"/>
    <d v="2024-08-19T00:00:00"/>
    <s v="CUST-4660"/>
    <s v="Kabir Singh"/>
    <x v="0"/>
    <x v="2"/>
    <s v="Telangana"/>
    <s v="Hyderabad"/>
    <x v="0"/>
    <x v="0"/>
    <s v="Prime Paper 664"/>
    <x v="3"/>
    <n v="6"/>
    <n v="3925.55"/>
    <n v="0.2"/>
    <n v="18842.64"/>
    <n v="18842.640000000003"/>
    <n v="11840.58"/>
    <n v="0.37160716332743193"/>
    <n v="7002.06"/>
    <n v="7002.0600000000031"/>
    <x v="0"/>
    <x v="0"/>
    <n v="3"/>
    <s v="Clean"/>
    <m/>
  </r>
  <r>
    <s v="ORD-2024-10618"/>
    <d v="2024-09-29T00:00:00"/>
    <x v="9"/>
    <x v="0"/>
    <d v="2024-09-30T00:00:00"/>
    <s v="CUST-9002"/>
    <s v="Mira Das"/>
    <x v="3"/>
    <x v="2"/>
    <s v="Telangana"/>
    <s v="Hyderabad"/>
    <x v="2"/>
    <x v="11"/>
    <s v="Pro Phones 226"/>
    <x v="3"/>
    <n v="9"/>
    <n v="2741.91"/>
    <n v="0"/>
    <n v="24677.19"/>
    <n v="24677.19"/>
    <n v="20350.849999999999"/>
    <n v="0.17531736798233513"/>
    <n v="4326.34"/>
    <n v="4326.34"/>
    <x v="0"/>
    <x v="0"/>
    <n v="1"/>
    <s v="Clean"/>
    <m/>
  </r>
  <r>
    <s v="ORD-2024-10619"/>
    <d v="2024-07-23T00:00:00"/>
    <x v="0"/>
    <x v="0"/>
    <d v="2024-07-30T00:00:00"/>
    <s v="CUST-1057"/>
    <s v="Kabir Singh"/>
    <x v="2"/>
    <x v="0"/>
    <s v="Rajasthan"/>
    <s v="Jaipur"/>
    <x v="1"/>
    <x v="1"/>
    <s v="Basic Tables 684"/>
    <x v="1"/>
    <n v="9"/>
    <n v="1870.11"/>
    <n v="0.25"/>
    <n v="12623.24"/>
    <n v="12623.242499999998"/>
    <n v="10540.8"/>
    <n v="0.16496890557239943"/>
    <n v="2082.44"/>
    <n v="2082.4424999999992"/>
    <x v="3"/>
    <x v="1"/>
    <n v="7"/>
    <s v="Clean"/>
    <m/>
  </r>
  <r>
    <s v="ORD-2024-10620"/>
    <d v="2024-11-22T00:00:00"/>
    <x v="3"/>
    <x v="0"/>
    <d v="2024-11-27T00:00:00"/>
    <s v="CUST-9596"/>
    <s v="Priya Menon"/>
    <x v="2"/>
    <x v="2"/>
    <s v="Tamil Nadu"/>
    <s v="Chennai"/>
    <x v="0"/>
    <x v="9"/>
    <s v="Prime Binders 938"/>
    <x v="2"/>
    <n v="1"/>
    <n v="4251.26"/>
    <n v="0.2"/>
    <n v="3401.01"/>
    <n v="3401.0080000000003"/>
    <n v="2917.54"/>
    <n v="0.14215432601158254"/>
    <n v="483.47"/>
    <n v="483.4680000000003"/>
    <x v="1"/>
    <x v="2"/>
    <n v="5"/>
    <s v="Clean"/>
    <m/>
  </r>
  <r>
    <s v="ORD-2024-10621"/>
    <d v="2024-08-18T00:00:00"/>
    <x v="1"/>
    <x v="0"/>
    <d v="2024-08-21T00:00:00"/>
    <s v="CUST-6947"/>
    <s v="Vikram Iyer"/>
    <x v="0"/>
    <x v="0"/>
    <s v="Uttar Pradesh"/>
    <s v="Noida"/>
    <x v="2"/>
    <x v="12"/>
    <s v="Classic Machines 337"/>
    <x v="3"/>
    <n v="9"/>
    <n v="734.34"/>
    <n v="0"/>
    <n v="6609.06"/>
    <n v="6609.06"/>
    <n v="4946.78"/>
    <n v="0.25151534408826681"/>
    <n v="1662.28"/>
    <n v="1662.2800000000007"/>
    <x v="0"/>
    <x v="0"/>
    <n v="3"/>
    <s v="Clean"/>
    <m/>
  </r>
  <r>
    <s v="ORD-2024-10622"/>
    <d v="2024-11-28T00:00:00"/>
    <x v="3"/>
    <x v="0"/>
    <d v="2024-06-12T00:00:00"/>
    <s v="CUST-7236"/>
    <s v="Aditi Sen"/>
    <x v="0"/>
    <x v="3"/>
    <s v="Maharashtra"/>
    <s v="Mumbai"/>
    <x v="1"/>
    <x v="4"/>
    <s v="Max Chairs 748"/>
    <x v="1"/>
    <n v="5"/>
    <n v="1092.8399999999999"/>
    <n v="0"/>
    <n v="5464.2"/>
    <n v="5464.2"/>
    <n v="3318.09"/>
    <n v="0.39275831777753373"/>
    <n v="2146.11"/>
    <n v="2146.1099999999997"/>
    <x v="0"/>
    <x v="0"/>
    <n v="-169"/>
    <s v="Invalid"/>
    <m/>
  </r>
  <r>
    <s v="ORD-2025-10623"/>
    <d v="2025-01-29T00:00:00"/>
    <x v="8"/>
    <x v="1"/>
    <d v="2025-06-02T00:00:00"/>
    <s v="CUST-1127"/>
    <s v="Vikram Iyer"/>
    <x v="0"/>
    <x v="1"/>
    <s v="Bihar"/>
    <s v="Patna"/>
    <x v="0"/>
    <x v="8"/>
    <s v="Basic Storage 934"/>
    <x v="3"/>
    <n v="4"/>
    <n v="2759.01"/>
    <n v="0.05"/>
    <n v="10484.24"/>
    <n v="10484.238000000001"/>
    <n v="6680.15"/>
    <n v="0.36283876806306775"/>
    <n v="3804.09"/>
    <n v="3804.0880000000016"/>
    <x v="0"/>
    <x v="0"/>
    <n v="124"/>
    <s v="Clean"/>
    <m/>
  </r>
  <r>
    <s v="ORD-2024-10624"/>
    <d v="2024-08-08T00:00:00"/>
    <x v="1"/>
    <x v="0"/>
    <d v="2024-08-14T00:00:00"/>
    <s v="CUST-6262"/>
    <s v="Vikram Iyer"/>
    <x v="3"/>
    <x v="0"/>
    <s v="Punjab"/>
    <s v="Ludhiana"/>
    <x v="0"/>
    <x v="8"/>
    <s v="Pro Storage 509"/>
    <x v="0"/>
    <n v="8"/>
    <n v="1359.19"/>
    <n v="0.05"/>
    <n v="10329.84"/>
    <n v="10329.843999999999"/>
    <n v="7512.22"/>
    <n v="0.27276539703794161"/>
    <n v="2817.62"/>
    <n v="2817.6239999999989"/>
    <x v="0"/>
    <x v="0"/>
    <n v="6"/>
    <s v="Clean"/>
    <m/>
  </r>
  <r>
    <s v="ORD-2024-10625"/>
    <d v="2024-01-30T00:00:00"/>
    <x v="8"/>
    <x v="0"/>
    <d v="2024-01-02T00:00:00"/>
    <s v="CUST-5070"/>
    <s v="Neha Gupta"/>
    <x v="3"/>
    <x v="1"/>
    <s v="Assam"/>
    <s v="Guwahati"/>
    <x v="1"/>
    <x v="4"/>
    <s v="Prime Chairs 765"/>
    <x v="2"/>
    <n v="2"/>
    <n v="4451.03"/>
    <n v="0.05"/>
    <n v="8456.9599999999991"/>
    <n v="8456.9569999999985"/>
    <n v="5462.85"/>
    <n v="0.35404070282017502"/>
    <n v="2994.11"/>
    <n v="2994.1069999999982"/>
    <x v="0"/>
    <x v="0"/>
    <n v="-28"/>
    <s v="Invalid"/>
    <m/>
  </r>
  <r>
    <s v="ORD-2024-10626"/>
    <d v="2024-12-15T00:00:00"/>
    <x v="7"/>
    <x v="0"/>
    <d v="2024-12-21T00:00:00"/>
    <s v="CUST-7946"/>
    <s v="Diya Patel"/>
    <x v="2"/>
    <x v="3"/>
    <s v="Rajasthan"/>
    <s v="Udaipur"/>
    <x v="1"/>
    <x v="4"/>
    <s v="Elite Chairs 358"/>
    <x v="1"/>
    <n v="3"/>
    <n v="527.66999999999996"/>
    <n v="0.2"/>
    <n v="1266.4100000000001"/>
    <n v="1266.4079999999999"/>
    <n v="983.92"/>
    <n v="0.22306239379410109"/>
    <n v="282.49"/>
    <n v="282.48799999999994"/>
    <x v="0"/>
    <x v="0"/>
    <n v="6"/>
    <s v="Clean"/>
    <m/>
  </r>
  <r>
    <s v="ORD-2025-10627"/>
    <d v="2025-04-06T00:00:00"/>
    <x v="5"/>
    <x v="1"/>
    <d v="2025-06-07T00:00:00"/>
    <s v="CUST-1793"/>
    <s v="Sneha Kapoor"/>
    <x v="3"/>
    <x v="1"/>
    <s v="Assam"/>
    <s v="Guwahati"/>
    <x v="2"/>
    <x v="12"/>
    <s v="Elite Machines 971"/>
    <x v="3"/>
    <n v="8"/>
    <n v="1434.13"/>
    <n v="0"/>
    <n v="11473.04"/>
    <n v="11473.04"/>
    <n v="8931.33"/>
    <n v="0.22153762211236086"/>
    <n v="2541.71"/>
    <n v="2541.7100000000009"/>
    <x v="2"/>
    <x v="2"/>
    <n v="62"/>
    <s v="Clean"/>
    <m/>
  </r>
  <r>
    <s v="ORD-2025-10628"/>
    <d v="2025-02-13T00:00:00"/>
    <x v="6"/>
    <x v="1"/>
    <d v="2025-02-21T00:00:00"/>
    <s v="CUST-8839"/>
    <s v="Karan Malhotra"/>
    <x v="1"/>
    <x v="2"/>
    <s v="Kerala"/>
    <s v="Kochi"/>
    <x v="2"/>
    <x v="11"/>
    <s v="Max Phones 825"/>
    <x v="0"/>
    <n v="2"/>
    <n v="2360.02"/>
    <n v="0.15"/>
    <n v="4012.03"/>
    <n v="4012.0339999999997"/>
    <n v="3142.92"/>
    <n v="0.21662677833737193"/>
    <n v="869.11"/>
    <n v="869.11399999999958"/>
    <x v="2"/>
    <x v="1"/>
    <n v="8"/>
    <s v="Clean"/>
    <m/>
  </r>
  <r>
    <s v="ORD-2025-10629"/>
    <d v="2025-05-10T00:00:00"/>
    <x v="4"/>
    <x v="1"/>
    <d v="2025-12-10T00:00:00"/>
    <s v="CUST-6725"/>
    <s v="Ananya Rao"/>
    <x v="3"/>
    <x v="1"/>
    <s v="Jharkhand"/>
    <s v="Ranchi"/>
    <x v="2"/>
    <x v="5"/>
    <s v="Eco Accessories 933"/>
    <x v="1"/>
    <n v="7"/>
    <n v="806.67"/>
    <n v="0.05"/>
    <n v="5364.36"/>
    <n v="5364.3554999999997"/>
    <n v="4391.29"/>
    <n v="0.18139467080434915"/>
    <n v="973.07"/>
    <n v="973.0654999999997"/>
    <x v="0"/>
    <x v="0"/>
    <n v="214"/>
    <s v="Clean"/>
    <m/>
  </r>
  <r>
    <s v="ORD-2025-10630"/>
    <d v="2025-09-10T00:00:00"/>
    <x v="9"/>
    <x v="1"/>
    <d v="2025-09-14T00:00:00"/>
    <s v="CUST-3793"/>
    <s v="Arjun Bose"/>
    <x v="3"/>
    <x v="3"/>
    <s v="Gujarat"/>
    <s v="Ahmedabad"/>
    <x v="1"/>
    <x v="1"/>
    <s v="Max Tables 908"/>
    <x v="1"/>
    <n v="3"/>
    <n v="4198.46"/>
    <n v="0.15"/>
    <n v="10706.07"/>
    <n v="10706.073"/>
    <n v="5927.1"/>
    <n v="0.44637963892082555"/>
    <n v="4778.97"/>
    <n v="4778.973"/>
    <x v="0"/>
    <x v="0"/>
    <n v="4"/>
    <s v="Clean"/>
    <m/>
  </r>
  <r>
    <s v="ORD-2024-10631"/>
    <d v="2024-09-04T00:00:00"/>
    <x v="9"/>
    <x v="0"/>
    <d v="2024-10-04T00:00:00"/>
    <s v="CUST-6075"/>
    <s v="Priya Menon"/>
    <x v="2"/>
    <x v="1"/>
    <s v="Assam"/>
    <s v="Guwahati"/>
    <x v="0"/>
    <x v="0"/>
    <s v="Elite Paper 239"/>
    <x v="3"/>
    <n v="4"/>
    <n v="3047.05"/>
    <n v="0.1"/>
    <n v="10969.38"/>
    <n v="10969.380000000001"/>
    <n v="9254.4599999999991"/>
    <n v="0.15633700354988173"/>
    <n v="1714.92"/>
    <n v="1714.9200000000019"/>
    <x v="0"/>
    <x v="0"/>
    <n v="30"/>
    <s v="Clean"/>
    <m/>
  </r>
  <r>
    <s v="ORD-2024-10632"/>
    <d v="2024-10-04T00:00:00"/>
    <x v="10"/>
    <x v="0"/>
    <d v="2024-04-15T00:00:00"/>
    <s v="CUST-6381"/>
    <s v="Aarav Sharma"/>
    <x v="3"/>
    <x v="3"/>
    <s v="Rajasthan"/>
    <s v="Udaipur"/>
    <x v="1"/>
    <x v="4"/>
    <s v="Eco Chairs 452"/>
    <x v="3"/>
    <n v="8"/>
    <n v="4362.4799999999996"/>
    <n v="0.1"/>
    <n v="31409.86"/>
    <n v="31409.855999999996"/>
    <n v="22523.54"/>
    <n v="0.2829148914277097"/>
    <n v="8886.32"/>
    <n v="8886.3159999999953"/>
    <x v="0"/>
    <x v="0"/>
    <n v="-172"/>
    <s v="Invalid"/>
    <m/>
  </r>
  <r>
    <s v="ORD-2025-10633"/>
    <d v="2025-04-15T00:00:00"/>
    <x v="5"/>
    <x v="1"/>
    <d v="2025-04-16T00:00:00"/>
    <s v="CUST-4593"/>
    <s v="Sneha Kapoor"/>
    <x v="1"/>
    <x v="2"/>
    <s v="Karnataka"/>
    <s v="Bengaluru"/>
    <x v="1"/>
    <x v="3"/>
    <s v="Smart Furnishings 721"/>
    <x v="2"/>
    <n v="5"/>
    <n v="2850.53"/>
    <n v="0"/>
    <n v="14252.65"/>
    <n v="14252.650000000001"/>
    <n v="11558.31"/>
    <n v="0.18904133617257154"/>
    <n v="2694.34"/>
    <n v="2694.340000000002"/>
    <x v="0"/>
    <x v="0"/>
    <n v="1"/>
    <s v="Clean"/>
    <m/>
  </r>
  <r>
    <s v="ORD-2025-10634"/>
    <d v="2025-04-18T00:00:00"/>
    <x v="5"/>
    <x v="1"/>
    <d v="2025-04-20T00:00:00"/>
    <s v="CUST-5043"/>
    <s v="Aarav Sharma"/>
    <x v="1"/>
    <x v="2"/>
    <s v="Tamil Nadu"/>
    <s v="Chennai"/>
    <x v="2"/>
    <x v="5"/>
    <s v="Basic Accessories 729"/>
    <x v="0"/>
    <n v="1"/>
    <n v="1626.08"/>
    <n v="0.15"/>
    <n v="1382.17"/>
    <n v="1382.1679999999999"/>
    <n v="810.03"/>
    <n v="0.4139424440444287"/>
    <n v="572.14"/>
    <n v="572.13799999999992"/>
    <x v="0"/>
    <x v="0"/>
    <n v="2"/>
    <s v="Clean"/>
    <m/>
  </r>
  <r>
    <s v="ORD-2025-10635"/>
    <d v="2025-01-11T00:00:00"/>
    <x v="8"/>
    <x v="1"/>
    <d v="2025-12-01T00:00:00"/>
    <s v="CUST-4722"/>
    <s v="Aditi Sen"/>
    <x v="0"/>
    <x v="2"/>
    <s v="Telangana"/>
    <s v="Hyderabad"/>
    <x v="1"/>
    <x v="4"/>
    <s v="Classic Chairs 220"/>
    <x v="0"/>
    <n v="4"/>
    <n v="2427.15"/>
    <n v="0.05"/>
    <n v="9223.17"/>
    <n v="9223.17"/>
    <n v="5103.7"/>
    <n v="0.44664361602355807"/>
    <n v="4119.47"/>
    <n v="4119.47"/>
    <x v="0"/>
    <x v="0"/>
    <n v="324"/>
    <s v="Clean"/>
    <m/>
  </r>
  <r>
    <s v="ORD-2024-10636"/>
    <d v="2024-05-20T00:00:00"/>
    <x v="4"/>
    <x v="0"/>
    <d v="2024-05-25T00:00:00"/>
    <s v="CUST-7931"/>
    <s v="Mira Das"/>
    <x v="2"/>
    <x v="2"/>
    <s v="Andhra Pradesh"/>
    <s v="Vijayawada"/>
    <x v="1"/>
    <x v="4"/>
    <s v="Max Chairs 305"/>
    <x v="1"/>
    <n v="7"/>
    <n v="3122.85"/>
    <n v="0.25"/>
    <n v="16394.96"/>
    <n v="16394.962500000001"/>
    <n v="10404.17"/>
    <n v="0.36540446493854445"/>
    <n v="5990.79"/>
    <n v="5990.7925000000014"/>
    <x v="0"/>
    <x v="0"/>
    <n v="5"/>
    <s v="Clean"/>
    <m/>
  </r>
  <r>
    <s v="ORD-2024-10637"/>
    <d v="2024-02-10T00:00:00"/>
    <x v="6"/>
    <x v="0"/>
    <d v="2024-09-10T00:00:00"/>
    <s v="CUST-7221"/>
    <s v="Ananya Rao"/>
    <x v="0"/>
    <x v="2"/>
    <s v="Tamil Nadu"/>
    <s v="Chennai"/>
    <x v="0"/>
    <x v="0"/>
    <s v="Smart Paper 872"/>
    <x v="3"/>
    <n v="8"/>
    <n v="1910.31"/>
    <n v="0.15"/>
    <n v="12990.11"/>
    <n v="12990.108"/>
    <n v="10200.799999999999"/>
    <n v="0.2147255434673831"/>
    <n v="2789.31"/>
    <n v="2789.3080000000009"/>
    <x v="0"/>
    <x v="0"/>
    <n v="213"/>
    <s v="Clean"/>
    <m/>
  </r>
  <r>
    <s v="ORD-2024-10638"/>
    <d v="2024-05-26T00:00:00"/>
    <x v="4"/>
    <x v="0"/>
    <d v="2024-05-26T00:00:00"/>
    <s v="CUST-2594"/>
    <s v="Rahul Verma"/>
    <x v="1"/>
    <x v="3"/>
    <s v="Goa"/>
    <s v="Panaji"/>
    <x v="2"/>
    <x v="6"/>
    <s v="Max Copiers 994"/>
    <x v="2"/>
    <n v="2"/>
    <n v="3192.47"/>
    <n v="0.2"/>
    <n v="5107.95"/>
    <n v="5107.9520000000002"/>
    <n v="3133.08"/>
    <n v="0.38662696908663202"/>
    <n v="1974.87"/>
    <n v="1974.8720000000003"/>
    <x v="0"/>
    <x v="0"/>
    <n v="0"/>
    <s v="Clean"/>
    <m/>
  </r>
  <r>
    <s v="ORD-2024-10639"/>
    <d v="2024-01-26T00:00:00"/>
    <x v="8"/>
    <x v="0"/>
    <d v="2024-01-31T00:00:00"/>
    <s v="CUST-2111"/>
    <s v="Karan Malhotra"/>
    <x v="2"/>
    <x v="2"/>
    <s v="Kerala"/>
    <s v="Kochi"/>
    <x v="0"/>
    <x v="8"/>
    <s v="Pro Storage 744"/>
    <x v="0"/>
    <n v="3"/>
    <n v="3224.32"/>
    <n v="0.2"/>
    <n v="7738.37"/>
    <n v="7738.3680000000013"/>
    <n v="4626.8500000000004"/>
    <n v="0.40208969126306743"/>
    <n v="3111.52"/>
    <n v="3111.5180000000009"/>
    <x v="3"/>
    <x v="2"/>
    <n v="5"/>
    <s v="Clean"/>
    <m/>
  </r>
  <r>
    <s v="ORD-2024-10640"/>
    <d v="2024-12-27T00:00:00"/>
    <x v="7"/>
    <x v="0"/>
    <d v="2024-12-31T00:00:00"/>
    <s v="CUST-6829"/>
    <s v="Isha Nair"/>
    <x v="1"/>
    <x v="1"/>
    <s v="Odisha"/>
    <s v="Bhubaneswar"/>
    <x v="1"/>
    <x v="4"/>
    <s v="Elite Chairs 744"/>
    <x v="0"/>
    <n v="1"/>
    <n v="1594.7"/>
    <n v="0.05"/>
    <n v="1514.96"/>
    <n v="1514.9649999999999"/>
    <n v="1046.17"/>
    <n v="0.3094427924077453"/>
    <n v="468.79"/>
    <n v="468.79499999999985"/>
    <x v="0"/>
    <x v="0"/>
    <n v="4"/>
    <s v="Clean"/>
    <m/>
  </r>
  <r>
    <s v="ORD-2025-10641"/>
    <d v="2025-01-14T00:00:00"/>
    <x v="8"/>
    <x v="1"/>
    <d v="2025-01-17T00:00:00"/>
    <s v="CUST-5061"/>
    <s v="Vikram Iyer"/>
    <x v="0"/>
    <x v="3"/>
    <s v="Goa"/>
    <s v="Panaji"/>
    <x v="0"/>
    <x v="8"/>
    <s v="Basic Storage 973"/>
    <x v="2"/>
    <n v="1"/>
    <n v="1584.12"/>
    <n v="0.2"/>
    <n v="1267.3"/>
    <n v="1267.296"/>
    <n v="923.53"/>
    <n v="0.27125943741635739"/>
    <n v="343.77"/>
    <n v="343.76600000000008"/>
    <x v="0"/>
    <x v="0"/>
    <n v="3"/>
    <s v="Clean"/>
    <m/>
  </r>
  <r>
    <s v="ORD-2025-10642"/>
    <d v="2025-09-04T00:00:00"/>
    <x v="9"/>
    <x v="1"/>
    <d v="2025-04-14T00:00:00"/>
    <s v="CUST-7915"/>
    <s v="Karan Malhotra"/>
    <x v="0"/>
    <x v="0"/>
    <s v="Delhi"/>
    <s v="New Delhi"/>
    <x v="1"/>
    <x v="3"/>
    <s v="Smart Furnishings 783"/>
    <x v="1"/>
    <n v="2"/>
    <n v="3202.87"/>
    <n v="0"/>
    <n v="6405.74"/>
    <n v="6405.74"/>
    <n v="3561.87"/>
    <n v="0.44395651400150488"/>
    <n v="2843.87"/>
    <n v="2843.87"/>
    <x v="0"/>
    <x v="0"/>
    <n v="-143"/>
    <s v="Invalid"/>
    <m/>
  </r>
  <r>
    <s v="ORD-2024-10643"/>
    <d v="2024-08-29T00:00:00"/>
    <x v="1"/>
    <x v="0"/>
    <d v="2024-08-31T00:00:00"/>
    <s v="CUST-1940"/>
    <s v="Isha Nair"/>
    <x v="3"/>
    <x v="1"/>
    <s v="Assam"/>
    <s v="Guwahati"/>
    <x v="0"/>
    <x v="9"/>
    <s v="Prime Binders 287"/>
    <x v="0"/>
    <n v="9"/>
    <n v="1275.21"/>
    <n v="0.25"/>
    <n v="8607.67"/>
    <n v="8607.6674999999996"/>
    <n v="5337.64"/>
    <n v="0.37989705108846261"/>
    <n v="3270.03"/>
    <n v="3270.0274999999992"/>
    <x v="3"/>
    <x v="2"/>
    <n v="2"/>
    <s v="Clean"/>
    <m/>
  </r>
  <r>
    <s v="ORD-2024-10644"/>
    <d v="2024-05-02T00:00:00"/>
    <x v="4"/>
    <x v="0"/>
    <d v="2024-02-13T00:00:00"/>
    <s v="CUST-1986"/>
    <s v="Aarav Sharma"/>
    <x v="3"/>
    <x v="0"/>
    <s v="Uttar Pradesh"/>
    <s v="Noida"/>
    <x v="0"/>
    <x v="7"/>
    <s v="Elite Labels 654"/>
    <x v="3"/>
    <n v="8"/>
    <n v="3871.18"/>
    <n v="0.15"/>
    <n v="26324.02"/>
    <n v="26324.023999999998"/>
    <n v="16277.96"/>
    <n v="0.3816310150758106"/>
    <n v="10046.06"/>
    <n v="10046.063999999998"/>
    <x v="3"/>
    <x v="2"/>
    <n v="-79"/>
    <s v="Invalid"/>
    <m/>
  </r>
  <r>
    <s v="ORD-2025-10645"/>
    <d v="2025-10-04T00:00:00"/>
    <x v="10"/>
    <x v="1"/>
    <d v="2025-04-17T00:00:00"/>
    <s v="CUST-5549"/>
    <s v="Vikram Iyer"/>
    <x v="0"/>
    <x v="1"/>
    <s v="West Bengal"/>
    <s v="Kolkata"/>
    <x v="1"/>
    <x v="4"/>
    <s v="Pro Chairs 812"/>
    <x v="3"/>
    <n v="4"/>
    <n v="3750.02"/>
    <n v="0.05"/>
    <n v="14250.08"/>
    <n v="14250.075999999999"/>
    <n v="10914.92"/>
    <n v="0.23404478684885605"/>
    <n v="3335.16"/>
    <n v="3335.155999999999"/>
    <x v="0"/>
    <x v="0"/>
    <n v="-170"/>
    <s v="Invalid"/>
    <m/>
  </r>
  <r>
    <s v="ORD-2024-10646"/>
    <d v="2024-04-01T00:00:00"/>
    <x v="5"/>
    <x v="0"/>
    <d v="2024-09-01T00:00:00"/>
    <s v="CUST-2314"/>
    <s v="Kabir Singh"/>
    <x v="0"/>
    <x v="1"/>
    <s v="Bihar"/>
    <s v="Patna"/>
    <x v="1"/>
    <x v="4"/>
    <s v="Basic Chairs 480"/>
    <x v="0"/>
    <n v="6"/>
    <n v="2423.61"/>
    <n v="0.1"/>
    <n v="13087.49"/>
    <n v="13087.494000000001"/>
    <n v="7608.89"/>
    <n v="0.41861367806548755"/>
    <n v="5133.22"/>
    <n v="5478.6040000000003"/>
    <x v="0"/>
    <x v="0"/>
    <n v="153"/>
    <s v="Clean"/>
    <m/>
  </r>
  <r>
    <s v="ORD-2024-10647"/>
    <d v="2024-09-18T00:00:00"/>
    <x v="9"/>
    <x v="0"/>
    <d v="2024-09-24T00:00:00"/>
    <s v="CUST-6360"/>
    <s v="Vikram Iyer"/>
    <x v="1"/>
    <x v="1"/>
    <s v="Jharkhand"/>
    <s v="Ranchi"/>
    <x v="2"/>
    <x v="12"/>
    <s v="Elite Machines 955"/>
    <x v="2"/>
    <n v="3"/>
    <n v="729.14"/>
    <n v="0.25"/>
    <n v="1640.57"/>
    <n v="1640.5650000000001"/>
    <n v="1136.98"/>
    <n v="0.30695827352162214"/>
    <n v="503.59"/>
    <n v="503.58500000000004"/>
    <x v="0"/>
    <x v="0"/>
    <n v="6"/>
    <s v="Clean"/>
    <m/>
  </r>
  <r>
    <s v="ORD-2025-10648"/>
    <d v="2025-01-01T00:00:00"/>
    <x v="8"/>
    <x v="1"/>
    <d v="2025-09-01T00:00:00"/>
    <s v="CUST-9942"/>
    <s v="Rohan Mehta"/>
    <x v="1"/>
    <x v="0"/>
    <s v="Punjab"/>
    <s v="Ludhiana"/>
    <x v="0"/>
    <x v="2"/>
    <s v="Prime Art 461"/>
    <x v="2"/>
    <n v="8"/>
    <n v="2123.81"/>
    <n v="0.15"/>
    <n v="14441.91"/>
    <n v="14441.907999999999"/>
    <n v="10872.89"/>
    <n v="0.24712925743606731"/>
    <n v="3569.02"/>
    <n v="3569.018"/>
    <x v="0"/>
    <x v="0"/>
    <n v="243"/>
    <s v="Clean"/>
    <m/>
  </r>
  <r>
    <s v="ORD-2024-10649"/>
    <d v="2024-04-21T00:00:00"/>
    <x v="5"/>
    <x v="0"/>
    <d v="2024-04-24T00:00:00"/>
    <s v="CUST-1808"/>
    <s v="Neha Gupta"/>
    <x v="1"/>
    <x v="2"/>
    <s v="Andhra Pradesh"/>
    <s v="Vijayawada"/>
    <x v="0"/>
    <x v="2"/>
    <s v="Prime Art 301"/>
    <x v="1"/>
    <n v="9"/>
    <n v="703.59"/>
    <n v="0.2"/>
    <n v="5065.8500000000004"/>
    <n v="5065.8480000000009"/>
    <n v="3517.23"/>
    <n v="0.30569768378364304"/>
    <n v="1548.62"/>
    <n v="1548.6180000000008"/>
    <x v="3"/>
    <x v="2"/>
    <n v="3"/>
    <s v="Clean"/>
    <m/>
  </r>
  <r>
    <s v="ORD-2025-10650"/>
    <d v="2025-11-08T00:00:00"/>
    <x v="3"/>
    <x v="1"/>
    <d v="2025-08-19T00:00:00"/>
    <s v="CUST-7277"/>
    <s v="Kabir Singh"/>
    <x v="1"/>
    <x v="2"/>
    <s v="Kerala"/>
    <s v="Kochi"/>
    <x v="2"/>
    <x v="5"/>
    <s v="Classic Accessories 354"/>
    <x v="3"/>
    <n v="4"/>
    <n v="2258.96"/>
    <n v="0.25"/>
    <n v="6776.88"/>
    <n v="6776.88"/>
    <n v="3836.24"/>
    <n v="0.43392239496641527"/>
    <n v="2940.64"/>
    <n v="2940.6400000000003"/>
    <x v="0"/>
    <x v="0"/>
    <n v="-81"/>
    <s v="Invalid"/>
    <m/>
  </r>
  <r>
    <s v="ORD-2024-10651"/>
    <d v="2024-04-13T00:00:00"/>
    <x v="5"/>
    <x v="0"/>
    <d v="2024-04-21T00:00:00"/>
    <s v="CUST-7744"/>
    <s v="Aarav Sharma"/>
    <x v="3"/>
    <x v="1"/>
    <s v="Bihar"/>
    <s v="Patna"/>
    <x v="2"/>
    <x v="5"/>
    <s v="Basic Accessories 210"/>
    <x v="1"/>
    <n v="7"/>
    <n v="2648.76"/>
    <n v="0.15"/>
    <n v="15760.12"/>
    <n v="15760.121999999999"/>
    <n v="9931.5300000000007"/>
    <n v="0.36983165485647884"/>
    <n v="5828.59"/>
    <n v="5828.5919999999987"/>
    <x v="3"/>
    <x v="2"/>
    <n v="8"/>
    <s v="Clean"/>
    <m/>
  </r>
  <r>
    <s v="ORD-2025-10652"/>
    <d v="2025-06-08T00:00:00"/>
    <x v="2"/>
    <x v="1"/>
    <d v="2025-09-08T00:00:00"/>
    <s v="CUST-2660"/>
    <s v="Mira Das"/>
    <x v="1"/>
    <x v="2"/>
    <s v="Andhra Pradesh"/>
    <s v="Vijayawada"/>
    <x v="0"/>
    <x v="0"/>
    <s v="Smart Paper 364"/>
    <x v="0"/>
    <n v="3"/>
    <n v="598.54999999999995"/>
    <n v="0"/>
    <n v="1795.65"/>
    <n v="1795.6499999999999"/>
    <n v="996.72"/>
    <n v="0.44492523598696843"/>
    <n v="798.93"/>
    <n v="798.92999999999984"/>
    <x v="0"/>
    <x v="0"/>
    <n v="92"/>
    <s v="Clean"/>
    <m/>
  </r>
  <r>
    <s v="ORD-2025-10653"/>
    <d v="2025-03-17T00:00:00"/>
    <x v="11"/>
    <x v="1"/>
    <d v="2025-03-21T00:00:00"/>
    <s v="CUST-8177"/>
    <s v="Sneha Kapoor"/>
    <x v="0"/>
    <x v="0"/>
    <s v="Uttar Pradesh"/>
    <s v="Noida"/>
    <x v="0"/>
    <x v="9"/>
    <s v="Smart Binders 999"/>
    <x v="3"/>
    <n v="5"/>
    <n v="4320.59"/>
    <n v="0.15"/>
    <n v="18362.509999999998"/>
    <n v="18362.5075"/>
    <n v="11133.97"/>
    <n v="0.39365742941153326"/>
    <n v="7228.54"/>
    <n v="7228.5375000000004"/>
    <x v="0"/>
    <x v="0"/>
    <n v="4"/>
    <s v="Clean"/>
    <m/>
  </r>
  <r>
    <s v="ORD-2025-10654"/>
    <d v="2025-04-04T00:00:00"/>
    <x v="5"/>
    <x v="1"/>
    <d v="2025-04-07T00:00:00"/>
    <s v="CUST-3970"/>
    <s v="Priya Menon"/>
    <x v="1"/>
    <x v="2"/>
    <s v="Tamil Nadu"/>
    <s v="Chennai"/>
    <x v="2"/>
    <x v="6"/>
    <s v="Max Copiers 356"/>
    <x v="0"/>
    <n v="7"/>
    <n v="4457.93"/>
    <n v="0.15"/>
    <n v="26524.68"/>
    <n v="26524.683500000003"/>
    <n v="20574.3"/>
    <n v="0.22433381721595294"/>
    <n v="5950.38"/>
    <n v="5950.3835000000036"/>
    <x v="0"/>
    <x v="0"/>
    <n v="3"/>
    <s v="Clean"/>
    <m/>
  </r>
  <r>
    <s v="ORD-2025-10655"/>
    <d v="2025-10-12T00:00:00"/>
    <x v="10"/>
    <x v="1"/>
    <d v="2025-10-16T00:00:00"/>
    <s v="CUST-8249"/>
    <s v="Diya Patel"/>
    <x v="2"/>
    <x v="1"/>
    <s v="Bihar"/>
    <s v="Patna"/>
    <x v="2"/>
    <x v="12"/>
    <s v="Classic Machines 639"/>
    <x v="1"/>
    <n v="1"/>
    <n v="2570.06"/>
    <n v="0.2"/>
    <n v="2056.0500000000002"/>
    <n v="2056.0480000000002"/>
    <n v="1662.39"/>
    <n v="0.19146342886936496"/>
    <n v="393.66"/>
    <n v="393.65800000000013"/>
    <x v="0"/>
    <x v="0"/>
    <n v="4"/>
    <s v="Clean"/>
    <m/>
  </r>
  <r>
    <s v="ORD-2025-10656"/>
    <d v="2025-08-26T00:00:00"/>
    <x v="1"/>
    <x v="1"/>
    <d v="2025-08-26T00:00:00"/>
    <s v="CUST-8039"/>
    <s v="Neha Gupta"/>
    <x v="3"/>
    <x v="1"/>
    <s v="West Bengal"/>
    <s v="Kolkata"/>
    <x v="1"/>
    <x v="3"/>
    <s v="Smart Furnishings 748"/>
    <x v="3"/>
    <n v="4"/>
    <n v="2151.8200000000002"/>
    <n v="0"/>
    <n v="8607.2800000000007"/>
    <n v="8607.2800000000007"/>
    <n v="5124.01"/>
    <n v="0.40468882155570635"/>
    <n v="3483.27"/>
    <n v="3483.2700000000004"/>
    <x v="0"/>
    <x v="0"/>
    <n v="0"/>
    <s v="Clean"/>
    <m/>
  </r>
  <r>
    <s v="ORD-2024-10657"/>
    <d v="2024-07-05T00:00:00"/>
    <x v="0"/>
    <x v="0"/>
    <d v="2024-05-14T00:00:00"/>
    <s v="CUST-4446"/>
    <s v="Neha Gupta"/>
    <x v="1"/>
    <x v="0"/>
    <s v="Haryana"/>
    <s v="Gurugram"/>
    <x v="2"/>
    <x v="12"/>
    <s v="Pro Machines 589"/>
    <x v="1"/>
    <n v="4"/>
    <n v="2751.1"/>
    <n v="-0.05"/>
    <n v="9903.9599999999991"/>
    <n v="11554.62"/>
    <n v="7696.28"/>
    <m/>
    <n v="2207.6799999999998"/>
    <m/>
    <x v="0"/>
    <x v="0"/>
    <n v="-52"/>
    <s v="Invalid"/>
    <m/>
  </r>
  <r>
    <s v="ORD-2025-10658"/>
    <d v="2025-08-07T00:00:00"/>
    <x v="1"/>
    <x v="1"/>
    <d v="2025-10-08T00:00:00"/>
    <s v="CUST-7787"/>
    <s v="Aditi Sen"/>
    <x v="3"/>
    <x v="1"/>
    <s v="Bihar"/>
    <s v="Patna"/>
    <x v="0"/>
    <x v="8"/>
    <s v="Eco Storage 316"/>
    <x v="0"/>
    <n v="1"/>
    <n v="2541.25"/>
    <n v="0.2"/>
    <n v="2033"/>
    <n v="2033"/>
    <n v="1291.4100000000001"/>
    <n v="0.36477619281849477"/>
    <n v="741.59"/>
    <n v="741.58999999999992"/>
    <x v="0"/>
    <x v="0"/>
    <n v="62"/>
    <s v="Clean"/>
    <m/>
  </r>
  <r>
    <s v="ORD-2025-10659"/>
    <d v="2025-09-06T00:00:00"/>
    <x v="9"/>
    <x v="1"/>
    <d v="2025-06-12T00:00:00"/>
    <s v="CUST-9074"/>
    <s v="Sneha Kapoor"/>
    <x v="0"/>
    <x v="4"/>
    <s v="Bihar"/>
    <s v="Patna"/>
    <x v="0"/>
    <x v="2"/>
    <s v="Eco Art 763"/>
    <x v="2"/>
    <n v="7"/>
    <n v="2852.42"/>
    <n v="0"/>
    <n v="19966.939999999999"/>
    <n v="19966.940000000002"/>
    <n v="12690.83"/>
    <n v="0.36440786620283339"/>
    <n v="7276.11"/>
    <n v="7276.1100000000024"/>
    <x v="1"/>
    <x v="1"/>
    <n v="-86"/>
    <s v="Invalid/Warning"/>
    <m/>
  </r>
  <r>
    <s v="ORD-2025-10660"/>
    <d v="2025-01-21T00:00:00"/>
    <x v="8"/>
    <x v="1"/>
    <d v="2025-01-22T00:00:00"/>
    <s v="CUST-8330"/>
    <s v="Diya Patel"/>
    <x v="2"/>
    <x v="2"/>
    <s v="Karnataka"/>
    <s v="Bengaluru"/>
    <x v="2"/>
    <x v="11"/>
    <s v="Pro Phones 356"/>
    <x v="0"/>
    <n v="2"/>
    <n v="444.31"/>
    <n v="0.2"/>
    <n v="710.9"/>
    <n v="710.89600000000007"/>
    <n v="513.88"/>
    <n v="0.27713758411919615"/>
    <n v="197.02"/>
    <n v="197.01600000000008"/>
    <x v="1"/>
    <x v="1"/>
    <n v="1"/>
    <s v="Clean"/>
    <m/>
  </r>
  <r>
    <s v="ORD-2025-10661"/>
    <d v="2025-07-15T00:00:00"/>
    <x v="0"/>
    <x v="1"/>
    <d v="2025-07-15T00:00:00"/>
    <s v="CUST-5638"/>
    <s v="Arjun Bose"/>
    <x v="1"/>
    <x v="1"/>
    <s v="Jharkhand"/>
    <s v="Ranchi"/>
    <x v="2"/>
    <x v="11"/>
    <s v="Basic Phones 865"/>
    <x v="1"/>
    <n v="4"/>
    <n v="4442.91"/>
    <n v="0.1"/>
    <n v="15994.48"/>
    <n v="15994.476000000001"/>
    <n v="9224.2800000000007"/>
    <n v="0.42328338858991066"/>
    <n v="6770.2"/>
    <n v="6770.1959999999999"/>
    <x v="0"/>
    <x v="0"/>
    <n v="0"/>
    <s v="Clean"/>
    <m/>
  </r>
  <r>
    <s v="ORD-2024-10662"/>
    <d v="2024-05-17T00:00:00"/>
    <x v="4"/>
    <x v="0"/>
    <d v="2024-05-22T00:00:00"/>
    <s v="CUST-4537"/>
    <s v="Sneha Kapoor"/>
    <x v="0"/>
    <x v="2"/>
    <s v="Andhra Pradesh"/>
    <s v="Vijayawada"/>
    <x v="2"/>
    <x v="12"/>
    <s v="Max Machines 595"/>
    <x v="0"/>
    <n v="7"/>
    <n v="232.5"/>
    <n v="0"/>
    <n v="1627.5"/>
    <n v="1627.5"/>
    <n v="939.9"/>
    <n v="0.4224884792626728"/>
    <n v="687.6"/>
    <n v="687.6"/>
    <x v="0"/>
    <x v="0"/>
    <n v="5"/>
    <s v="Clean"/>
    <m/>
  </r>
  <r>
    <s v="ORD-2024-10663"/>
    <d v="2024-01-14T00:00:00"/>
    <x v="8"/>
    <x v="0"/>
    <d v="2024-01-18T00:00:00"/>
    <s v="CUST-3181"/>
    <s v="Mira Das"/>
    <x v="3"/>
    <x v="3"/>
    <s v="Rajasthan"/>
    <s v="Udaipur"/>
    <x v="2"/>
    <x v="12"/>
    <s v="Elite Machines 367"/>
    <x v="1"/>
    <n v="6"/>
    <n v="1784.8"/>
    <n v="0.1"/>
    <n v="9637.92"/>
    <n v="9637.92"/>
    <n v="7329.29"/>
    <n v="0.2395361239769577"/>
    <n v="2308.63"/>
    <n v="2308.63"/>
    <x v="0"/>
    <x v="0"/>
    <n v="4"/>
    <s v="Clean"/>
    <m/>
  </r>
  <r>
    <s v="ORD-2024-10664"/>
    <d v="2024-05-02T00:00:00"/>
    <x v="4"/>
    <x v="0"/>
    <d v="2024-08-05T00:00:00"/>
    <s v="CUST-1015"/>
    <s v="Rahul Verma"/>
    <x v="3"/>
    <x v="1"/>
    <s v="Jharkhand"/>
    <s v="Ranchi"/>
    <x v="2"/>
    <x v="6"/>
    <s v="Basic Copiers 787"/>
    <x v="0"/>
    <n v="2"/>
    <n v="3185.01"/>
    <n v="-0.24"/>
    <n v="4777.5200000000004"/>
    <n v="7898.8248000000003"/>
    <n v="3152.98"/>
    <m/>
    <n v="1624.54"/>
    <m/>
    <x v="0"/>
    <x v="0"/>
    <n v="95"/>
    <s v="Invalid"/>
    <m/>
  </r>
  <r>
    <s v="ORD-2024-10665"/>
    <d v="2024-07-12T00:00:00"/>
    <x v="0"/>
    <x v="0"/>
    <d v="2024-10-12T00:00:00"/>
    <s v="CUST-2709"/>
    <s v="Mira Das"/>
    <x v="3"/>
    <x v="2"/>
    <s v="Telangana"/>
    <s v="Hyderabad"/>
    <x v="2"/>
    <x v="5"/>
    <s v="Max Accessories 903"/>
    <x v="3"/>
    <n v="1"/>
    <n v="1908.83"/>
    <n v="0.2"/>
    <n v="1527.06"/>
    <n v="1527.0640000000001"/>
    <n v="1055.8900000000001"/>
    <n v="0.30854895407134209"/>
    <n v="471.17"/>
    <n v="471.17399999999998"/>
    <x v="0"/>
    <x v="0"/>
    <n v="92"/>
    <s v="Clean"/>
    <m/>
  </r>
  <r>
    <s v="ORD-2025-10666"/>
    <d v="2025-01-13T00:00:00"/>
    <x v="8"/>
    <x v="1"/>
    <d v="2025-01-13T00:00:00"/>
    <s v="CUST-1197"/>
    <s v="Rahul Verma"/>
    <x v="3"/>
    <x v="3"/>
    <s v="Gujarat"/>
    <s v="Ahmedabad"/>
    <x v="0"/>
    <x v="2"/>
    <s v="Max Art 660"/>
    <x v="3"/>
    <n v="3"/>
    <n v="2110.52"/>
    <n v="0.1"/>
    <n v="5698.4"/>
    <n v="5698.4039999999995"/>
    <n v="3640.89"/>
    <n v="0.36106846759197836"/>
    <n v="2057.5100000000002"/>
    <n v="2057.5139999999997"/>
    <x v="3"/>
    <x v="1"/>
    <n v="0"/>
    <s v="Clean"/>
    <m/>
  </r>
  <r>
    <s v="ORD-2024-10667"/>
    <d v="2024-06-21T00:00:00"/>
    <x v="2"/>
    <x v="0"/>
    <d v="2024-06-26T00:00:00"/>
    <s v="CUST-7758"/>
    <s v="Rohan Mehta"/>
    <x v="1"/>
    <x v="0"/>
    <s v="Punjab"/>
    <s v="Ludhiana"/>
    <x v="2"/>
    <x v="6"/>
    <s v="Classic Copiers 908"/>
    <x v="1"/>
    <n v="1"/>
    <n v="279.83"/>
    <n v="0.05"/>
    <n v="265.83999999999997"/>
    <n v="265.83849999999995"/>
    <n v="223.49"/>
    <n v="0.15930160605028976"/>
    <n v="42.35"/>
    <n v="42.348499999999945"/>
    <x v="0"/>
    <x v="0"/>
    <n v="5"/>
    <s v="Clean"/>
    <m/>
  </r>
  <r>
    <s v="ORD-2025-10668"/>
    <d v="2025-05-20T00:00:00"/>
    <x v="4"/>
    <x v="1"/>
    <d v="2025-05-27T00:00:00"/>
    <s v="CUST-3912"/>
    <s v="Diya Patel"/>
    <x v="1"/>
    <x v="1"/>
    <s v="Bihar"/>
    <s v="Patna"/>
    <x v="2"/>
    <x v="12"/>
    <s v="Pro Machines 706"/>
    <x v="3"/>
    <n v="1"/>
    <n v="3959.14"/>
    <n v="0"/>
    <n v="3959.14"/>
    <n v="3959.14"/>
    <n v="3239.53"/>
    <n v="0.18175916992074029"/>
    <n v="719.61"/>
    <n v="719.60999999999967"/>
    <x v="2"/>
    <x v="2"/>
    <n v="7"/>
    <s v="Clean"/>
    <m/>
  </r>
  <r>
    <s v="ORD-2024-10669"/>
    <d v="2024-11-21T00:00:00"/>
    <x v="3"/>
    <x v="0"/>
    <d v="2024-11-23T00:00:00"/>
    <s v="CUST-4190"/>
    <s v="Mira Das"/>
    <x v="2"/>
    <x v="3"/>
    <s v="Gujarat"/>
    <s v="Ahmedabad"/>
    <x v="0"/>
    <x v="0"/>
    <s v="Pro Paper 187"/>
    <x v="0"/>
    <n v="5"/>
    <n v="600.46"/>
    <n v="0.2"/>
    <n v="2401.84"/>
    <n v="2401.84"/>
    <n v="1873.11"/>
    <n v="0.22013539619624964"/>
    <n v="528.73"/>
    <n v="528.73000000000025"/>
    <x v="0"/>
    <x v="0"/>
    <n v="2"/>
    <s v="Clean"/>
    <m/>
  </r>
  <r>
    <s v="ORD-2024-10670"/>
    <d v="2024-03-24T00:00:00"/>
    <x v="11"/>
    <x v="0"/>
    <d v="2024-01-04T00:00:00"/>
    <s v="CUST-7568"/>
    <s v="Ananya Rao"/>
    <x v="3"/>
    <x v="3"/>
    <s v="Maharashtra"/>
    <s v="Mumbai"/>
    <x v="1"/>
    <x v="1"/>
    <s v="Classic Tables 606"/>
    <x v="0"/>
    <n v="4"/>
    <n v="1700.72"/>
    <n v="0.25"/>
    <n v="5102.16"/>
    <n v="5102.16"/>
    <n v="3226.45"/>
    <n v="0.36763057214983458"/>
    <n v="1875.71"/>
    <n v="1875.71"/>
    <x v="0"/>
    <x v="0"/>
    <n v="-80"/>
    <s v="Invalid"/>
    <m/>
  </r>
  <r>
    <s v="ORD-2025-10671"/>
    <d v="2025-02-02T00:00:00"/>
    <x v="6"/>
    <x v="1"/>
    <d v="2025-06-02T00:00:00"/>
    <s v="CUST-5604"/>
    <s v="Sneha Kapoor"/>
    <x v="2"/>
    <x v="0"/>
    <s v="Uttar Pradesh"/>
    <s v="Noida"/>
    <x v="1"/>
    <x v="1"/>
    <s v="Smart Tables 835"/>
    <x v="3"/>
    <n v="8"/>
    <n v="857.86"/>
    <n v="0.1"/>
    <n v="6176.59"/>
    <n v="6176.5920000000006"/>
    <n v="3560.96"/>
    <n v="0.42347495188285067"/>
    <n v="2615.63"/>
    <n v="2615.6320000000005"/>
    <x v="0"/>
    <x v="0"/>
    <n v="120"/>
    <s v="Clean"/>
    <m/>
  </r>
  <r>
    <s v="ORD-2024-10672"/>
    <d v="2024-03-22T00:00:00"/>
    <x v="11"/>
    <x v="0"/>
    <d v="2024-03-27T00:00:00"/>
    <s v="CUST-3293"/>
    <s v="Aditi Sen"/>
    <x v="3"/>
    <x v="3"/>
    <s v="Goa"/>
    <s v="Panaji"/>
    <x v="2"/>
    <x v="6"/>
    <s v="Classic Copiers 583"/>
    <x v="0"/>
    <n v="9"/>
    <n v="3649.51"/>
    <n v="0.05"/>
    <n v="31203.31"/>
    <n v="31203.310500000003"/>
    <n v="17738.13"/>
    <n v="0.43153051020019179"/>
    <n v="13465.18"/>
    <n v="13465.180500000002"/>
    <x v="0"/>
    <x v="0"/>
    <n v="5"/>
    <s v="Clean"/>
    <m/>
  </r>
  <r>
    <s v="ORD-2024-10673"/>
    <d v="2024-04-09T00:00:00"/>
    <x v="5"/>
    <x v="0"/>
    <d v="2024-05-09T00:00:00"/>
    <s v="CUST-8180"/>
    <s v="Aditi Sen"/>
    <x v="2"/>
    <x v="3"/>
    <s v="Madhya Pradesh"/>
    <s v="Indore"/>
    <x v="1"/>
    <x v="4"/>
    <s v="Classic Chairs 460"/>
    <x v="3"/>
    <n v="5"/>
    <n v="2528.5300000000002"/>
    <n v="0.05"/>
    <n v="12010.52"/>
    <n v="12010.5175"/>
    <n v="7864.61"/>
    <n v="0.34518974723612039"/>
    <n v="4145.91"/>
    <n v="4145.9075000000003"/>
    <x v="0"/>
    <x v="2"/>
    <n v="30"/>
    <s v="Clean"/>
    <m/>
  </r>
  <r>
    <s v="ORD-2025-10674"/>
    <d v="2025-02-13T00:00:00"/>
    <x v="6"/>
    <x v="1"/>
    <d v="2025-02-16T00:00:00"/>
    <s v="CUST-2807"/>
    <s v="Arjun Bose"/>
    <x v="1"/>
    <x v="3"/>
    <s v="Rajasthan"/>
    <s v="Udaipur"/>
    <x v="1"/>
    <x v="10"/>
    <s v="Classic Bookcases 488"/>
    <x v="0"/>
    <n v="4"/>
    <n v="4072.9"/>
    <n v="0.15"/>
    <n v="13847.86"/>
    <n v="13847.86"/>
    <n v="8471.7800000000007"/>
    <n v="0.38822460654570451"/>
    <n v="5376.08"/>
    <n v="5376.08"/>
    <x v="0"/>
    <x v="0"/>
    <n v="3"/>
    <s v="Clean"/>
    <m/>
  </r>
  <r>
    <s v="ORD-2024-10675"/>
    <d v="2024-05-18T00:00:00"/>
    <x v="4"/>
    <x v="0"/>
    <d v="2024-05-21T00:00:00"/>
    <s v="CUST-4081"/>
    <s v="Vikram Iyer"/>
    <x v="2"/>
    <x v="1"/>
    <s v="Jharkhand"/>
    <s v="Ranchi"/>
    <x v="2"/>
    <x v="5"/>
    <s v="Basic Accessories 944"/>
    <x v="0"/>
    <n v="1"/>
    <n v="1033.71"/>
    <n v="0"/>
    <n v="1033.71"/>
    <n v="1033.71"/>
    <n v="630.82000000000005"/>
    <n v="0.38975147768716562"/>
    <n v="402.89"/>
    <n v="402.89"/>
    <x v="2"/>
    <x v="2"/>
    <n v="3"/>
    <s v="Clean"/>
    <m/>
  </r>
  <r>
    <s v="ORD-2025-10676"/>
    <d v="2025-07-06T00:00:00"/>
    <x v="0"/>
    <x v="1"/>
    <d v="2025-06-10T00:00:00"/>
    <s v="CUST-5061"/>
    <s v="Aarav Sharma"/>
    <x v="0"/>
    <x v="0"/>
    <s v="Rajasthan"/>
    <s v="Jaipur"/>
    <x v="1"/>
    <x v="3"/>
    <s v="Eco Furnishings 217"/>
    <x v="1"/>
    <n v="3"/>
    <n v="963.26"/>
    <n v="0"/>
    <n v="2889.78"/>
    <n v="2889.7799999999997"/>
    <n v="1811.23"/>
    <n v="0.37322910394562903"/>
    <n v="1078.55"/>
    <n v="1078.5499999999997"/>
    <x v="0"/>
    <x v="0"/>
    <n v="-26"/>
    <s v="Invalid"/>
    <m/>
  </r>
  <r>
    <s v="ORD-2025-10677"/>
    <d v="2025-09-11T00:00:00"/>
    <x v="9"/>
    <x v="1"/>
    <d v="2025-09-18T00:00:00"/>
    <s v="CUST-9212"/>
    <s v="Rahul Verma"/>
    <x v="1"/>
    <x v="0"/>
    <s v="Delhi"/>
    <s v="New Delhi"/>
    <x v="2"/>
    <x v="11"/>
    <s v="Smart Phones 967"/>
    <x v="1"/>
    <n v="7"/>
    <n v="3411.21"/>
    <n v="0.15"/>
    <n v="20296.7"/>
    <n v="20296.699499999999"/>
    <n v="14920.87"/>
    <n v="0.26486225014071862"/>
    <n v="5375.83"/>
    <n v="5375.829499999998"/>
    <x v="0"/>
    <x v="0"/>
    <n v="7"/>
    <s v="Clean"/>
    <m/>
  </r>
  <r>
    <s v="ORD-2024-10678"/>
    <d v="2024-06-22T00:00:00"/>
    <x v="2"/>
    <x v="0"/>
    <d v="2024-06-27T00:00:00"/>
    <s v="CUST-4655"/>
    <s v="Isha Nair"/>
    <x v="3"/>
    <x v="2"/>
    <s v="Karnataka"/>
    <s v="Bengaluru"/>
    <x v="1"/>
    <x v="4"/>
    <s v="Smart Chairs 610"/>
    <x v="1"/>
    <n v="7"/>
    <n v="2623.48"/>
    <n v="0"/>
    <n v="18364.36"/>
    <n v="18364.36"/>
    <n v="15445.81"/>
    <n v="0.15892467801763857"/>
    <n v="2918.55"/>
    <n v="2918.5500000000011"/>
    <x v="0"/>
    <x v="0"/>
    <n v="5"/>
    <s v="Clean"/>
    <m/>
  </r>
  <r>
    <s v="ORD-2024-10679"/>
    <d v="2024-11-24T00:00:00"/>
    <x v="3"/>
    <x v="0"/>
    <d v="2024-12-01T00:00:00"/>
    <s v="CUST-1674"/>
    <s v="Kabir Singh"/>
    <x v="2"/>
    <x v="2"/>
    <s v="Karnataka"/>
    <s v="Bengaluru"/>
    <x v="1"/>
    <x v="1"/>
    <s v="Prime Tables 123"/>
    <x v="0"/>
    <n v="9"/>
    <n v="2763.61"/>
    <n v="0.15"/>
    <n v="21141.62"/>
    <n v="21141.6165"/>
    <n v="11676.33"/>
    <n v="0.44770874071999178"/>
    <n v="9465.2900000000009"/>
    <n v="9465.2865000000002"/>
    <x v="0"/>
    <x v="0"/>
    <n v="7"/>
    <s v="Clean"/>
    <m/>
  </r>
  <r>
    <s v="ORD-2025-10680"/>
    <d v="2025-08-16T00:00:00"/>
    <x v="1"/>
    <x v="1"/>
    <d v="2025-08-23T00:00:00"/>
    <s v="CUST-2897"/>
    <s v="Rohan Mehta"/>
    <x v="2"/>
    <x v="0"/>
    <s v="Punjab"/>
    <s v="Ludhiana"/>
    <x v="2"/>
    <x v="6"/>
    <s v="Smart Copiers 579"/>
    <x v="1"/>
    <n v="4"/>
    <n v="1410.57"/>
    <n v="0.7"/>
    <n v="5360.17"/>
    <n v="1692.6840000000002"/>
    <n v="3881.51"/>
    <n v="-1.2931096412561351"/>
    <n v="1478.66"/>
    <n v="-2188.826"/>
    <x v="1"/>
    <x v="1"/>
    <n v="7"/>
    <s v="Clean"/>
    <m/>
  </r>
  <r>
    <s v="ORD-2024-10681"/>
    <d v="2024-05-29T00:00:00"/>
    <x v="4"/>
    <x v="0"/>
    <d v="2024-05-06T00:00:00"/>
    <s v="CUST-1136"/>
    <s v="Kabir Singh"/>
    <x v="2"/>
    <x v="2"/>
    <s v="Tamil Nadu"/>
    <s v="Chennai"/>
    <x v="2"/>
    <x v="5"/>
    <s v="Eco Accessories 658"/>
    <x v="2"/>
    <n v="4"/>
    <n v="3700.24"/>
    <n v="0"/>
    <n v="14800.96"/>
    <n v="14800.96"/>
    <n v="12048.39"/>
    <n v="0.18597239638509933"/>
    <n v="2752.57"/>
    <n v="2752.5699999999997"/>
    <x v="0"/>
    <x v="0"/>
    <n v="-23"/>
    <s v="Invalid"/>
    <m/>
  </r>
  <r>
    <s v="ORD-2024-10682"/>
    <d v="2024-07-04T00:00:00"/>
    <x v="0"/>
    <x v="0"/>
    <d v="2024-10-07T00:00:00"/>
    <s v="CUST-1376"/>
    <s v="Vikram Iyer"/>
    <x v="2"/>
    <x v="0"/>
    <s v="Delhi"/>
    <s v="New Delhi"/>
    <x v="1"/>
    <x v="1"/>
    <s v="Smart Tables 777"/>
    <x v="0"/>
    <n v="5"/>
    <n v="1200.27"/>
    <n v="0"/>
    <n v="6001.35"/>
    <n v="6001.35"/>
    <n v="4182.99"/>
    <n v="0.30299182683896131"/>
    <n v="1818.36"/>
    <n v="1818.3600000000006"/>
    <x v="0"/>
    <x v="1"/>
    <n v="95"/>
    <s v="Clean"/>
    <m/>
  </r>
  <r>
    <s v="ORD-2025-10683"/>
    <d v="2025-05-02T00:00:00"/>
    <x v="4"/>
    <x v="1"/>
    <d v="2025-05-02T00:00:00"/>
    <s v="CUST-1553"/>
    <s v="Ananya Rao"/>
    <x v="2"/>
    <x v="0"/>
    <s v="Haryana"/>
    <s v="Gurugram"/>
    <x v="0"/>
    <x v="8"/>
    <s v="Eco Storage 861"/>
    <x v="1"/>
    <n v="3"/>
    <n v="2590.7800000000002"/>
    <n v="0"/>
    <n v="7383.72"/>
    <n v="7772.34"/>
    <n v="4113.66"/>
    <n v="0.47073082237781677"/>
    <n v="3270.06"/>
    <n v="3658.6800000000003"/>
    <x v="0"/>
    <x v="0"/>
    <n v="0"/>
    <s v="Clean"/>
    <m/>
  </r>
  <r>
    <s v="ORD-2025-10684"/>
    <d v="2025-07-20T00:00:00"/>
    <x v="0"/>
    <x v="1"/>
    <d v="2025-07-24T00:00:00"/>
    <s v="CUST-5704"/>
    <s v="Arjun Bose"/>
    <x v="1"/>
    <x v="2"/>
    <s v="Telangana"/>
    <s v="Hyderabad"/>
    <x v="1"/>
    <x v="3"/>
    <s v="Eco Furnishings 875"/>
    <x v="0"/>
    <n v="6"/>
    <n v="1646.45"/>
    <n v="0.2"/>
    <n v="7902.96"/>
    <n v="7902.9600000000009"/>
    <n v="5512.03"/>
    <n v="0.30253601182341816"/>
    <n v="2390.9299999999998"/>
    <n v="2390.9300000000012"/>
    <x v="1"/>
    <x v="1"/>
    <n v="4"/>
    <s v="Clean"/>
    <m/>
  </r>
  <r>
    <s v="ORD-2025-10685"/>
    <d v="2025-07-21T00:00:00"/>
    <x v="0"/>
    <x v="1"/>
    <d v="2025-07-21T00:00:00"/>
    <s v="CUST-6738"/>
    <s v="Isha Nair"/>
    <x v="3"/>
    <x v="2"/>
    <s v="Tamil Nadu"/>
    <s v="Chennai"/>
    <x v="1"/>
    <x v="10"/>
    <s v="Prime Bookcases 784"/>
    <x v="2"/>
    <n v="7"/>
    <n v="4396.6499999999996"/>
    <n v="0.2"/>
    <n v="24621.24"/>
    <n v="24621.239999999998"/>
    <n v="17155.48"/>
    <n v="0.3032243705028666"/>
    <n v="7465.76"/>
    <n v="7465.7599999999984"/>
    <x v="1"/>
    <x v="1"/>
    <n v="0"/>
    <s v="Clean"/>
    <m/>
  </r>
  <r>
    <s v="ORD-2025-10686"/>
    <d v="2025-01-10T00:00:00"/>
    <x v="8"/>
    <x v="1"/>
    <d v="2025-03-10T00:00:00"/>
    <s v="CUST-2586"/>
    <s v="Neha Gupta"/>
    <x v="2"/>
    <x v="3"/>
    <s v="Goa"/>
    <s v="Panaji"/>
    <x v="0"/>
    <x v="2"/>
    <s v="Classic Art 380"/>
    <x v="3"/>
    <n v="9"/>
    <n v="818.15"/>
    <n v="0.55000000000000004"/>
    <n v="6627.01"/>
    <n v="3313.5074999999993"/>
    <n v="5606.79"/>
    <n v="-0.69210119488185895"/>
    <n v="1020.22"/>
    <n v="-2293.2825000000007"/>
    <x v="3"/>
    <x v="1"/>
    <n v="59"/>
    <s v="Clean"/>
    <m/>
  </r>
  <r>
    <s v="ORD-2024-10687"/>
    <d v="2024-03-25T00:00:00"/>
    <x v="11"/>
    <x v="0"/>
    <d v="2024-04-02T00:00:00"/>
    <s v="CUST-3127"/>
    <s v="Sneha Kapoor"/>
    <x v="3"/>
    <x v="2"/>
    <s v="Tamil Nadu"/>
    <s v="Chennai"/>
    <x v="2"/>
    <x v="6"/>
    <s v="Pro Copiers 502"/>
    <x v="3"/>
    <n v="2"/>
    <n v="2349.13"/>
    <n v="0"/>
    <n v="4698.26"/>
    <n v="4698.26"/>
    <n v="2654.92"/>
    <n v="0.43491420227914163"/>
    <n v="2043.34"/>
    <n v="2043.3400000000001"/>
    <x v="0"/>
    <x v="0"/>
    <n v="8"/>
    <s v="Clean"/>
    <m/>
  </r>
  <r>
    <s v="ORD-2025-10688"/>
    <d v="2025-08-10T00:00:00"/>
    <x v="1"/>
    <x v="1"/>
    <d v="2025-10-13T00:00:00"/>
    <s v="CUST-9347"/>
    <s v="Mira Das"/>
    <x v="3"/>
    <x v="0"/>
    <s v="Punjab"/>
    <s v="Ludhiana"/>
    <x v="1"/>
    <x v="1"/>
    <s v="Prime Tables 604"/>
    <x v="2"/>
    <n v="4"/>
    <n v="172.05"/>
    <n v="0"/>
    <n v="688.2"/>
    <n v="688.2"/>
    <n v="497.68"/>
    <n v="0.27683812845103173"/>
    <n v="190.52"/>
    <n v="190.52000000000004"/>
    <x v="3"/>
    <x v="1"/>
    <n v="64"/>
    <s v="Clean"/>
    <m/>
  </r>
  <r>
    <s v="ORD-2025-10689"/>
    <d v="2025-02-26T00:00:00"/>
    <x v="6"/>
    <x v="1"/>
    <d v="2025-02-27T00:00:00"/>
    <s v="CUST-8575"/>
    <s v="Neha Gupta"/>
    <x v="3"/>
    <x v="0"/>
    <s v="Haryana"/>
    <s v="Gurugram"/>
    <x v="0"/>
    <x v="2"/>
    <s v="Basic Art 798"/>
    <x v="0"/>
    <n v="6"/>
    <n v="3037.66"/>
    <n v="0.15"/>
    <n v="15492.07"/>
    <n v="15492.065999999999"/>
    <n v="12581.23"/>
    <n v="0.18789204745190213"/>
    <n v="2910.84"/>
    <n v="2910.8359999999993"/>
    <x v="0"/>
    <x v="0"/>
    <n v="1"/>
    <s v="Clean"/>
    <m/>
  </r>
  <r>
    <s v="ORD-2024-10690"/>
    <d v="2024-05-10T00:00:00"/>
    <x v="4"/>
    <x v="0"/>
    <d v="2024-06-10T00:00:00"/>
    <s v="CUST-4382"/>
    <s v="Rohan Mehta"/>
    <x v="1"/>
    <x v="0"/>
    <s v="Punjab"/>
    <s v="Ludhiana"/>
    <x v="1"/>
    <x v="1"/>
    <s v="Elite Tables 717"/>
    <x v="3"/>
    <n v="9"/>
    <n v="489.58"/>
    <n v="0.15"/>
    <n v="3745.29"/>
    <n v="3745.2870000000003"/>
    <n v="2302.65"/>
    <n v="0.38518730340291679"/>
    <n v="1442.64"/>
    <n v="1442.6370000000002"/>
    <x v="3"/>
    <x v="1"/>
    <n v="31"/>
    <s v="Clean"/>
    <m/>
  </r>
  <r>
    <s v="ORD-2024-10691"/>
    <d v="2024-09-11T00:00:00"/>
    <x v="9"/>
    <x v="0"/>
    <d v="2024-09-15T00:00:00"/>
    <s v="CUST-6815"/>
    <s v="Sneha Kapoor"/>
    <x v="2"/>
    <x v="2"/>
    <s v="Tamil Nadu"/>
    <s v="Chennai"/>
    <x v="0"/>
    <x v="2"/>
    <s v="Max Art 725"/>
    <x v="3"/>
    <n v="4"/>
    <n v="865.63"/>
    <n v="0"/>
    <n v="3462.52"/>
    <n v="3462.52"/>
    <n v="2797.29"/>
    <n v="0.19212307798944123"/>
    <n v="665.23"/>
    <n v="665.23"/>
    <x v="3"/>
    <x v="2"/>
    <n v="4"/>
    <s v="Clean"/>
    <m/>
  </r>
  <r>
    <s v="ORD-2024-10692"/>
    <d v="2024-12-15T00:00:00"/>
    <x v="7"/>
    <x v="0"/>
    <d v="2024-12-16T00:00:00"/>
    <s v="CUST-7309"/>
    <s v="Rohan Mehta"/>
    <x v="0"/>
    <x v="1"/>
    <s v="Odisha"/>
    <s v="Bhubaneswar"/>
    <x v="2"/>
    <x v="6"/>
    <s v="Smart Copiers 456"/>
    <x v="0"/>
    <n v="6"/>
    <n v="1538.1"/>
    <n v="0.05"/>
    <n v="8767.17"/>
    <n v="8767.1699999999983"/>
    <n v="5098.2"/>
    <n v="0.41848966085977563"/>
    <n v="3668.97"/>
    <n v="3668.9699999999984"/>
    <x v="0"/>
    <x v="0"/>
    <n v="1"/>
    <s v="Clean"/>
    <m/>
  </r>
  <r>
    <s v="ORD-2025-10693"/>
    <d v="2025-05-10T00:00:00"/>
    <x v="4"/>
    <x v="1"/>
    <d v="2025-10-10T00:00:00"/>
    <s v="CUST-9531"/>
    <s v="Isha Nair"/>
    <x v="2"/>
    <x v="2"/>
    <s v="Karnataka"/>
    <s v="Bengaluru"/>
    <x v="1"/>
    <x v="3"/>
    <s v="Prime Furnishings 883"/>
    <x v="0"/>
    <n v="4"/>
    <n v="2365.6799999999998"/>
    <n v="0.1"/>
    <n v="8516.4500000000007"/>
    <n v="8516.4480000000003"/>
    <n v="5903.81"/>
    <n v="0.30677554774009069"/>
    <n v="2612.64"/>
    <n v="2612.6379999999999"/>
    <x v="0"/>
    <x v="0"/>
    <n v="153"/>
    <s v="Clean"/>
    <m/>
  </r>
  <r>
    <s v="ORD-2025-10694"/>
    <d v="2025-03-04T00:00:00"/>
    <x v="11"/>
    <x v="1"/>
    <d v="2025-11-04T00:00:00"/>
    <s v="CUST-6032"/>
    <s v="Arjun Bose"/>
    <x v="0"/>
    <x v="2"/>
    <s v="Tamil Nadu"/>
    <s v="Chennai"/>
    <x v="1"/>
    <x v="10"/>
    <s v="Smart Bookcases 828"/>
    <x v="0"/>
    <n v="3"/>
    <n v="4149.7700000000004"/>
    <n v="0.05"/>
    <n v="11826.84"/>
    <n v="11826.844500000001"/>
    <n v="8035.96"/>
    <n v="0.32053220112938835"/>
    <n v="3790.88"/>
    <n v="3790.884500000001"/>
    <x v="0"/>
    <x v="0"/>
    <n v="245"/>
    <s v="Clean"/>
    <m/>
  </r>
  <r>
    <s v="ORD-2025-10695"/>
    <d v="2025-01-08T00:00:00"/>
    <x v="8"/>
    <x v="1"/>
    <d v="2025-09-08T00:00:00"/>
    <s v="CUST-8025"/>
    <s v="Isha Nair"/>
    <x v="0"/>
    <x v="2"/>
    <s v="Andhra Pradesh"/>
    <s v="Vijayawada"/>
    <x v="0"/>
    <x v="8"/>
    <s v="Classic Storage 291"/>
    <x v="2"/>
    <n v="5"/>
    <n v="2736.24"/>
    <n v="0.15"/>
    <n v="11629.02"/>
    <n v="11629.019999999999"/>
    <n v="9627.2099999999991"/>
    <n v="0.17213918283741877"/>
    <n v="2001.81"/>
    <n v="2001.8099999999995"/>
    <x v="0"/>
    <x v="0"/>
    <n v="243"/>
    <s v="Clean"/>
    <m/>
  </r>
  <r>
    <s v="ORD-2024-10696"/>
    <d v="2024-01-07T00:00:00"/>
    <x v="8"/>
    <x v="0"/>
    <d v="2024-01-07T00:00:00"/>
    <s v="CUST-6257"/>
    <s v="Aarav Sharma"/>
    <x v="0"/>
    <x v="3"/>
    <s v="Madhya Pradesh"/>
    <s v="Indore"/>
    <x v="2"/>
    <x v="12"/>
    <s v="Prime Machines 102"/>
    <x v="3"/>
    <n v="4"/>
    <n v="257.39"/>
    <n v="0"/>
    <n v="1029.56"/>
    <n v="1029.56"/>
    <n v="626.33000000000004"/>
    <n v="0.39165274486188267"/>
    <n v="403.23"/>
    <n v="403.2299999999999"/>
    <x v="0"/>
    <x v="0"/>
    <n v="0"/>
    <s v="Clean"/>
    <m/>
  </r>
  <r>
    <s v="ORD-2025-10697"/>
    <d v="2025-09-22T00:00:00"/>
    <x v="9"/>
    <x v="1"/>
    <d v="2025-09-25T00:00:00"/>
    <s v="CUST-7812"/>
    <s v="Isha Nair"/>
    <x v="1"/>
    <x v="2"/>
    <s v="Kerala"/>
    <s v="Kochi"/>
    <x v="2"/>
    <x v="11"/>
    <s v="Classic Phones 842"/>
    <x v="4"/>
    <n v="4"/>
    <n v="1178.8399999999999"/>
    <n v="0.25"/>
    <n v="3536.52"/>
    <n v="3536.5199999999995"/>
    <n v="2102.41"/>
    <n v="0.40551446054313278"/>
    <n v="1363.28"/>
    <n v="1434.1099999999997"/>
    <x v="0"/>
    <x v="0"/>
    <n v="3"/>
    <s v="Warning"/>
    <m/>
  </r>
  <r>
    <s v="ORD-2025-10698"/>
    <d v="2025-03-01T00:00:00"/>
    <x v="11"/>
    <x v="1"/>
    <d v="2025-07-03T00:00:00"/>
    <s v="CUST-6205"/>
    <s v="Arjun Bose"/>
    <x v="2"/>
    <x v="2"/>
    <s v="Andhra Pradesh"/>
    <s v="Vijayawada"/>
    <x v="0"/>
    <x v="7"/>
    <s v="Max Labels 970"/>
    <x v="2"/>
    <n v="7"/>
    <n v="567.15"/>
    <n v="0"/>
    <n v="2977.54"/>
    <n v="3970.0499999999997"/>
    <n v="1849.3"/>
    <n v="0.53418722686112274"/>
    <n v="1128.24"/>
    <n v="2120.75"/>
    <x v="1"/>
    <x v="2"/>
    <n v="124"/>
    <s v="Clean"/>
    <m/>
  </r>
  <r>
    <s v="ORD-2024-10699"/>
    <d v="2024-09-14T00:00:00"/>
    <x v="9"/>
    <x v="0"/>
    <d v="2024-09-14T00:00:00"/>
    <s v="CUST-5357"/>
    <s v="Mira Das"/>
    <x v="2"/>
    <x v="0"/>
    <s v="Rajasthan"/>
    <s v="Jaipur"/>
    <x v="2"/>
    <x v="12"/>
    <s v="Classic Machines 648"/>
    <x v="3"/>
    <n v="8"/>
    <n v="4081.66"/>
    <n v="0.15"/>
    <n v="28208.1"/>
    <n v="27755.287999999997"/>
    <n v="23751.91"/>
    <n v="0.14423838801456493"/>
    <n v="4003.38"/>
    <n v="4003.377999999997"/>
    <x v="0"/>
    <x v="2"/>
    <n v="0"/>
    <s v="Clean"/>
    <m/>
  </r>
  <r>
    <s v="ORD-2024-10700"/>
    <d v="2024-11-06T00:00:00"/>
    <x v="3"/>
    <x v="0"/>
    <d v="2024-11-06T00:00:00"/>
    <s v="CUST-9802"/>
    <s v="Arjun Bose"/>
    <x v="1"/>
    <x v="2"/>
    <s v="Karnataka"/>
    <s v="Bengaluru"/>
    <x v="1"/>
    <x v="10"/>
    <s v="Max Bookcases 565"/>
    <x v="3"/>
    <n v="9"/>
    <n v="1400.11"/>
    <n v="0.25"/>
    <n v="9450.74"/>
    <n v="9450.7425000000003"/>
    <n v="7798.56"/>
    <n v="0.17482039109625511"/>
    <n v="1652.18"/>
    <n v="1652.1824999999999"/>
    <x v="0"/>
    <x v="0"/>
    <n v="0"/>
    <s v="Clean"/>
    <m/>
  </r>
  <r>
    <s v="ORD-2024-10701"/>
    <d v="2024-09-18T00:00:00"/>
    <x v="9"/>
    <x v="0"/>
    <d v="2024-09-21T00:00:00"/>
    <s v="CUST-5646"/>
    <s v="Neha Gupta"/>
    <x v="2"/>
    <x v="1"/>
    <s v="West Bengal"/>
    <s v="Kolkata"/>
    <x v="2"/>
    <x v="12"/>
    <s v="Basic Machines 220"/>
    <x v="3"/>
    <n v="3"/>
    <n v="3055.9"/>
    <n v="0.15"/>
    <n v="7792.55"/>
    <n v="7792.5450000000001"/>
    <n v="4691.7299999999996"/>
    <n v="0.39792070498149201"/>
    <n v="3100.82"/>
    <n v="3100.8150000000005"/>
    <x v="0"/>
    <x v="0"/>
    <n v="3"/>
    <s v="Clean"/>
    <m/>
  </r>
  <r>
    <s v="ORD-2024-10702"/>
    <d v="2024-04-30T00:00:00"/>
    <x v="5"/>
    <x v="0"/>
    <d v="2024-04-05T00:00:00"/>
    <s v="CUST-7171"/>
    <s v="Rohan Mehta"/>
    <x v="1"/>
    <x v="3"/>
    <s v="Gujarat"/>
    <s v="Ahmedabad"/>
    <x v="0"/>
    <x v="2"/>
    <s v="Pro Art 151"/>
    <x v="1"/>
    <n v="7"/>
    <n v="1224.94"/>
    <n v="0"/>
    <n v="8574.58"/>
    <n v="8574.58"/>
    <n v="6685.81"/>
    <n v="0.22027551203674112"/>
    <n v="1888.77"/>
    <n v="1888.7699999999995"/>
    <x v="0"/>
    <x v="2"/>
    <n v="-25"/>
    <s v="Invalid"/>
    <m/>
  </r>
  <r>
    <s v="ORD-2025-10703"/>
    <d v="2025-02-02T00:00:00"/>
    <x v="6"/>
    <x v="1"/>
    <d v="2025-02-06T00:00:00"/>
    <s v="CUST-5231"/>
    <s v="Karan Malhotra"/>
    <x v="1"/>
    <x v="3"/>
    <s v="Rajasthan"/>
    <s v="Udaipur"/>
    <x v="1"/>
    <x v="1"/>
    <s v="Pro Tables 980"/>
    <x v="0"/>
    <n v="3"/>
    <n v="997.34"/>
    <n v="0.1"/>
    <n v="2692.82"/>
    <n v="2692.8180000000002"/>
    <n v="1820.08"/>
    <n v="0.32409839803506968"/>
    <n v="872.74"/>
    <n v="872.73800000000028"/>
    <x v="0"/>
    <x v="0"/>
    <n v="4"/>
    <s v="Clean"/>
    <m/>
  </r>
  <r>
    <s v="ORD-2024-10704"/>
    <d v="2024-10-19T00:00:00"/>
    <x v="10"/>
    <x v="0"/>
    <d v="2024-10-20T00:00:00"/>
    <s v="CUST-8734"/>
    <s v="Aditi Sen"/>
    <x v="2"/>
    <x v="0"/>
    <s v="Rajasthan"/>
    <s v="Jaipur"/>
    <x v="1"/>
    <x v="1"/>
    <s v="Classic Tables 997"/>
    <x v="2"/>
    <n v="1"/>
    <n v="1150.03"/>
    <n v="0.1"/>
    <n v="1035.03"/>
    <n v="1035.027"/>
    <n v="854.35"/>
    <n v="0.1745625959516032"/>
    <n v="180.68"/>
    <n v="180.67700000000002"/>
    <x v="0"/>
    <x v="0"/>
    <n v="1"/>
    <s v="Clean"/>
    <m/>
  </r>
  <r>
    <s v="ORD-2024-10705"/>
    <d v="2024-03-13T00:00:00"/>
    <x v="11"/>
    <x v="0"/>
    <d v="2024-03-20T00:00:00"/>
    <s v="CUST-4916"/>
    <s v="Priya Menon"/>
    <x v="3"/>
    <x v="2"/>
    <s v="Tamil Nadu"/>
    <s v="Chennai"/>
    <x v="1"/>
    <x v="10"/>
    <s v="Max Bookcases 738"/>
    <x v="4"/>
    <n v="1"/>
    <n v="2825.63"/>
    <n v="0.15"/>
    <n v="2401.79"/>
    <n v="2401.7855"/>
    <n v="1820.34"/>
    <n v="0.24208885431276025"/>
    <n v="581.45000000000005"/>
    <n v="581.44550000000004"/>
    <x v="0"/>
    <x v="0"/>
    <n v="7"/>
    <s v="Warning"/>
    <m/>
  </r>
  <r>
    <s v="ORD-2024-10706"/>
    <d v="2024-08-09T00:00:00"/>
    <x v="1"/>
    <x v="0"/>
    <d v="2024-09-14T00:00:00"/>
    <s v="CUST-3289"/>
    <s v="Rohan Mehta"/>
    <x v="0"/>
    <x v="0"/>
    <s v="Rajasthan"/>
    <s v="Jaipur"/>
    <x v="0"/>
    <x v="9"/>
    <s v="Max Binders 411"/>
    <x v="3"/>
    <n v="5"/>
    <n v="3371.75"/>
    <n v="0.05"/>
    <n v="16015.81"/>
    <n v="16015.8125"/>
    <n v="11352.38"/>
    <n v="0.29117676671102394"/>
    <n v="4663.43"/>
    <n v="4663.4325000000008"/>
    <x v="0"/>
    <x v="0"/>
    <n v="36"/>
    <s v="Clean"/>
    <m/>
  </r>
  <r>
    <s v="ORD-2024-10707"/>
    <d v="2024-06-24T00:00:00"/>
    <x v="2"/>
    <x v="0"/>
    <d v="2024-06-28T00:00:00"/>
    <s v="CUST-4928"/>
    <s v="Isha Nair"/>
    <x v="1"/>
    <x v="1"/>
    <s v="Odisha"/>
    <s v="Bhubaneswar"/>
    <x v="0"/>
    <x v="0"/>
    <s v="Max Paper 343"/>
    <x v="1"/>
    <n v="1"/>
    <n v="2112.75"/>
    <n v="0.1"/>
    <n v="1901.48"/>
    <n v="1901.4750000000001"/>
    <n v="1354.28"/>
    <n v="0.28777396494826391"/>
    <n v="547.20000000000005"/>
    <n v="547.19500000000016"/>
    <x v="0"/>
    <x v="0"/>
    <n v="4"/>
    <s v="Clean"/>
    <m/>
  </r>
  <r>
    <s v="ORD-2025-10708"/>
    <d v="2025-06-24T00:00:00"/>
    <x v="2"/>
    <x v="1"/>
    <d v="2025-06-26T00:00:00"/>
    <s v="CUST-4902"/>
    <s v="Vikram Iyer"/>
    <x v="0"/>
    <x v="0"/>
    <s v="Rajasthan"/>
    <s v="Jaipur"/>
    <x v="2"/>
    <x v="5"/>
    <s v="Pro Accessories 485"/>
    <x v="1"/>
    <n v="5"/>
    <n v="3722.66"/>
    <n v="0.55000000000000004"/>
    <n v="16751.97"/>
    <n v="8375.9849999999988"/>
    <n v="11678.32"/>
    <n v="-0.39426228676388525"/>
    <n v="5073.6499999999996"/>
    <n v="-3302.3350000000009"/>
    <x v="0"/>
    <x v="0"/>
    <n v="2"/>
    <s v="Clean"/>
    <m/>
  </r>
  <r>
    <s v="ORD-2025-10709"/>
    <d v="2025-03-20T00:00:00"/>
    <x v="11"/>
    <x v="1"/>
    <d v="2025-03-26T00:00:00"/>
    <s v="CUST-6504"/>
    <s v="Sneha Kapoor"/>
    <x v="0"/>
    <x v="1"/>
    <s v="Assam"/>
    <s v="Guwahati"/>
    <x v="1"/>
    <x v="10"/>
    <s v="Elite Bookcases 113"/>
    <x v="2"/>
    <n v="4"/>
    <n v="4357.66"/>
    <n v="0.05"/>
    <n v="16559.11"/>
    <n v="16559.108"/>
    <n v="13233.79"/>
    <n v="0.20081504390212318"/>
    <n v="3325.32"/>
    <n v="3325.3179999999993"/>
    <x v="0"/>
    <x v="0"/>
    <n v="6"/>
    <s v="Clean"/>
    <m/>
  </r>
  <r>
    <s v="ORD-2025-10710"/>
    <d v="2025-01-19T00:00:00"/>
    <x v="8"/>
    <x v="1"/>
    <d v="2025-01-23T00:00:00"/>
    <s v="CUST-8036"/>
    <s v="Kabir Singh"/>
    <x v="3"/>
    <x v="0"/>
    <s v="Punjab"/>
    <s v="Ludhiana"/>
    <x v="2"/>
    <x v="11"/>
    <s v="Eco Phones 787"/>
    <x v="1"/>
    <n v="7"/>
    <n v="1363.04"/>
    <n v="0.15"/>
    <n v="8110.09"/>
    <n v="8110.0879999999988"/>
    <n v="6417.32"/>
    <n v="0.2087237524426368"/>
    <n v="1692.77"/>
    <n v="1692.7679999999991"/>
    <x v="0"/>
    <x v="1"/>
    <n v="4"/>
    <s v="Clean"/>
    <m/>
  </r>
  <r>
    <s v="ORD-2024-10711"/>
    <d v="2024-07-12T00:00:00"/>
    <x v="0"/>
    <x v="0"/>
    <d v="2024-07-19T00:00:00"/>
    <s v="CUST-7199"/>
    <s v="Vikram Iyer"/>
    <x v="2"/>
    <x v="0"/>
    <s v="Punjab"/>
    <s v="Ludhiana"/>
    <x v="0"/>
    <x v="2"/>
    <s v="Smart Art 279"/>
    <x v="0"/>
    <n v="5"/>
    <n v="1559.16"/>
    <n v="0.05"/>
    <n v="7406.01"/>
    <n v="7406.01"/>
    <n v="5941.74"/>
    <n v="0.19771374869869207"/>
    <n v="1464.27"/>
    <n v="1464.2700000000004"/>
    <x v="0"/>
    <x v="0"/>
    <n v="7"/>
    <s v="Clean"/>
    <m/>
  </r>
  <r>
    <s v="ORD-2025-10712"/>
    <d v="2025-02-02T00:00:00"/>
    <x v="6"/>
    <x v="1"/>
    <d v="2025-02-02T00:00:00"/>
    <s v="CUST-6176"/>
    <s v="Kabir Singh"/>
    <x v="2"/>
    <x v="1"/>
    <s v="West Bengal"/>
    <s v="Kolkata"/>
    <x v="2"/>
    <x v="12"/>
    <s v="Basic Machines 172"/>
    <x v="2"/>
    <n v="1"/>
    <n v="4326.75"/>
    <n v="0.05"/>
    <n v="4110.41"/>
    <n v="4110.4124999999995"/>
    <n v="2394.14"/>
    <n v="0.41754264322619683"/>
    <n v="1716.27"/>
    <n v="1716.2724999999996"/>
    <x v="2"/>
    <x v="2"/>
    <n v="0"/>
    <s v="Clean"/>
    <m/>
  </r>
  <r>
    <s v="ORD-2024-10713"/>
    <d v="2024-10-02T00:00:00"/>
    <x v="10"/>
    <x v="0"/>
    <d v="2024-02-18T00:00:00"/>
    <s v="CUST-5127"/>
    <s v="Isha Nair"/>
    <x v="3"/>
    <x v="3"/>
    <s v="Madhya Pradesh"/>
    <s v="Indore"/>
    <x v="1"/>
    <x v="4"/>
    <s v="Smart Chairs 259"/>
    <x v="2"/>
    <n v="7"/>
    <n v="1382.86"/>
    <n v="0"/>
    <n v="9680.02"/>
    <n v="9680.0199999999986"/>
    <n v="6876.66"/>
    <n v="0.28960270743242256"/>
    <n v="2803.36"/>
    <n v="2803.3599999999988"/>
    <x v="0"/>
    <x v="0"/>
    <n v="-227"/>
    <s v="Invalid"/>
    <m/>
  </r>
  <r>
    <s v="ORD-2025-10714"/>
    <d v="2025-06-06T00:00:00"/>
    <x v="2"/>
    <x v="1"/>
    <d v="2025-06-10T00:00:00"/>
    <s v="CUST-2548"/>
    <s v="Mira Das"/>
    <x v="0"/>
    <x v="3"/>
    <s v="Rajasthan"/>
    <s v="Udaipur"/>
    <x v="2"/>
    <x v="12"/>
    <s v="Pro Machines 987"/>
    <x v="0"/>
    <n v="1"/>
    <n v="289.97000000000003"/>
    <n v="0.25"/>
    <n v="217.48"/>
    <n v="217.47750000000002"/>
    <n v="132.13"/>
    <n v="0.39244289639158081"/>
    <n v="85.35"/>
    <n v="85.347500000000025"/>
    <x v="0"/>
    <x v="0"/>
    <n v="4"/>
    <s v="Clean"/>
    <m/>
  </r>
  <r>
    <s v="ORD-2025-10715"/>
    <d v="2025-03-22T00:00:00"/>
    <x v="11"/>
    <x v="1"/>
    <d v="2025-03-23T00:00:00"/>
    <s v="CUST-9902"/>
    <s v="Karan Malhotra"/>
    <x v="3"/>
    <x v="0"/>
    <s v="Delhi"/>
    <s v="New Delhi"/>
    <x v="2"/>
    <x v="6"/>
    <s v="Pro Copiers 206"/>
    <x v="3"/>
    <n v="9"/>
    <n v="2075.02"/>
    <n v="0"/>
    <n v="18675.18"/>
    <n v="18675.18"/>
    <n v="13974.7"/>
    <n v="0.25169663692665878"/>
    <n v="4700.4799999999996"/>
    <n v="4700.4799999999996"/>
    <x v="0"/>
    <x v="0"/>
    <n v="1"/>
    <s v="Clean"/>
    <m/>
  </r>
  <r>
    <s v="ORD-2025-10716"/>
    <d v="2025-08-22T00:00:00"/>
    <x v="1"/>
    <x v="1"/>
    <d v="2025-08-27T00:00:00"/>
    <s v="CUST-7446"/>
    <s v="Priya Menon"/>
    <x v="0"/>
    <x v="0"/>
    <s v="Haryana"/>
    <s v="Gurugram"/>
    <x v="1"/>
    <x v="4"/>
    <s v="Max Chairs 372"/>
    <x v="0"/>
    <n v="7"/>
    <n v="2843.09"/>
    <n v="0"/>
    <n v="19901.63"/>
    <n v="19901.63"/>
    <n v="15492.03"/>
    <n v="0.22156979101711771"/>
    <n v="4409.6000000000004"/>
    <n v="4409.6000000000004"/>
    <x v="1"/>
    <x v="1"/>
    <n v="5"/>
    <s v="Clean"/>
    <m/>
  </r>
  <r>
    <s v="ORD-2025-10717"/>
    <d v="2025-08-26T00:00:00"/>
    <x v="1"/>
    <x v="1"/>
    <d v="2025-08-31T00:00:00"/>
    <s v="CUST-7540"/>
    <s v="Diya Patel"/>
    <x v="1"/>
    <x v="0"/>
    <s v="Haryana"/>
    <s v="Gurugram"/>
    <x v="2"/>
    <x v="11"/>
    <s v="Basic Phones 496"/>
    <x v="2"/>
    <n v="1"/>
    <n v="3388.02"/>
    <n v="0.15"/>
    <n v="2879.82"/>
    <n v="2879.817"/>
    <n v="1824.88"/>
    <n v="0.3663208460815392"/>
    <n v="1054.94"/>
    <n v="1054.9369999999999"/>
    <x v="0"/>
    <x v="0"/>
    <n v="5"/>
    <s v="Clean"/>
    <m/>
  </r>
  <r>
    <s v="ORD-2025-10718"/>
    <d v="2025-12-10T00:00:00"/>
    <x v="7"/>
    <x v="1"/>
    <d v="2025-10-15T00:00:00"/>
    <s v="CUST-8351"/>
    <s v="Kabir Singh"/>
    <x v="1"/>
    <x v="0"/>
    <s v="Haryana"/>
    <s v="Gurugram"/>
    <x v="2"/>
    <x v="12"/>
    <s v="Prime Machines 612"/>
    <x v="3"/>
    <n v="9"/>
    <n v="2598.92"/>
    <n v="0.2"/>
    <n v="18712.22"/>
    <n v="18712.223999999998"/>
    <n v="11852.22"/>
    <n v="0.3666054874075898"/>
    <n v="6860"/>
    <n v="6860.003999999999"/>
    <x v="2"/>
    <x v="1"/>
    <n v="-56"/>
    <s v="Invalid"/>
    <m/>
  </r>
  <r>
    <s v="ORD-2024-10719"/>
    <d v="2024-06-09T00:00:00"/>
    <x v="2"/>
    <x v="0"/>
    <d v="2024-09-09T00:00:00"/>
    <s v="CUST-3918"/>
    <s v="Mira Das"/>
    <x v="0"/>
    <x v="3"/>
    <s v="Maharashtra"/>
    <s v="Mumbai"/>
    <x v="0"/>
    <x v="2"/>
    <s v="Smart Art 866"/>
    <x v="1"/>
    <n v="3"/>
    <n v="1972.27"/>
    <n v="0.2"/>
    <n v="4733.45"/>
    <n v="4733.4479999999994"/>
    <n v="3672.32"/>
    <n v="0.22417654107534282"/>
    <n v="1061.1300000000001"/>
    <n v="1061.1279999999992"/>
    <x v="0"/>
    <x v="0"/>
    <n v="92"/>
    <s v="Clean"/>
    <m/>
  </r>
  <r>
    <s v="ORD-2025-10720"/>
    <d v="2025-08-09T00:00:00"/>
    <x v="1"/>
    <x v="1"/>
    <d v="2025-09-09T00:00:00"/>
    <s v="CUST-3190"/>
    <s v="Kabir Singh"/>
    <x v="2"/>
    <x v="3"/>
    <s v="Gujarat"/>
    <s v="Ahmedabad"/>
    <x v="0"/>
    <x v="2"/>
    <s v="Pro Art 447"/>
    <x v="1"/>
    <n v="2"/>
    <n v="2372.41"/>
    <n v="0.2"/>
    <n v="3795.86"/>
    <n v="3795.8559999999998"/>
    <n v="2264.92"/>
    <n v="0.40331772332775528"/>
    <n v="1530.94"/>
    <n v="1530.9359999999997"/>
    <x v="0"/>
    <x v="0"/>
    <n v="31"/>
    <s v="Clean"/>
    <m/>
  </r>
  <r>
    <s v="ORD-2024-10721"/>
    <d v="2024-07-16T00:00:00"/>
    <x v="0"/>
    <x v="0"/>
    <d v="2024-07-16T00:00:00"/>
    <s v="CUST-1991"/>
    <s v="Aditi Sen"/>
    <x v="3"/>
    <x v="3"/>
    <s v="Madhya Pradesh"/>
    <s v="Indore"/>
    <x v="2"/>
    <x v="6"/>
    <s v="Smart Copiers 196"/>
    <x v="1"/>
    <n v="4"/>
    <n v="4479.92"/>
    <n v="0.15"/>
    <n v="15231.73"/>
    <n v="15231.727999999999"/>
    <n v="12451.46"/>
    <n v="0.1825313582280356"/>
    <n v="2780.27"/>
    <n v="2780.268"/>
    <x v="0"/>
    <x v="0"/>
    <n v="0"/>
    <s v="Clean"/>
    <m/>
  </r>
  <r>
    <s v="ORD-2025-10722"/>
    <d v="2025-06-19T00:00:00"/>
    <x v="2"/>
    <x v="1"/>
    <d v="2025-06-23T00:00:00"/>
    <s v="CUST-7606"/>
    <s v="Sneha Kapoor"/>
    <x v="0"/>
    <x v="2"/>
    <s v="Karnataka"/>
    <s v="Bengaluru"/>
    <x v="2"/>
    <x v="6"/>
    <s v="Pro Copiers 532"/>
    <x v="2"/>
    <n v="5"/>
    <n v="2729.95"/>
    <n v="0"/>
    <n v="13649.75"/>
    <n v="13649.75"/>
    <n v="10288.030000000001"/>
    <n v="0.24628436418249414"/>
    <n v="3361.72"/>
    <n v="3361.7199999999993"/>
    <x v="0"/>
    <x v="0"/>
    <n v="4"/>
    <s v="Clean"/>
    <m/>
  </r>
  <r>
    <s v="ORD-2024-10723"/>
    <d v="2024-07-10T00:00:00"/>
    <x v="0"/>
    <x v="0"/>
    <d v="2024-10-10T00:00:00"/>
    <s v="CUST-8844"/>
    <s v="Vikram Iyer"/>
    <x v="0"/>
    <x v="1"/>
    <s v="West Bengal"/>
    <s v="Kolkata"/>
    <x v="1"/>
    <x v="4"/>
    <s v="Eco Chairs 442"/>
    <x v="0"/>
    <n v="9"/>
    <n v="481.51"/>
    <n v="0"/>
    <n v="4333.59"/>
    <n v="4333.59"/>
    <n v="2533.59"/>
    <n v="0.41536001329152039"/>
    <n v="1800"/>
    <n v="1800"/>
    <x v="1"/>
    <x v="1"/>
    <n v="92"/>
    <s v="Clean"/>
    <m/>
  </r>
  <r>
    <s v="ORD-2025-10724"/>
    <d v="2025-10-06T00:00:00"/>
    <x v="10"/>
    <x v="1"/>
    <d v="2025-10-13T00:00:00"/>
    <s v="CUST-4335"/>
    <s v="Kabir Singh"/>
    <x v="3"/>
    <x v="1"/>
    <s v="Jharkhand"/>
    <s v="Ranchi"/>
    <x v="2"/>
    <x v="5"/>
    <s v="Eco Accessories 364"/>
    <x v="3"/>
    <n v="6"/>
    <n v="2391.9299999999998"/>
    <n v="0.05"/>
    <n v="13634"/>
    <n v="13634.000999999998"/>
    <n v="9589.81"/>
    <n v="0.29662539998346776"/>
    <n v="4044.19"/>
    <n v="4044.1909999999989"/>
    <x v="3"/>
    <x v="2"/>
    <n v="7"/>
    <s v="Clean"/>
    <m/>
  </r>
  <r>
    <s v="ORD-2024-10725"/>
    <d v="2024-02-10T00:00:00"/>
    <x v="6"/>
    <x v="0"/>
    <d v="2024-02-16T00:00:00"/>
    <s v="CUST-5891"/>
    <s v="Karan Malhotra"/>
    <x v="0"/>
    <x v="3"/>
    <s v="Goa"/>
    <s v="Panaji"/>
    <x v="1"/>
    <x v="3"/>
    <s v="Elite Furnishings 921"/>
    <x v="0"/>
    <n v="3"/>
    <n v="253.43"/>
    <n v="0"/>
    <n v="760.29"/>
    <n v="760.29"/>
    <n v="497.77"/>
    <n v="0.34528929750489945"/>
    <n v="262.52"/>
    <n v="262.52"/>
    <x v="0"/>
    <x v="0"/>
    <n v="6"/>
    <s v="Clean"/>
    <m/>
  </r>
  <r>
    <s v="ORD-2025-10726"/>
    <d v="2025-10-05T00:00:00"/>
    <x v="10"/>
    <x v="1"/>
    <d v="2025-12-10T00:00:00"/>
    <s v="CUST-6371"/>
    <s v="Priya Menon"/>
    <x v="2"/>
    <x v="2"/>
    <s v="Karnataka"/>
    <s v="Bengaluru"/>
    <x v="1"/>
    <x v="1"/>
    <s v="Max Tables 309"/>
    <x v="0"/>
    <n v="7"/>
    <n v="2134.73"/>
    <n v="0"/>
    <n v="14943.11"/>
    <n v="14943.11"/>
    <n v="8521.5"/>
    <n v="0.42973718322357263"/>
    <n v="6421.61"/>
    <n v="6421.6100000000006"/>
    <x v="0"/>
    <x v="0"/>
    <n v="66"/>
    <s v="Clean"/>
    <m/>
  </r>
  <r>
    <s v="ORD-2024-10727"/>
    <d v="2024-01-17T00:00:00"/>
    <x v="8"/>
    <x v="0"/>
    <d v="2024-01-23T00:00:00"/>
    <s v="CUST-6655"/>
    <s v="Kabir Singh"/>
    <x v="3"/>
    <x v="3"/>
    <s v="Gujarat"/>
    <s v="Ahmedabad"/>
    <x v="2"/>
    <x v="11"/>
    <s v="Pro Phones 857"/>
    <x v="3"/>
    <n v="5"/>
    <n v="2018"/>
    <n v="0.2"/>
    <n v="8072"/>
    <n v="8072"/>
    <n v="5379.22"/>
    <n v="0.33359514370664023"/>
    <n v="2692.78"/>
    <n v="2692.7799999999997"/>
    <x v="2"/>
    <x v="2"/>
    <n v="6"/>
    <s v="Clean"/>
    <m/>
  </r>
  <r>
    <s v="ORD-2024-10728"/>
    <d v="2024-10-13T00:00:00"/>
    <x v="10"/>
    <x v="0"/>
    <d v="2024-10-13T00:00:00"/>
    <s v="CUST-6492"/>
    <s v="Aarav Sharma"/>
    <x v="1"/>
    <x v="1"/>
    <s v="Assam"/>
    <s v="Guwahati"/>
    <x v="2"/>
    <x v="5"/>
    <s v="Max Accessories 567"/>
    <x v="0"/>
    <n v="8"/>
    <n v="3730.66"/>
    <n v="0.05"/>
    <n v="28353.02"/>
    <n v="28353.015999999996"/>
    <n v="19257.849999999999"/>
    <n v="0.3207830165228277"/>
    <n v="9095.17"/>
    <n v="9095.1659999999974"/>
    <x v="0"/>
    <x v="0"/>
    <n v="0"/>
    <s v="Clean"/>
    <m/>
  </r>
  <r>
    <s v="ORD-2024-10729"/>
    <d v="2024-04-01T00:00:00"/>
    <x v="5"/>
    <x v="0"/>
    <d v="2024-07-01T00:00:00"/>
    <s v="CUST-1154"/>
    <s v="Sneha Kapoor"/>
    <x v="1"/>
    <x v="2"/>
    <s v="Karnataka"/>
    <s v="Bengaluru"/>
    <x v="2"/>
    <x v="12"/>
    <s v="Max Machines 200"/>
    <x v="2"/>
    <n v="1"/>
    <n v="2363.02"/>
    <n v="0.15"/>
    <n v="2008.57"/>
    <n v="2008.567"/>
    <n v="1194.83"/>
    <n v="0.40513311231340554"/>
    <n v="813.74"/>
    <n v="813.73700000000008"/>
    <x v="0"/>
    <x v="0"/>
    <n v="91"/>
    <s v="Clean"/>
    <m/>
  </r>
  <r>
    <s v="ORD-2025-10730"/>
    <d v="2025-05-17T00:00:00"/>
    <x v="4"/>
    <x v="1"/>
    <d v="2025-05-25T00:00:00"/>
    <s v="CUST-8713"/>
    <s v="Ananya Rao"/>
    <x v="2"/>
    <x v="2"/>
    <s v="Tamil Nadu"/>
    <s v="Chennai"/>
    <x v="2"/>
    <x v="12"/>
    <s v="Pro Machines 563"/>
    <x v="1"/>
    <n v="6"/>
    <n v="1810.63"/>
    <n v="0.15"/>
    <n v="9234.2099999999991"/>
    <n v="9234.2129999999997"/>
    <n v="5516.52"/>
    <n v="0.40259987505161504"/>
    <n v="3717.69"/>
    <n v="3717.6929999999993"/>
    <x v="0"/>
    <x v="0"/>
    <n v="8"/>
    <s v="Clean"/>
    <m/>
  </r>
  <r>
    <s v="ORD-2025-10731"/>
    <d v="2025-06-19T00:00:00"/>
    <x v="2"/>
    <x v="1"/>
    <d v="2025-06-24T00:00:00"/>
    <s v="CUST-6765"/>
    <s v="Arjun Bose"/>
    <x v="0"/>
    <x v="1"/>
    <s v="West Bengal"/>
    <s v="Kolkata"/>
    <x v="0"/>
    <x v="2"/>
    <s v="Elite Art 696"/>
    <x v="0"/>
    <n v="4"/>
    <n v="782.01"/>
    <n v="0.15"/>
    <n v="2658.83"/>
    <n v="2658.8339999999998"/>
    <n v="2226.9699999999998"/>
    <n v="0.16242608602116568"/>
    <n v="431.86"/>
    <n v="431.86400000000003"/>
    <x v="1"/>
    <x v="2"/>
    <n v="5"/>
    <s v="Clean"/>
    <m/>
  </r>
  <r>
    <s v="ORD-2024-10732"/>
    <d v="2024-03-17T00:00:00"/>
    <x v="11"/>
    <x v="0"/>
    <d v="2024-03-19T00:00:00"/>
    <s v="CUST-6849"/>
    <s v="Ananya Rao"/>
    <x v="2"/>
    <x v="1"/>
    <s v="Odisha"/>
    <s v="Bhubaneswar"/>
    <x v="0"/>
    <x v="9"/>
    <s v="Eco Binders 178"/>
    <x v="2"/>
    <n v="4"/>
    <n v="4376.68"/>
    <n v="0.1"/>
    <n v="15756.05"/>
    <n v="15756.048000000001"/>
    <n v="10245.44"/>
    <n v="0.3497455707167178"/>
    <n v="5510.61"/>
    <n v="5510.6080000000002"/>
    <x v="0"/>
    <x v="0"/>
    <n v="2"/>
    <s v="Clean"/>
    <m/>
  </r>
  <r>
    <s v="ORD-2024-10733"/>
    <d v="2024-11-28T00:00:00"/>
    <x v="3"/>
    <x v="0"/>
    <d v="2024-06-12T00:00:00"/>
    <s v="CUST-4973"/>
    <s v="Arjun Bose"/>
    <x v="1"/>
    <x v="0"/>
    <s v="Punjab"/>
    <s v="Ludhiana"/>
    <x v="2"/>
    <x v="11"/>
    <s v="Max Phones 678"/>
    <x v="3"/>
    <n v="6"/>
    <n v="2464.63"/>
    <n v="0"/>
    <n v="14787.78"/>
    <n v="14787.78"/>
    <n v="8596.65"/>
    <n v="0.41866527632950995"/>
    <n v="6191.13"/>
    <n v="6191.130000000001"/>
    <x v="0"/>
    <x v="0"/>
    <n v="-169"/>
    <s v="Invalid"/>
    <m/>
  </r>
  <r>
    <s v="ORD-2024-10734"/>
    <d v="2024-06-21T00:00:00"/>
    <x v="2"/>
    <x v="0"/>
    <d v="2024-06-28T00:00:00"/>
    <s v="CUST-2394"/>
    <s v="Aarav Sharma"/>
    <x v="3"/>
    <x v="0"/>
    <s v="Rajasthan"/>
    <s v="Jaipur"/>
    <x v="1"/>
    <x v="3"/>
    <s v="Classic Furnishings 582"/>
    <x v="2"/>
    <n v="9"/>
    <n v="2797.96"/>
    <n v="0"/>
    <n v="25181.64"/>
    <n v="25181.64"/>
    <n v="15337.9"/>
    <n v="0.39090940860086953"/>
    <n v="9843.74"/>
    <n v="9843.74"/>
    <x v="0"/>
    <x v="0"/>
    <n v="7"/>
    <s v="Clean"/>
    <m/>
  </r>
  <r>
    <s v="ORD-2024-10735"/>
    <d v="2024-08-24T00:00:00"/>
    <x v="1"/>
    <x v="0"/>
    <d v="2024-08-24T00:00:00"/>
    <s v="CUST-5406"/>
    <s v="Ananya Rao"/>
    <x v="1"/>
    <x v="0"/>
    <s v="Rajasthan"/>
    <s v="Jaipur"/>
    <x v="2"/>
    <x v="5"/>
    <s v="Classic Accessories 981"/>
    <x v="2"/>
    <n v="4"/>
    <n v="2761.86"/>
    <n v="0.2"/>
    <n v="8837.9500000000007"/>
    <n v="8837.9520000000011"/>
    <n v="6157.27"/>
    <n v="0.30331484036120587"/>
    <n v="2680.68"/>
    <n v="2680.6820000000007"/>
    <x v="0"/>
    <x v="0"/>
    <n v="0"/>
    <s v="Clean"/>
    <m/>
  </r>
  <r>
    <s v="ORD-2024-10736"/>
    <d v="2024-11-08T00:00:00"/>
    <x v="3"/>
    <x v="0"/>
    <d v="2024-08-19T00:00:00"/>
    <s v="CUST-1963"/>
    <s v="Mira Das"/>
    <x v="0"/>
    <x v="3"/>
    <s v="Maharashtra"/>
    <s v="Mumbai"/>
    <x v="1"/>
    <x v="1"/>
    <s v="Classic Tables 534"/>
    <x v="3"/>
    <n v="6"/>
    <n v="1515.79"/>
    <n v="0.2"/>
    <n v="7275.79"/>
    <n v="7275.7920000000004"/>
    <n v="6152.87"/>
    <n v="0.15433673749881804"/>
    <n v="1122.92"/>
    <n v="1122.9220000000005"/>
    <x v="0"/>
    <x v="0"/>
    <n v="-81"/>
    <s v="Invalid"/>
    <m/>
  </r>
  <r>
    <s v="ORD-2024-10737"/>
    <d v="2024-06-12T00:00:00"/>
    <x v="2"/>
    <x v="0"/>
    <d v="2024-09-12T00:00:00"/>
    <s v="CUST-9017"/>
    <s v="Aditi Sen"/>
    <x v="0"/>
    <x v="3"/>
    <s v="Maharashtra"/>
    <s v="Mumbai"/>
    <x v="1"/>
    <x v="4"/>
    <s v="Pro Chairs 383"/>
    <x v="0"/>
    <n v="9"/>
    <n v="290.75"/>
    <n v="0.1"/>
    <n v="2355.08"/>
    <n v="2355.0750000000003"/>
    <n v="1350.03"/>
    <n v="0.42675710964618968"/>
    <n v="1005.05"/>
    <n v="1005.0450000000003"/>
    <x v="0"/>
    <x v="0"/>
    <n v="92"/>
    <s v="Clean"/>
    <m/>
  </r>
  <r>
    <s v="ORD-2024-10738"/>
    <d v="2024-10-02T00:00:00"/>
    <x v="10"/>
    <x v="0"/>
    <d v="2024-10-02T00:00:00"/>
    <s v="CUST-7967"/>
    <s v="Isha Nair"/>
    <x v="3"/>
    <x v="3"/>
    <s v="Maharashtra"/>
    <s v="Mumbai"/>
    <x v="1"/>
    <x v="4"/>
    <s v="Max Chairs 845"/>
    <x v="1"/>
    <n v="6"/>
    <n v="601.52"/>
    <n v="0"/>
    <n v="3609.12"/>
    <n v="3609.12"/>
    <n v="2645.5"/>
    <n v="0.2669958327791816"/>
    <n v="963.62"/>
    <n v="963.61999999999989"/>
    <x v="0"/>
    <x v="0"/>
    <n v="0"/>
    <s v="Clean"/>
    <m/>
  </r>
  <r>
    <s v="ORD-2025-10739"/>
    <d v="2025-02-20T00:00:00"/>
    <x v="6"/>
    <x v="1"/>
    <d v="2025-02-22T00:00:00"/>
    <s v="CUST-5334"/>
    <s v="Priya Menon"/>
    <x v="2"/>
    <x v="2"/>
    <s v="Kerala"/>
    <s v="Kochi"/>
    <x v="0"/>
    <x v="0"/>
    <s v="Prime Paper 307"/>
    <x v="2"/>
    <n v="1"/>
    <n v="2188.19"/>
    <n v="0"/>
    <n v="2188.19"/>
    <n v="2188.19"/>
    <n v="1298.8399999999999"/>
    <n v="0.40643179979800664"/>
    <n v="889.35"/>
    <n v="889.35000000000014"/>
    <x v="0"/>
    <x v="0"/>
    <n v="2"/>
    <s v="Clean"/>
    <m/>
  </r>
  <r>
    <s v="ORD-2024-10740"/>
    <d v="2024-03-12T00:00:00"/>
    <x v="11"/>
    <x v="0"/>
    <d v="2024-12-10T00:00:00"/>
    <s v="CUST-5846"/>
    <s v="Neha Gupta"/>
    <x v="2"/>
    <x v="0"/>
    <s v="Rajasthan"/>
    <s v="Jaipur"/>
    <x v="2"/>
    <x v="11"/>
    <s v="Basic Phones 859"/>
    <x v="3"/>
    <n v="5"/>
    <n v="2393.86"/>
    <n v="0.05"/>
    <n v="11370.84"/>
    <n v="11370.835000000001"/>
    <n v="7469.58"/>
    <n v="0.34309309738466881"/>
    <n v="3901.26"/>
    <n v="3901.255000000001"/>
    <x v="0"/>
    <x v="0"/>
    <n v="273"/>
    <s v="Clean"/>
    <m/>
  </r>
  <r>
    <s v="ORD-2024-10741"/>
    <d v="2024-02-04T00:00:00"/>
    <x v="6"/>
    <x v="0"/>
    <d v="2024-04-02T00:00:00"/>
    <s v="CUST-7932"/>
    <s v="Sneha Kapoor"/>
    <x v="1"/>
    <x v="3"/>
    <s v="Maharashtra"/>
    <s v="Mumbai"/>
    <x v="1"/>
    <x v="4"/>
    <s v="Eco Chairs 883"/>
    <x v="2"/>
    <n v="4"/>
    <n v="2583"/>
    <n v="0.1"/>
    <n v="9298.7999999999993"/>
    <n v="9298.8000000000011"/>
    <n v="6548.5"/>
    <n v="0.29576934658235482"/>
    <n v="2750.3"/>
    <n v="2750.3000000000011"/>
    <x v="0"/>
    <x v="0"/>
    <n v="58"/>
    <s v="Clean"/>
    <m/>
  </r>
  <r>
    <s v="ORD-2025-10742"/>
    <d v="2025-04-23T00:00:00"/>
    <x v="5"/>
    <x v="1"/>
    <d v="2025-04-25T00:00:00"/>
    <s v="CUST-3285"/>
    <s v="Isha Nair"/>
    <x v="3"/>
    <x v="2"/>
    <s v="Tamil Nadu"/>
    <s v="Chennai"/>
    <x v="1"/>
    <x v="4"/>
    <s v="Max Chairs 706"/>
    <x v="0"/>
    <n v="3"/>
    <n v="2951.12"/>
    <n v="0"/>
    <n v="7082.69"/>
    <n v="8853.36"/>
    <n v="5596.34"/>
    <n v="0.36788518709280998"/>
    <n v="1486.35"/>
    <n v="3257.0200000000004"/>
    <x v="0"/>
    <x v="1"/>
    <n v="2"/>
    <s v="Clean"/>
    <m/>
  </r>
  <r>
    <s v="ORD-2024-10743"/>
    <d v="2024-10-15T00:00:00"/>
    <x v="10"/>
    <x v="0"/>
    <d v="2024-10-22T00:00:00"/>
    <s v="CUST-6368"/>
    <s v="Karan Malhotra"/>
    <x v="2"/>
    <x v="1"/>
    <s v="Odisha"/>
    <s v="Bhubaneswar"/>
    <x v="0"/>
    <x v="0"/>
    <s v="Prime Paper 768"/>
    <x v="3"/>
    <n v="4"/>
    <n v="2260.9499999999998"/>
    <n v="0"/>
    <n v="9043.7999999999993"/>
    <n v="9043.7999999999993"/>
    <n v="5913.38"/>
    <n v="0.34613989694597397"/>
    <n v="3130.42"/>
    <n v="3130.4199999999992"/>
    <x v="0"/>
    <x v="0"/>
    <n v="7"/>
    <s v="Clean"/>
    <m/>
  </r>
  <r>
    <s v="ORD-2025-10744"/>
    <d v="2025-02-12T00:00:00"/>
    <x v="6"/>
    <x v="1"/>
    <d v="2025-02-14T00:00:00"/>
    <s v="CUST-6231"/>
    <s v="Sneha Kapoor"/>
    <x v="0"/>
    <x v="0"/>
    <s v="Uttar Pradesh"/>
    <s v="Noida"/>
    <x v="0"/>
    <x v="2"/>
    <s v="Basic Art 764"/>
    <x v="3"/>
    <n v="6"/>
    <n v="491.4"/>
    <n v="0.25"/>
    <n v="2211.3000000000002"/>
    <n v="2211.2999999999997"/>
    <n v="1735.64"/>
    <n v="0.21510423732645942"/>
    <n v="475.66"/>
    <n v="475.65999999999963"/>
    <x v="0"/>
    <x v="0"/>
    <n v="2"/>
    <s v="Clean"/>
    <m/>
  </r>
  <r>
    <s v="ORD-2025-10745"/>
    <d v="2025-08-17T00:00:00"/>
    <x v="1"/>
    <x v="1"/>
    <d v="2025-08-20T00:00:00"/>
    <s v="CUST-2021"/>
    <s v="Mira Das"/>
    <x v="3"/>
    <x v="0"/>
    <s v="Punjab"/>
    <s v="Ludhiana"/>
    <x v="0"/>
    <x v="9"/>
    <s v="Prime Binders 181"/>
    <x v="2"/>
    <n v="5"/>
    <n v="2701.89"/>
    <n v="0.1"/>
    <n v="12158.5"/>
    <n v="12158.504999999999"/>
    <n v="10260.07"/>
    <n v="0.15614049589155901"/>
    <n v="1898.43"/>
    <n v="1898.4349999999995"/>
    <x v="0"/>
    <x v="1"/>
    <n v="3"/>
    <s v="Clean"/>
    <m/>
  </r>
  <r>
    <s v="ORD-2024-10746"/>
    <d v="2024-10-24T00:00:00"/>
    <x v="10"/>
    <x v="0"/>
    <d v="2024-10-28T00:00:00"/>
    <s v="CUST-1493"/>
    <s v="Mira Das"/>
    <x v="1"/>
    <x v="1"/>
    <s v="Assam"/>
    <s v="Guwahati"/>
    <x v="2"/>
    <x v="6"/>
    <s v="Max Copiers 866"/>
    <x v="3"/>
    <n v="3"/>
    <n v="723.59"/>
    <n v="0.2"/>
    <n v="1736.62"/>
    <n v="1736.616"/>
    <n v="1059.52"/>
    <n v="0.38989390861307277"/>
    <n v="677.1"/>
    <n v="677.096"/>
    <x v="0"/>
    <x v="0"/>
    <n v="4"/>
    <s v="Clean"/>
    <m/>
  </r>
  <r>
    <s v="ORD-2025-10747"/>
    <d v="2025-04-01T00:00:00"/>
    <x v="5"/>
    <x v="1"/>
    <d v="2025-10-01T00:00:00"/>
    <s v="CUST-2314"/>
    <s v="Aarav Sharma"/>
    <x v="3"/>
    <x v="1"/>
    <s v="West Bengal"/>
    <s v="Kolkata"/>
    <x v="0"/>
    <x v="0"/>
    <s v="Pro Paper 662"/>
    <x v="3"/>
    <n v="4"/>
    <n v="2583.19"/>
    <n v="0.2"/>
    <n v="8266.2099999999991"/>
    <n v="8266.2080000000005"/>
    <n v="6236.32"/>
    <n v="0.24556459261610653"/>
    <n v="2029.89"/>
    <n v="2029.8880000000008"/>
    <x v="0"/>
    <x v="0"/>
    <n v="183"/>
    <s v="Clean"/>
    <m/>
  </r>
  <r>
    <s v="ORD-2024-10748"/>
    <d v="2024-01-05T00:00:00"/>
    <x v="8"/>
    <x v="0"/>
    <d v="2024-07-05T00:00:00"/>
    <s v="CUST-8416"/>
    <s v="Isha Nair"/>
    <x v="3"/>
    <x v="1"/>
    <s v="Odisha"/>
    <s v="Bhubaneswar"/>
    <x v="0"/>
    <x v="0"/>
    <s v="Classic Paper 388"/>
    <x v="1"/>
    <n v="8"/>
    <n v="1473.83"/>
    <n v="0.15"/>
    <n v="10022.040000000001"/>
    <n v="10022.044"/>
    <n v="5576.98"/>
    <n v="0.44352868536597928"/>
    <n v="4445.0600000000004"/>
    <n v="4445.0640000000003"/>
    <x v="0"/>
    <x v="0"/>
    <n v="182"/>
    <s v="Clean"/>
    <m/>
  </r>
  <r>
    <s v="ORD-2024-10749"/>
    <d v="2024-05-30T00:00:00"/>
    <x v="4"/>
    <x v="0"/>
    <d v="2024-05-30T00:00:00"/>
    <s v="CUST-3103"/>
    <s v="Diya Patel"/>
    <x v="3"/>
    <x v="0"/>
    <s v="Haryana"/>
    <s v="Gurugram"/>
    <x v="2"/>
    <x v="11"/>
    <s v="Pro Phones 765"/>
    <x v="0"/>
    <n v="1"/>
    <n v="3848.04"/>
    <n v="0.25"/>
    <n v="2886.03"/>
    <n v="2886.0299999999997"/>
    <n v="2064.83"/>
    <n v="0.28454312671732446"/>
    <n v="821.2"/>
    <n v="821.19999999999982"/>
    <x v="0"/>
    <x v="0"/>
    <n v="0"/>
    <s v="Clean"/>
    <m/>
  </r>
  <r>
    <s v="ORD-2024-10750"/>
    <d v="2024-03-21T00:00:00"/>
    <x v="11"/>
    <x v="0"/>
    <d v="2024-03-25T00:00:00"/>
    <s v="CUST-4457"/>
    <s v="Aditi Sen"/>
    <x v="3"/>
    <x v="1"/>
    <s v="Assam"/>
    <s v="Guwahati"/>
    <x v="2"/>
    <x v="12"/>
    <s v="Classic Machines 543"/>
    <x v="3"/>
    <n v="1"/>
    <n v="1716.7"/>
    <n v="0.15"/>
    <n v="1459.19"/>
    <n v="1459.1949999999999"/>
    <n v="1055.79"/>
    <n v="0.27645722470266137"/>
    <n v="403.4"/>
    <n v="403.40499999999997"/>
    <x v="0"/>
    <x v="0"/>
    <n v="4"/>
    <s v="Clean"/>
    <m/>
  </r>
  <r>
    <s v="ORD-2025-10751"/>
    <d v="2025-06-02T00:00:00"/>
    <x v="2"/>
    <x v="1"/>
    <d v="2025-02-06T00:00:00"/>
    <s v="CUST-7036"/>
    <s v="Aarav Sharma"/>
    <x v="3"/>
    <x v="2"/>
    <s v="Telangana"/>
    <s v="Hyderabad"/>
    <x v="2"/>
    <x v="5"/>
    <s v="Max Accessories 291"/>
    <x v="2"/>
    <n v="8"/>
    <n v="3925.93"/>
    <n v="0.15"/>
    <n v="26696.32"/>
    <n v="26696.323999999997"/>
    <n v="22724.52"/>
    <n v="0.14877718745097629"/>
    <n v="3971.8"/>
    <n v="3971.8039999999964"/>
    <x v="0"/>
    <x v="0"/>
    <n v="-116"/>
    <s v="Invalid"/>
    <m/>
  </r>
  <r>
    <s v="ORD-2025-10752"/>
    <d v="2025-07-18T00:00:00"/>
    <x v="0"/>
    <x v="1"/>
    <d v="2025-07-19T00:00:00"/>
    <s v="CUST-8512"/>
    <s v="Priya Menon"/>
    <x v="3"/>
    <x v="4"/>
    <s v="Uttar Pradesh"/>
    <s v="Noida"/>
    <x v="2"/>
    <x v="12"/>
    <s v="Eco Machines 414"/>
    <x v="4"/>
    <n v="3"/>
    <n v="2963.25"/>
    <n v="0.05"/>
    <n v="8445.26"/>
    <n v="8445.2624999999989"/>
    <n v="6937.6"/>
    <n v="0.17852168597482893"/>
    <n v="1507.66"/>
    <n v="1507.6624999999985"/>
    <x v="0"/>
    <x v="0"/>
    <n v="1"/>
    <s v="Warning"/>
    <m/>
  </r>
  <r>
    <s v="ORD-2024-10753"/>
    <d v="2024-03-24T00:00:00"/>
    <x v="11"/>
    <x v="0"/>
    <d v="2024-03-27T00:00:00"/>
    <s v="CUST-6345"/>
    <s v="Aditi Sen"/>
    <x v="2"/>
    <x v="3"/>
    <s v="Gujarat"/>
    <s v="Ahmedabad"/>
    <x v="0"/>
    <x v="8"/>
    <s v="Basic Storage 273"/>
    <x v="2"/>
    <n v="5"/>
    <n v="2465.2199999999998"/>
    <n v="0.05"/>
    <n v="11709.79"/>
    <n v="11709.794999999998"/>
    <n v="8372.2900000000009"/>
    <n v="0.28501822619439521"/>
    <n v="3337.5"/>
    <n v="3337.5049999999974"/>
    <x v="0"/>
    <x v="0"/>
    <n v="3"/>
    <s v="Clean"/>
    <m/>
  </r>
  <r>
    <s v="ORD-2024-10754"/>
    <d v="2024-11-08T00:00:00"/>
    <x v="3"/>
    <x v="0"/>
    <d v="2024-10-08T00:00:00"/>
    <s v="CUST-4505"/>
    <s v="Aditi Sen"/>
    <x v="2"/>
    <x v="0"/>
    <s v="Delhi"/>
    <s v="New Delhi"/>
    <x v="1"/>
    <x v="3"/>
    <s v="Elite Furnishings 588"/>
    <x v="0"/>
    <n v="3"/>
    <n v="1017.22"/>
    <n v="0.15"/>
    <n v="2593.91"/>
    <n v="2593.9109999999996"/>
    <n v="1848.48"/>
    <n v="0.28737724617382776"/>
    <n v="745.43"/>
    <n v="745.43099999999959"/>
    <x v="3"/>
    <x v="2"/>
    <n v="-31"/>
    <s v="Invalid"/>
    <m/>
  </r>
  <r>
    <s v="ORD-2025-10755"/>
    <d v="2025-06-04T00:00:00"/>
    <x v="2"/>
    <x v="1"/>
    <d v="2025-06-04T00:00:00"/>
    <s v="CUST-7960"/>
    <s v="Neha Gupta"/>
    <x v="2"/>
    <x v="2"/>
    <s v="Kerala"/>
    <s v="Kochi"/>
    <x v="0"/>
    <x v="8"/>
    <s v="Elite Storage 857"/>
    <x v="3"/>
    <n v="4"/>
    <n v="891.34"/>
    <n v="0.25"/>
    <n v="2674.02"/>
    <n v="2674.02"/>
    <n v="2207.5700000000002"/>
    <n v="0.17443773793763689"/>
    <n v="466.45"/>
    <n v="466.44999999999982"/>
    <x v="0"/>
    <x v="0"/>
    <n v="0"/>
    <s v="Clean"/>
    <m/>
  </r>
  <r>
    <s v="ORD-2025-10756"/>
    <d v="2025-07-20T00:00:00"/>
    <x v="0"/>
    <x v="1"/>
    <d v="2025-07-24T00:00:00"/>
    <s v="CUST-3365"/>
    <s v="Priya Menon"/>
    <x v="3"/>
    <x v="3"/>
    <s v="Madhya Pradesh"/>
    <s v="Indore"/>
    <x v="0"/>
    <x v="8"/>
    <s v="Prime Storage 183"/>
    <x v="0"/>
    <n v="5"/>
    <n v="2481.7399999999998"/>
    <n v="0.2"/>
    <n v="9926.9599999999991"/>
    <n v="9926.9599999999991"/>
    <n v="7994.98"/>
    <n v="0.19461950083409219"/>
    <n v="1931.98"/>
    <n v="1931.9799999999996"/>
    <x v="0"/>
    <x v="0"/>
    <n v="4"/>
    <s v="Clean"/>
    <m/>
  </r>
  <r>
    <s v="ORD-2024-10757"/>
    <d v="2024-10-27T00:00:00"/>
    <x v="10"/>
    <x v="0"/>
    <d v="2024-11-01T00:00:00"/>
    <s v="CUST-1557"/>
    <s v="Rohan Mehta"/>
    <x v="0"/>
    <x v="0"/>
    <s v="Rajasthan"/>
    <s v="Jaipur"/>
    <x v="2"/>
    <x v="5"/>
    <s v="Smart Accessories 362"/>
    <x v="1"/>
    <n v="7"/>
    <n v="2177.1"/>
    <n v="0.2"/>
    <n v="12191.76"/>
    <n v="12191.76"/>
    <n v="10457.49"/>
    <n v="0.14224935530226976"/>
    <n v="1734.27"/>
    <n v="1734.2700000000004"/>
    <x v="0"/>
    <x v="2"/>
    <n v="5"/>
    <s v="Clean"/>
    <m/>
  </r>
  <r>
    <s v="ORD-2025-10758"/>
    <d v="2025-01-08T00:00:00"/>
    <x v="8"/>
    <x v="1"/>
    <d v="2025-03-08T00:00:00"/>
    <s v="CUST-3058"/>
    <s v="Aditi Sen"/>
    <x v="1"/>
    <x v="2"/>
    <s v="Kerala"/>
    <s v="Kochi"/>
    <x v="1"/>
    <x v="10"/>
    <s v="Classic Bookcases 310"/>
    <x v="3"/>
    <n v="3"/>
    <n v="1904.78"/>
    <n v="0.25"/>
    <n v="4285.76"/>
    <n v="4285.7550000000001"/>
    <n v="2386.33"/>
    <n v="0.44319495631458172"/>
    <n v="1899.43"/>
    <n v="1899.4250000000002"/>
    <x v="3"/>
    <x v="1"/>
    <n v="59"/>
    <s v="Clean"/>
    <m/>
  </r>
  <r>
    <s v="ORD-2024-10759"/>
    <d v="2024-02-05T00:00:00"/>
    <x v="6"/>
    <x v="0"/>
    <d v="2024-10-05T00:00:00"/>
    <s v="CUST-6076"/>
    <s v="Aarav Sharma"/>
    <x v="1"/>
    <x v="2"/>
    <s v="Karnataka"/>
    <s v="Bengaluru"/>
    <x v="1"/>
    <x v="4"/>
    <s v="Prime Chairs 721"/>
    <x v="3"/>
    <n v="1"/>
    <n v="4166.91"/>
    <n v="0"/>
    <n v="4166.91"/>
    <n v="4166.91"/>
    <n v="3412.63"/>
    <n v="0.18101662862888801"/>
    <n v="754.28"/>
    <n v="754.27999999999975"/>
    <x v="0"/>
    <x v="0"/>
    <n v="243"/>
    <s v="Clean"/>
    <m/>
  </r>
  <r>
    <s v="ORD-2024-10760"/>
    <d v="2024-07-19T00:00:00"/>
    <x v="0"/>
    <x v="0"/>
    <d v="2024-07-26T00:00:00"/>
    <s v="CUST-2098"/>
    <s v="Arjun Bose"/>
    <x v="3"/>
    <x v="2"/>
    <s v="Karnataka"/>
    <s v="Bengaluru"/>
    <x v="1"/>
    <x v="1"/>
    <s v="Prime Tables 797"/>
    <x v="0"/>
    <n v="5"/>
    <n v="3986.01"/>
    <n v="0.25"/>
    <n v="14947.54"/>
    <n v="14947.537500000002"/>
    <n v="9438.4599999999991"/>
    <n v="0.36856087499362367"/>
    <n v="5509.08"/>
    <n v="5509.0775000000031"/>
    <x v="0"/>
    <x v="0"/>
    <n v="7"/>
    <s v="Clean"/>
    <m/>
  </r>
  <r>
    <s v="ORD-2024-10761"/>
    <d v="2024-08-28T00:00:00"/>
    <x v="1"/>
    <x v="0"/>
    <d v="2024-02-09T00:00:00"/>
    <s v="CUST-7193"/>
    <s v="Aditi Sen"/>
    <x v="3"/>
    <x v="1"/>
    <s v="Assam"/>
    <s v="Guwahati"/>
    <x v="0"/>
    <x v="2"/>
    <s v="Max Art 926"/>
    <x v="0"/>
    <n v="4"/>
    <n v="3365.53"/>
    <n v="0"/>
    <n v="13462.12"/>
    <n v="13462.12"/>
    <n v="7600.63"/>
    <n v="0.43540616188237813"/>
    <n v="5861.49"/>
    <n v="5861.4900000000007"/>
    <x v="2"/>
    <x v="2"/>
    <n v="-201"/>
    <s v="Invalid"/>
    <m/>
  </r>
  <r>
    <s v="ORD-2025-10762"/>
    <d v="2025-08-27T00:00:00"/>
    <x v="1"/>
    <x v="1"/>
    <d v="2025-08-31T00:00:00"/>
    <s v="CUST-8948"/>
    <s v="Isha Nair"/>
    <x v="0"/>
    <x v="2"/>
    <s v="Karnataka"/>
    <s v="Bengaluru"/>
    <x v="2"/>
    <x v="12"/>
    <s v="Max Machines 364"/>
    <x v="2"/>
    <n v="3"/>
    <n v="2489.12"/>
    <n v="0"/>
    <n v="7467.36"/>
    <n v="7467.36"/>
    <n v="5010.6099999999997"/>
    <n v="0.32899846799940008"/>
    <n v="2456.75"/>
    <n v="2456.75"/>
    <x v="0"/>
    <x v="0"/>
    <n v="4"/>
    <s v="Clean"/>
    <m/>
  </r>
  <r>
    <s v="ORD-2024-10763"/>
    <d v="2024-01-01T00:00:00"/>
    <x v="8"/>
    <x v="0"/>
    <d v="2024-05-01T00:00:00"/>
    <s v="CUST-6921"/>
    <s v="Diya Patel"/>
    <x v="2"/>
    <x v="3"/>
    <s v="Madhya Pradesh"/>
    <s v="Indore"/>
    <x v="2"/>
    <x v="12"/>
    <s v="Classic Machines 122"/>
    <x v="0"/>
    <n v="2"/>
    <n v="3694.12"/>
    <n v="0.2"/>
    <n v="5910.59"/>
    <n v="5910.5920000000006"/>
    <n v="4775.4399999999996"/>
    <n v="0.19205385856442145"/>
    <n v="1135.1500000000001"/>
    <n v="1135.152000000001"/>
    <x v="1"/>
    <x v="2"/>
    <n v="121"/>
    <s v="Clean"/>
    <m/>
  </r>
  <r>
    <s v="ORD-2025-10764"/>
    <d v="2025-08-23T00:00:00"/>
    <x v="1"/>
    <x v="1"/>
    <d v="2025-08-25T00:00:00"/>
    <s v="CUST-4086"/>
    <s v="Diya Patel"/>
    <x v="0"/>
    <x v="0"/>
    <s v="Rajasthan"/>
    <s v="Jaipur"/>
    <x v="1"/>
    <x v="3"/>
    <s v="Elite Furnishings 169"/>
    <x v="1"/>
    <n v="6"/>
    <n v="2742.48"/>
    <n v="0"/>
    <n v="16454.88"/>
    <n v="16454.88"/>
    <n v="12081.54"/>
    <n v="0.26577769026574488"/>
    <n v="4373.34"/>
    <n v="4373.34"/>
    <x v="0"/>
    <x v="0"/>
    <n v="2"/>
    <s v="Clean"/>
    <m/>
  </r>
  <r>
    <s v="ORD-2025-10765"/>
    <d v="2025-04-13T00:00:00"/>
    <x v="5"/>
    <x v="1"/>
    <d v="2025-04-13T00:00:00"/>
    <s v="CUST-5174"/>
    <s v="Priya Menon"/>
    <x v="2"/>
    <x v="2"/>
    <s v="Kerala"/>
    <s v="Kochi"/>
    <x v="1"/>
    <x v="10"/>
    <s v="Pro Bookcases 615"/>
    <x v="2"/>
    <n v="6"/>
    <n v="4414"/>
    <n v="0.05"/>
    <n v="25159.8"/>
    <n v="25159.8"/>
    <n v="21606.83"/>
    <n v="0.14121614639226057"/>
    <n v="3552.97"/>
    <n v="3552.9699999999975"/>
    <x v="0"/>
    <x v="0"/>
    <n v="0"/>
    <s v="Clean"/>
    <m/>
  </r>
  <r>
    <s v="ORD-2025-10766"/>
    <d v="2025-06-29T00:00:00"/>
    <x v="2"/>
    <x v="1"/>
    <d v="2025-03-07T00:00:00"/>
    <s v="CUST-8747"/>
    <s v="Vikram Iyer"/>
    <x v="2"/>
    <x v="1"/>
    <s v="Jharkhand"/>
    <s v="Ranchi"/>
    <x v="0"/>
    <x v="7"/>
    <s v="Max Labels 136"/>
    <x v="2"/>
    <n v="3"/>
    <n v="608.14"/>
    <n v="0"/>
    <n v="1824.42"/>
    <n v="1824.42"/>
    <n v="1214.8699999999999"/>
    <n v="0.33410618169061956"/>
    <n v="609.54999999999995"/>
    <n v="609.55000000000018"/>
    <x v="0"/>
    <x v="0"/>
    <n v="-114"/>
    <s v="Invalid"/>
    <m/>
  </r>
  <r>
    <s v="ORD-2024-10767"/>
    <d v="2024-09-17T00:00:00"/>
    <x v="9"/>
    <x v="0"/>
    <d v="2024-09-24T00:00:00"/>
    <s v="CUST-3156"/>
    <s v="Mira Das"/>
    <x v="2"/>
    <x v="3"/>
    <s v="Gujarat"/>
    <s v="Ahmedabad"/>
    <x v="0"/>
    <x v="2"/>
    <s v="Prime Art 380"/>
    <x v="0"/>
    <n v="9"/>
    <n v="2307.96"/>
    <n v="0.2"/>
    <n v="16617.310000000001"/>
    <n v="16617.312000000002"/>
    <n v="9195.73"/>
    <n v="0.44661747940942564"/>
    <n v="7421.58"/>
    <n v="7421.5820000000022"/>
    <x v="0"/>
    <x v="1"/>
    <n v="7"/>
    <s v="Clean"/>
    <m/>
  </r>
  <r>
    <s v="ORD-2024-10768"/>
    <d v="2024-03-05T00:00:00"/>
    <x v="11"/>
    <x v="0"/>
    <d v="2024-05-06T00:00:00"/>
    <s v="CUST-2043"/>
    <s v="Ananya Rao"/>
    <x v="3"/>
    <x v="0"/>
    <s v="Uttar Pradesh"/>
    <s v="Noida"/>
    <x v="0"/>
    <x v="9"/>
    <s v="Classic Binders 234"/>
    <x v="3"/>
    <n v="1"/>
    <n v="1244.58"/>
    <n v="0.25"/>
    <n v="933.43"/>
    <n v="933.43499999999995"/>
    <n v="583.09"/>
    <n v="0.3753287588316272"/>
    <n v="350.34"/>
    <n v="350.34499999999991"/>
    <x v="0"/>
    <x v="0"/>
    <n v="62"/>
    <s v="Clean"/>
    <m/>
  </r>
  <r>
    <s v="ORD-2025-10769"/>
    <d v="2025-02-04T00:00:00"/>
    <x v="6"/>
    <x v="1"/>
    <d v="2025-04-04T00:00:00"/>
    <s v="CUST-8808"/>
    <s v="Sneha Kapoor"/>
    <x v="3"/>
    <x v="1"/>
    <s v="Jharkhand"/>
    <s v="Ranchi"/>
    <x v="0"/>
    <x v="0"/>
    <s v="Classic Paper 280"/>
    <x v="1"/>
    <n v="5"/>
    <n v="3234.24"/>
    <n v="0.1"/>
    <n v="14554.08"/>
    <n v="14554.08"/>
    <n v="11166.84"/>
    <n v="0.23273473830018798"/>
    <n v="3387.24"/>
    <n v="3387.24"/>
    <x v="0"/>
    <x v="0"/>
    <n v="59"/>
    <s v="Clean"/>
    <m/>
  </r>
  <r>
    <s v="ORD-2024-10770"/>
    <d v="2024-05-11T00:00:00"/>
    <x v="4"/>
    <x v="0"/>
    <d v="2024-05-13T00:00:00"/>
    <s v="CUST-1293"/>
    <s v="Priya Menon"/>
    <x v="3"/>
    <x v="3"/>
    <s v="Goa"/>
    <s v="Panaji"/>
    <x v="1"/>
    <x v="10"/>
    <s v="Classic Bookcases 922"/>
    <x v="1"/>
    <n v="3"/>
    <n v="3612.75"/>
    <n v="0.25"/>
    <n v="8128.69"/>
    <n v="8128.6875"/>
    <n v="5071.66"/>
    <n v="0.3760788565189645"/>
    <n v="3057.03"/>
    <n v="3057.0275000000001"/>
    <x v="0"/>
    <x v="0"/>
    <n v="2"/>
    <s v="Clean"/>
    <m/>
  </r>
  <r>
    <s v="ORD-2024-10771"/>
    <d v="2024-02-15T00:00:00"/>
    <x v="6"/>
    <x v="0"/>
    <d v="2024-02-17T00:00:00"/>
    <s v="CUST-8384"/>
    <s v="Neha Gupta"/>
    <x v="0"/>
    <x v="0"/>
    <s v="Uttar Pradesh"/>
    <s v="Noida"/>
    <x v="2"/>
    <x v="6"/>
    <s v="Eco Copiers 396"/>
    <x v="2"/>
    <n v="4"/>
    <n v="863"/>
    <n v="0"/>
    <n v="3106.8"/>
    <n v="3452"/>
    <n v="2376.62"/>
    <n v="0.3115237543453071"/>
    <n v="730.18"/>
    <n v="1075.3800000000001"/>
    <x v="0"/>
    <x v="0"/>
    <n v="2"/>
    <s v="Clean"/>
    <m/>
  </r>
  <r>
    <s v="ORD-2024-10772"/>
    <d v="2024-12-07T00:00:00"/>
    <x v="7"/>
    <x v="0"/>
    <d v="2024-07-14T00:00:00"/>
    <s v="CUST-7861"/>
    <s v="Ananya Rao"/>
    <x v="0"/>
    <x v="0"/>
    <s v="Haryana"/>
    <s v="Gurugram"/>
    <x v="2"/>
    <x v="12"/>
    <s v="Basic Machines 401"/>
    <x v="0"/>
    <n v="4"/>
    <n v="2131.41"/>
    <n v="0"/>
    <n v="6394.23"/>
    <n v="8525.64"/>
    <n v="3520.69"/>
    <n v="0.58704683753946907"/>
    <n v="2873.54"/>
    <n v="5004.9499999999989"/>
    <x v="0"/>
    <x v="0"/>
    <n v="-146"/>
    <s v="Invalid"/>
    <m/>
  </r>
  <r>
    <s v="ORD-2025-10773"/>
    <d v="2025-07-15T00:00:00"/>
    <x v="0"/>
    <x v="1"/>
    <d v="2025-07-19T00:00:00"/>
    <s v="CUST-8422"/>
    <s v="Diya Patel"/>
    <x v="0"/>
    <x v="2"/>
    <s v="Tamil Nadu"/>
    <s v="Chennai"/>
    <x v="1"/>
    <x v="4"/>
    <s v="Basic Chairs 279"/>
    <x v="1"/>
    <n v="1"/>
    <n v="3903.22"/>
    <n v="0.05"/>
    <n v="3708.06"/>
    <n v="3708.0589999999997"/>
    <n v="2760.29"/>
    <n v="0.25559706574248142"/>
    <n v="947.77"/>
    <n v="947.76899999999978"/>
    <x v="2"/>
    <x v="1"/>
    <n v="4"/>
    <s v="Clean"/>
    <m/>
  </r>
  <r>
    <s v="ORD-2025-10774"/>
    <d v="2025-02-21T00:00:00"/>
    <x v="6"/>
    <x v="1"/>
    <d v="2025-02-21T00:00:00"/>
    <s v="CUST-4766"/>
    <s v="Karan Malhotra"/>
    <x v="3"/>
    <x v="3"/>
    <s v="Gujarat"/>
    <s v="Ahmedabad"/>
    <x v="2"/>
    <x v="11"/>
    <s v="Basic Phones 753"/>
    <x v="4"/>
    <n v="4"/>
    <n v="2945.07"/>
    <n v="0.2"/>
    <n v="9424.2199999999993"/>
    <n v="9424.2240000000002"/>
    <n v="6178.92"/>
    <n v="0.3443576892909167"/>
    <n v="3245.3"/>
    <n v="3245.3040000000001"/>
    <x v="0"/>
    <x v="0"/>
    <n v="0"/>
    <s v="Warning"/>
    <m/>
  </r>
  <r>
    <s v="ORD-2025-10775"/>
    <d v="2025-07-08T00:00:00"/>
    <x v="0"/>
    <x v="1"/>
    <d v="2025-07-08T00:00:00"/>
    <s v="CUST-1182"/>
    <s v="Kabir Singh"/>
    <x v="0"/>
    <x v="3"/>
    <s v="Rajasthan"/>
    <s v="Udaipur"/>
    <x v="2"/>
    <x v="12"/>
    <s v="Smart Machines 789"/>
    <x v="4"/>
    <n v="9"/>
    <n v="1076.75"/>
    <n v="0.2"/>
    <n v="7752.6"/>
    <n v="7752.6"/>
    <n v="4689.3"/>
    <n v="0.39513195573098059"/>
    <n v="3063.3"/>
    <n v="3063.3"/>
    <x v="0"/>
    <x v="0"/>
    <n v="0"/>
    <s v="Warning"/>
    <m/>
  </r>
  <r>
    <s v="ORD-2024-10776"/>
    <d v="2024-04-14T00:00:00"/>
    <x v="5"/>
    <x v="0"/>
    <d v="2024-04-22T00:00:00"/>
    <s v="CUST-4461"/>
    <s v="Arjun Bose"/>
    <x v="0"/>
    <x v="0"/>
    <s v="Haryana"/>
    <s v="Gurugram"/>
    <x v="2"/>
    <x v="5"/>
    <s v="Elite Accessories 312"/>
    <x v="3"/>
    <n v="8"/>
    <n v="3956.12"/>
    <n v="0.25"/>
    <n v="23736.720000000001"/>
    <n v="23736.720000000001"/>
    <n v="13890.9"/>
    <n v="0.41479277676106896"/>
    <n v="9845.82"/>
    <n v="9845.8200000000015"/>
    <x v="0"/>
    <x v="0"/>
    <n v="8"/>
    <s v="Clean"/>
    <m/>
  </r>
  <r>
    <s v="ORD-2025-10777"/>
    <d v="2025-08-06T00:00:00"/>
    <x v="1"/>
    <x v="1"/>
    <d v="2025-06-13T00:00:00"/>
    <s v="CUST-9690"/>
    <s v="Aditi Sen"/>
    <x v="1"/>
    <x v="0"/>
    <s v="Rajasthan"/>
    <s v="Jaipur"/>
    <x v="2"/>
    <x v="6"/>
    <s v="Eco Copiers 528"/>
    <x v="0"/>
    <n v="7"/>
    <n v="3857.13"/>
    <n v="0"/>
    <n v="26999.91"/>
    <n v="26999.91"/>
    <n v="17815.98"/>
    <n v="0.34014668937785347"/>
    <n v="9183.93"/>
    <n v="9183.93"/>
    <x v="0"/>
    <x v="0"/>
    <n v="-54"/>
    <s v="Invalid"/>
    <m/>
  </r>
  <r>
    <s v="ORD-2024-10778"/>
    <d v="2024-04-02T00:00:00"/>
    <x v="5"/>
    <x v="0"/>
    <d v="2024-06-02T00:00:00"/>
    <s v="CUST-6879"/>
    <s v="Kabir Singh"/>
    <x v="1"/>
    <x v="3"/>
    <s v="Madhya Pradesh"/>
    <s v="Indore"/>
    <x v="2"/>
    <x v="5"/>
    <s v="Elite Accessories 226"/>
    <x v="0"/>
    <n v="4"/>
    <n v="1489.74"/>
    <n v="0.15"/>
    <n v="5065.12"/>
    <n v="5065.116"/>
    <n v="3530.12"/>
    <n v="0.30305248685321323"/>
    <n v="1535"/>
    <n v="1534.9960000000001"/>
    <x v="3"/>
    <x v="1"/>
    <n v="61"/>
    <s v="Clean"/>
    <m/>
  </r>
  <r>
    <s v="ORD-2024-10779"/>
    <d v="2024-07-24T00:00:00"/>
    <x v="0"/>
    <x v="0"/>
    <d v="2024-07-24T00:00:00"/>
    <s v="CUST-4714"/>
    <s v="Karan Malhotra"/>
    <x v="1"/>
    <x v="0"/>
    <s v="Haryana"/>
    <s v="Gurugram"/>
    <x v="2"/>
    <x v="6"/>
    <s v="Pro Copiers 298"/>
    <x v="0"/>
    <n v="4"/>
    <n v="1676.88"/>
    <n v="0"/>
    <n v="6707.52"/>
    <n v="6707.52"/>
    <n v="5672.57"/>
    <n v="0.15429696817899918"/>
    <n v="1034.95"/>
    <n v="1034.9500000000007"/>
    <x v="0"/>
    <x v="0"/>
    <n v="0"/>
    <s v="Clean"/>
    <m/>
  </r>
  <r>
    <s v="ORD-2024-10780"/>
    <d v="2024-01-15T00:00:00"/>
    <x v="8"/>
    <x v="0"/>
    <d v="2024-01-20T00:00:00"/>
    <s v="CUST-7547"/>
    <s v="Priya Menon"/>
    <x v="1"/>
    <x v="2"/>
    <s v="Andhra Pradesh"/>
    <s v="Vijayawada"/>
    <x v="1"/>
    <x v="4"/>
    <s v="Prime Chairs 331"/>
    <x v="3"/>
    <n v="4"/>
    <n v="3153.54"/>
    <n v="0.05"/>
    <n v="11983.45"/>
    <n v="11983.451999999999"/>
    <n v="8572.9"/>
    <n v="0.2846051371507976"/>
    <n v="3410.55"/>
    <n v="3410.5519999999997"/>
    <x v="0"/>
    <x v="0"/>
    <n v="5"/>
    <s v="Clean"/>
    <m/>
  </r>
  <r>
    <s v="ORD-2024-10781"/>
    <d v="2024-04-08T00:00:00"/>
    <x v="5"/>
    <x v="0"/>
    <d v="2024-08-10T00:00:00"/>
    <s v="CUST-3288"/>
    <s v="Diya Patel"/>
    <x v="1"/>
    <x v="3"/>
    <s v="Rajasthan"/>
    <s v="Udaipur"/>
    <x v="1"/>
    <x v="4"/>
    <s v="Classic Chairs 798"/>
    <x v="1"/>
    <n v="4"/>
    <n v="426.43"/>
    <n v="0.2"/>
    <n v="1364.58"/>
    <n v="1364.576"/>
    <n v="978.16"/>
    <n v="0.28317660577351506"/>
    <n v="386.42"/>
    <n v="386.41600000000005"/>
    <x v="0"/>
    <x v="0"/>
    <n v="124"/>
    <s v="Clean"/>
    <m/>
  </r>
  <r>
    <s v="ORD-2024-10782"/>
    <d v="2024-02-02T00:00:00"/>
    <x v="6"/>
    <x v="0"/>
    <d v="2024-10-02T00:00:00"/>
    <s v="CUST-8597"/>
    <s v="Karan Malhotra"/>
    <x v="3"/>
    <x v="3"/>
    <s v="Rajasthan"/>
    <s v="Udaipur"/>
    <x v="0"/>
    <x v="7"/>
    <s v="Classic Labels 204"/>
    <x v="2"/>
    <n v="3"/>
    <n v="383.4"/>
    <n v="0.25"/>
    <n v="862.65"/>
    <n v="862.64999999999986"/>
    <n v="603.73"/>
    <n v="0.30014490233582553"/>
    <n v="258.92"/>
    <n v="258.91999999999985"/>
    <x v="2"/>
    <x v="2"/>
    <n v="243"/>
    <s v="Clean"/>
    <m/>
  </r>
  <r>
    <s v="ORD-2025-10783"/>
    <d v="2025-03-14T00:00:00"/>
    <x v="11"/>
    <x v="1"/>
    <d v="2025-03-22T00:00:00"/>
    <s v="CUST-9085"/>
    <s v="Mira Das"/>
    <x v="2"/>
    <x v="1"/>
    <s v="West Bengal"/>
    <s v="Kolkata"/>
    <x v="2"/>
    <x v="6"/>
    <s v="Basic Copiers 254"/>
    <x v="3"/>
    <n v="2"/>
    <n v="669.63"/>
    <n v="0.15"/>
    <n v="1138.3699999999999"/>
    <n v="1138.3709999999999"/>
    <n v="797.34"/>
    <n v="0.29957808131092578"/>
    <n v="341.03"/>
    <n v="341.03099999999984"/>
    <x v="0"/>
    <x v="0"/>
    <n v="8"/>
    <s v="Clean"/>
    <m/>
  </r>
  <r>
    <s v="ORD-2024-10784"/>
    <d v="2024-07-06T00:00:00"/>
    <x v="0"/>
    <x v="0"/>
    <d v="2024-07-06T00:00:00"/>
    <s v="CUST-7746"/>
    <s v="Aarav Sharma"/>
    <x v="1"/>
    <x v="1"/>
    <s v="Bihar"/>
    <s v="Patna"/>
    <x v="0"/>
    <x v="2"/>
    <s v="Basic Art 709"/>
    <x v="0"/>
    <n v="1"/>
    <n v="2581.9299999999998"/>
    <n v="0.05"/>
    <n v="2452.83"/>
    <n v="2452.8334999999997"/>
    <n v="1906.7"/>
    <n v="0.22265412634000625"/>
    <n v="546.13"/>
    <n v="546.13349999999969"/>
    <x v="0"/>
    <x v="0"/>
    <n v="0"/>
    <s v="Clean"/>
    <m/>
  </r>
  <r>
    <s v="ORD-2025-10785"/>
    <d v="2025-10-04T00:00:00"/>
    <x v="10"/>
    <x v="1"/>
    <d v="2025-05-10T00:00:00"/>
    <s v="CUST-3119"/>
    <s v="Priya Menon"/>
    <x v="2"/>
    <x v="0"/>
    <s v="Punjab"/>
    <s v="Ludhiana"/>
    <x v="2"/>
    <x v="6"/>
    <s v="Max Copiers 551"/>
    <x v="2"/>
    <n v="4"/>
    <n v="418.18"/>
    <n v="0.05"/>
    <n v="1589.08"/>
    <n v="1589.0840000000001"/>
    <n v="1084.6600000000001"/>
    <n v="0.31743067075120002"/>
    <n v="504.42"/>
    <n v="504.42399999999998"/>
    <x v="0"/>
    <x v="0"/>
    <n v="-147"/>
    <s v="Invalid"/>
    <m/>
  </r>
  <r>
    <s v="ORD-2024-10786"/>
    <d v="2024-05-23T00:00:00"/>
    <x v="4"/>
    <x v="0"/>
    <d v="2024-05-29T00:00:00"/>
    <s v="CUST-7518"/>
    <s v="Diya Patel"/>
    <x v="1"/>
    <x v="0"/>
    <s v="Haryana"/>
    <s v="Gurugram"/>
    <x v="0"/>
    <x v="8"/>
    <s v="Eco Storage 183"/>
    <x v="1"/>
    <n v="2"/>
    <n v="3012.94"/>
    <n v="0.25"/>
    <n v="4519.41"/>
    <n v="4519.41"/>
    <n v="3504.16"/>
    <n v="0.22464215461752751"/>
    <n v="1275.55"/>
    <n v="1015.25"/>
    <x v="3"/>
    <x v="1"/>
    <n v="6"/>
    <s v="Clean"/>
    <m/>
  </r>
  <r>
    <s v="ORD-2025-10787"/>
    <d v="2025-07-06T00:00:00"/>
    <x v="0"/>
    <x v="1"/>
    <d v="2025-08-07T00:00:00"/>
    <s v="CUST-1343"/>
    <s v="Ananya Rao"/>
    <x v="2"/>
    <x v="0"/>
    <s v="Rajasthan"/>
    <s v="Jaipur"/>
    <x v="1"/>
    <x v="3"/>
    <s v="Pro Furnishings 233"/>
    <x v="4"/>
    <n v="4"/>
    <n v="715.45"/>
    <n v="0.05"/>
    <n v="2718.71"/>
    <n v="2718.71"/>
    <n v="2065.0500000000002"/>
    <n v="0.24043020403058799"/>
    <n v="653.66"/>
    <n v="653.65999999999985"/>
    <x v="1"/>
    <x v="2"/>
    <n v="32"/>
    <s v="Warning"/>
    <m/>
  </r>
  <r>
    <s v="ORD-2024-10788"/>
    <d v="2024-12-09T00:00:00"/>
    <x v="7"/>
    <x v="0"/>
    <d v="2024-09-18T00:00:00"/>
    <s v="CUST-7548"/>
    <s v="Ananya Rao"/>
    <x v="3"/>
    <x v="1"/>
    <s v="Bihar"/>
    <s v="Patna"/>
    <x v="0"/>
    <x v="0"/>
    <s v="Prime Paper 878"/>
    <x v="0"/>
    <n v="2"/>
    <n v="3718.77"/>
    <n v="0.05"/>
    <n v="7065.66"/>
    <n v="7065.6629999999996"/>
    <n v="4915.2700000000004"/>
    <n v="0.30434412170521002"/>
    <n v="2150.39"/>
    <n v="2150.3929999999991"/>
    <x v="0"/>
    <x v="0"/>
    <n v="-82"/>
    <s v="Invalid"/>
    <m/>
  </r>
  <r>
    <s v="ORD-2024-10789"/>
    <d v="2024-01-08T00:00:00"/>
    <x v="8"/>
    <x v="0"/>
    <d v="2024-02-08T00:00:00"/>
    <s v="CUST-3631"/>
    <s v="Isha Nair"/>
    <x v="2"/>
    <x v="0"/>
    <s v="Uttar Pradesh"/>
    <s v="Noida"/>
    <x v="1"/>
    <x v="4"/>
    <s v="Smart Chairs 353"/>
    <x v="3"/>
    <n v="8"/>
    <n v="2487.64"/>
    <n v="0.1"/>
    <n v="17911.009999999998"/>
    <n v="17911.007999999998"/>
    <n v="11546.05"/>
    <n v="0.35536570582738836"/>
    <n v="6364.96"/>
    <n v="6364.9579999999987"/>
    <x v="3"/>
    <x v="2"/>
    <n v="31"/>
    <s v="Clean"/>
    <m/>
  </r>
  <r>
    <s v="ORD-2025-10790"/>
    <d v="2025-07-03T00:00:00"/>
    <x v="0"/>
    <x v="1"/>
    <d v="2025-08-03T00:00:00"/>
    <s v="CUST-1453"/>
    <s v="Priya Menon"/>
    <x v="3"/>
    <x v="4"/>
    <s v="Rajasthan"/>
    <s v="Udaipur"/>
    <x v="2"/>
    <x v="6"/>
    <s v="Smart Copiers 408"/>
    <x v="1"/>
    <n v="4"/>
    <n v="3537.48"/>
    <n v="0"/>
    <n v="14149.92"/>
    <n v="14149.92"/>
    <n v="9466.51"/>
    <n v="0.33098491016203624"/>
    <n v="4683.41"/>
    <n v="4683.41"/>
    <x v="0"/>
    <x v="0"/>
    <n v="31"/>
    <s v="Warning"/>
    <m/>
  </r>
  <r>
    <s v="ORD-2024-10791"/>
    <d v="2024-05-31T00:00:00"/>
    <x v="4"/>
    <x v="0"/>
    <d v="2024-02-06T00:00:00"/>
    <s v="CUST-1951"/>
    <s v="Rahul Verma"/>
    <x v="2"/>
    <x v="2"/>
    <s v="Andhra Pradesh"/>
    <s v="Vijayawada"/>
    <x v="0"/>
    <x v="2"/>
    <s v="Classic Art 781"/>
    <x v="3"/>
    <n v="8"/>
    <n v="667.59"/>
    <n v="0.2"/>
    <n v="4272.58"/>
    <n v="4272.576"/>
    <n v="3328.92"/>
    <n v="0.22086347908147214"/>
    <n v="943.66"/>
    <n v="943.65599999999995"/>
    <x v="0"/>
    <x v="0"/>
    <n v="-115"/>
    <s v="Invalid"/>
    <m/>
  </r>
  <r>
    <s v="ORD-2024-10792"/>
    <d v="2024-02-10T00:00:00"/>
    <x v="6"/>
    <x v="0"/>
    <d v="2024-06-10T00:00:00"/>
    <s v="CUST-6300"/>
    <s v="Rahul Verma"/>
    <x v="3"/>
    <x v="2"/>
    <s v="Karnataka"/>
    <s v="Bengaluru"/>
    <x v="1"/>
    <x v="10"/>
    <s v="Eco Bookcases 144"/>
    <x v="1"/>
    <n v="8"/>
    <n v="1558.77"/>
    <n v="0.25"/>
    <n v="9352.6200000000008"/>
    <n v="9352.619999999999"/>
    <n v="5269.41"/>
    <n v="0.43658461479243243"/>
    <n v="4083.21"/>
    <n v="4083.2099999999991"/>
    <x v="0"/>
    <x v="0"/>
    <n v="121"/>
    <s v="Clean"/>
    <m/>
  </r>
  <r>
    <s v="ORD-2025-10793"/>
    <d v="2025-04-06T00:00:00"/>
    <x v="5"/>
    <x v="1"/>
    <d v="2025-08-06T00:00:00"/>
    <s v="CUST-1417"/>
    <s v="Arjun Bose"/>
    <x v="1"/>
    <x v="1"/>
    <s v="Assam"/>
    <s v="Guwahati"/>
    <x v="1"/>
    <x v="3"/>
    <s v="Elite Furnishings 852"/>
    <x v="0"/>
    <n v="1"/>
    <n v="3501.12"/>
    <n v="0.2"/>
    <n v="2800.9"/>
    <n v="2800.8960000000002"/>
    <n v="1735.98"/>
    <n v="0.38020547710446945"/>
    <n v="1064.92"/>
    <n v="1064.9160000000002"/>
    <x v="0"/>
    <x v="2"/>
    <n v="122"/>
    <s v="Clean"/>
    <m/>
  </r>
  <r>
    <s v="ORD-2024-10794"/>
    <d v="2024-05-28T00:00:00"/>
    <x v="4"/>
    <x v="0"/>
    <d v="2024-03-06T00:00:00"/>
    <s v="CUST-5421"/>
    <s v="Vikram Iyer"/>
    <x v="2"/>
    <x v="0"/>
    <s v="Rajasthan"/>
    <s v="Jaipur"/>
    <x v="2"/>
    <x v="6"/>
    <s v="Basic Copiers 238"/>
    <x v="0"/>
    <n v="5"/>
    <n v="4302.32"/>
    <n v="0"/>
    <n v="21511.599999999999"/>
    <n v="21511.599999999999"/>
    <n v="15408.47"/>
    <n v="0.28371343833094703"/>
    <n v="6103.13"/>
    <n v="6103.1299999999992"/>
    <x v="0"/>
    <x v="0"/>
    <n v="-83"/>
    <s v="Invalid"/>
    <m/>
  </r>
  <r>
    <s v="ORD-2025-10795"/>
    <d v="2025-06-22T00:00:00"/>
    <x v="2"/>
    <x v="1"/>
    <d v="2025-06-24T00:00:00"/>
    <s v="CUST-2829"/>
    <s v="Sneha Kapoor"/>
    <x v="2"/>
    <x v="1"/>
    <s v="Assam"/>
    <s v="Guwahati"/>
    <x v="0"/>
    <x v="0"/>
    <s v="Elite Paper 847"/>
    <x v="3"/>
    <n v="9"/>
    <n v="951.55"/>
    <n v="0.15"/>
    <n v="7279.36"/>
    <n v="7279.3574999999992"/>
    <n v="4870.3900000000003"/>
    <n v="0.33093133562955235"/>
    <n v="2408.9699999999998"/>
    <n v="2408.9674999999988"/>
    <x v="0"/>
    <x v="0"/>
    <n v="2"/>
    <s v="Clean"/>
    <m/>
  </r>
  <r>
    <s v="ORD-2024-10796"/>
    <d v="2024-07-30T00:00:00"/>
    <x v="0"/>
    <x v="0"/>
    <d v="2024-07-30T00:00:00"/>
    <s v="CUST-6529"/>
    <s v="Diya Patel"/>
    <x v="3"/>
    <x v="1"/>
    <s v="Odisha"/>
    <s v="Bhubaneswar"/>
    <x v="2"/>
    <x v="6"/>
    <s v="Pro Copiers 653"/>
    <x v="1"/>
    <n v="9"/>
    <n v="2894.66"/>
    <n v="0"/>
    <n v="26051.94"/>
    <n v="26051.94"/>
    <n v="16883.59"/>
    <n v="0.3519258066769691"/>
    <n v="9168.35"/>
    <n v="9168.3499999999985"/>
    <x v="1"/>
    <x v="1"/>
    <n v="0"/>
    <s v="Clean"/>
    <m/>
  </r>
  <r>
    <s v="ORD-2024-10797"/>
    <d v="2024-03-23T00:00:00"/>
    <x v="11"/>
    <x v="0"/>
    <d v="2024-03-30T00:00:00"/>
    <s v="CUST-3126"/>
    <s v="Rohan Mehta"/>
    <x v="1"/>
    <x v="2"/>
    <s v="Andhra Pradesh"/>
    <s v="Vijayawada"/>
    <x v="2"/>
    <x v="12"/>
    <s v="Elite Machines 459"/>
    <x v="2"/>
    <n v="6"/>
    <n v="1894.44"/>
    <n v="0.15"/>
    <n v="9661.64"/>
    <n v="9661.6439999999984"/>
    <n v="6303.77"/>
    <n v="0.34754685641491223"/>
    <n v="3357.87"/>
    <n v="3357.873999999998"/>
    <x v="0"/>
    <x v="0"/>
    <n v="7"/>
    <s v="Clean"/>
    <m/>
  </r>
  <r>
    <s v="ORD-2024-10798"/>
    <d v="2024-04-18T00:00:00"/>
    <x v="5"/>
    <x v="0"/>
    <d v="2024-04-22T00:00:00"/>
    <s v="CUST-3991"/>
    <s v="Aarav Sharma"/>
    <x v="0"/>
    <x v="1"/>
    <s v="Odisha"/>
    <s v="Bhubaneswar"/>
    <x v="0"/>
    <x v="9"/>
    <s v="Elite Binders 764"/>
    <x v="2"/>
    <n v="8"/>
    <n v="1714.37"/>
    <n v="0"/>
    <n v="13714.96"/>
    <n v="13714.96"/>
    <n v="10550.47"/>
    <n v="0.23073271814135804"/>
    <n v="3164.49"/>
    <n v="3164.49"/>
    <x v="3"/>
    <x v="1"/>
    <n v="4"/>
    <s v="Clean"/>
    <m/>
  </r>
  <r>
    <s v="ORD-2025-10799"/>
    <d v="2025-11-07T00:00:00"/>
    <x v="3"/>
    <x v="1"/>
    <d v="2025-09-07T00:00:00"/>
    <s v="CUST-7553"/>
    <s v="Aditi Sen"/>
    <x v="2"/>
    <x v="0"/>
    <s v="Delhi"/>
    <s v="New Delhi"/>
    <x v="1"/>
    <x v="3"/>
    <s v="Classic Furnishings 348"/>
    <x v="3"/>
    <n v="9"/>
    <n v="1706.05"/>
    <n v="0"/>
    <n v="15354.45"/>
    <n v="15354.449999999999"/>
    <n v="9656.5"/>
    <n v="0.37109437329243311"/>
    <n v="5697.95"/>
    <n v="5697.9499999999989"/>
    <x v="0"/>
    <x v="0"/>
    <n v="-61"/>
    <s v="Invalid"/>
    <m/>
  </r>
  <r>
    <s v="ORD-2024-10800"/>
    <d v="2024-10-10T00:00:00"/>
    <x v="10"/>
    <x v="0"/>
    <d v="2024-10-17T00:00:00"/>
    <s v="CUST-8527"/>
    <s v="Isha Nair"/>
    <x v="3"/>
    <x v="0"/>
    <s v="Haryana"/>
    <s v="Gurugram"/>
    <x v="2"/>
    <x v="5"/>
    <s v="Smart Accessories 487"/>
    <x v="4"/>
    <n v="5"/>
    <n v="967.41"/>
    <n v="0.05"/>
    <n v="4595.2"/>
    <n v="4595.1975000000002"/>
    <n v="3887.41"/>
    <n v="0.15402765604742785"/>
    <n v="707.79"/>
    <n v="707.78750000000036"/>
    <x v="0"/>
    <x v="2"/>
    <n v="7"/>
    <s v="Warning"/>
    <m/>
  </r>
  <r>
    <s v="ORD-2024-10801"/>
    <d v="2024-01-03T00:00:00"/>
    <x v="8"/>
    <x v="0"/>
    <d v="2024-07-03T00:00:00"/>
    <s v="CUST-5015"/>
    <s v="Vikram Iyer"/>
    <x v="1"/>
    <x v="3"/>
    <s v="Maharashtra"/>
    <s v="Mumbai"/>
    <x v="0"/>
    <x v="8"/>
    <s v="Elite Storage 825"/>
    <x v="0"/>
    <n v="6"/>
    <n v="4163.72"/>
    <n v="0.15"/>
    <n v="21234.97"/>
    <n v="21234.971999999998"/>
    <n v="16736.09"/>
    <n v="0.21186192286950029"/>
    <n v="4498.88"/>
    <n v="4498.8819999999978"/>
    <x v="0"/>
    <x v="0"/>
    <n v="182"/>
    <s v="Clean"/>
    <m/>
  </r>
  <r>
    <s v="ORD-2025-10802"/>
    <d v="2025-08-10T00:00:00"/>
    <x v="1"/>
    <x v="1"/>
    <d v="2025-10-15T00:00:00"/>
    <s v="CUST-3344"/>
    <s v="Aarav Sharma"/>
    <x v="3"/>
    <x v="1"/>
    <s v="Odisha"/>
    <s v="Bhubaneswar"/>
    <x v="2"/>
    <x v="5"/>
    <s v="Pro Accessories 500"/>
    <x v="0"/>
    <n v="3"/>
    <n v="3372.21"/>
    <n v="0.2"/>
    <n v="8093.3"/>
    <n v="8093.304000000001"/>
    <n v="6052.43"/>
    <n v="0.25216821214179036"/>
    <n v="2040.87"/>
    <n v="2040.8740000000007"/>
    <x v="2"/>
    <x v="1"/>
    <n v="66"/>
    <s v="Clean"/>
    <m/>
  </r>
  <r>
    <s v="ORD-2025-10803"/>
    <d v="2025-02-16T00:00:00"/>
    <x v="6"/>
    <x v="1"/>
    <d v="2025-02-16T00:00:00"/>
    <s v="CUST-5866"/>
    <s v="Rohan Mehta"/>
    <x v="1"/>
    <x v="1"/>
    <s v="Assam"/>
    <s v="Guwahati"/>
    <x v="1"/>
    <x v="3"/>
    <s v="Pro Furnishings 909"/>
    <x v="0"/>
    <n v="6"/>
    <n v="1441.91"/>
    <n v="0"/>
    <n v="8651.4599999999991"/>
    <n v="8651.4600000000009"/>
    <n v="5254.62"/>
    <n v="0.39263199506210522"/>
    <n v="3396.84"/>
    <n v="3396.8400000000011"/>
    <x v="3"/>
    <x v="2"/>
    <n v="0"/>
    <s v="Clean"/>
    <m/>
  </r>
  <r>
    <s v="ORD-2024-10804"/>
    <d v="2024-09-12T00:00:00"/>
    <x v="9"/>
    <x v="0"/>
    <d v="2024-12-13T00:00:00"/>
    <s v="CUST-7180"/>
    <s v="Rohan Mehta"/>
    <x v="0"/>
    <x v="4"/>
    <s v="Jharkhand"/>
    <s v="Ranchi"/>
    <x v="0"/>
    <x v="7"/>
    <s v="Basic Labels 359"/>
    <x v="2"/>
    <n v="1"/>
    <n v="4306.6499999999996"/>
    <n v="0"/>
    <n v="4306.6499999999996"/>
    <n v="4306.6499999999996"/>
    <n v="2568.8200000000002"/>
    <n v="0.40352245945224235"/>
    <n v="1737.83"/>
    <n v="1737.8299999999995"/>
    <x v="0"/>
    <x v="0"/>
    <n v="92"/>
    <s v="Warning"/>
    <m/>
  </r>
  <r>
    <s v="ORD-2025-10805"/>
    <d v="2025-10-09T00:00:00"/>
    <x v="10"/>
    <x v="1"/>
    <d v="2025-09-18T00:00:00"/>
    <s v="CUST-8745"/>
    <s v="Rahul Verma"/>
    <x v="3"/>
    <x v="2"/>
    <s v="Telangana"/>
    <s v="Hyderabad"/>
    <x v="1"/>
    <x v="3"/>
    <s v="Eco Furnishings 541"/>
    <x v="3"/>
    <n v="1"/>
    <n v="2050.62"/>
    <n v="0.05"/>
    <n v="1948.09"/>
    <n v="1948.0889999999997"/>
    <n v="1507.08"/>
    <n v="0.22638031424642296"/>
    <n v="441.01"/>
    <n v="441.00899999999979"/>
    <x v="0"/>
    <x v="0"/>
    <n v="-21"/>
    <s v="Invalid"/>
    <m/>
  </r>
  <r>
    <s v="ORD-2025-10806"/>
    <d v="2025-06-04T00:00:00"/>
    <x v="2"/>
    <x v="1"/>
    <d v="2025-07-04T00:00:00"/>
    <s v="CUST-2098"/>
    <s v="Priya Menon"/>
    <x v="3"/>
    <x v="1"/>
    <s v="Assam"/>
    <s v="Guwahati"/>
    <x v="0"/>
    <x v="9"/>
    <s v="Classic Binders 103"/>
    <x v="0"/>
    <n v="2"/>
    <n v="2030.06"/>
    <n v="0.25"/>
    <n v="3045.09"/>
    <n v="3045.09"/>
    <n v="2601.09"/>
    <n v="0.14580849827098705"/>
    <n v="444"/>
    <n v="444"/>
    <x v="0"/>
    <x v="0"/>
    <n v="30"/>
    <s v="Clean"/>
    <m/>
  </r>
  <r>
    <s v="ORD-2024-10807"/>
    <d v="2024-09-11T00:00:00"/>
    <x v="9"/>
    <x v="0"/>
    <d v="2024-11-15T00:00:00"/>
    <s v="CUST-3704"/>
    <s v="Isha Nair"/>
    <x v="3"/>
    <x v="0"/>
    <s v="Rajasthan"/>
    <s v="Jaipur"/>
    <x v="2"/>
    <x v="6"/>
    <s v="Max Copiers 560"/>
    <x v="3"/>
    <n v="1"/>
    <n v="3665.97"/>
    <n v="0.2"/>
    <n v="2932.78"/>
    <n v="2932.7759999999998"/>
    <n v="1900.35"/>
    <n v="0.35203029484692999"/>
    <n v="1032.43"/>
    <n v="1032.4259999999999"/>
    <x v="3"/>
    <x v="1"/>
    <n v="65"/>
    <s v="Clean"/>
    <m/>
  </r>
  <r>
    <s v="ORD-2025-10808"/>
    <d v="2025-07-02T00:00:00"/>
    <x v="0"/>
    <x v="1"/>
    <d v="2025-08-02T00:00:00"/>
    <s v="CUST-5884"/>
    <s v="Karan Malhotra"/>
    <x v="1"/>
    <x v="2"/>
    <s v="Telangana"/>
    <s v="Hyderabad"/>
    <x v="0"/>
    <x v="7"/>
    <s v="Smart Labels 436"/>
    <x v="3"/>
    <n v="2"/>
    <n v="2432.98"/>
    <n v="0.1"/>
    <n v="4379.3599999999997"/>
    <n v="4379.3640000000005"/>
    <n v="3723.93"/>
    <n v="0.14966419781502532"/>
    <n v="655.43"/>
    <n v="655.43400000000065"/>
    <x v="0"/>
    <x v="0"/>
    <n v="31"/>
    <s v="Clean"/>
    <m/>
  </r>
  <r>
    <s v="ORD-2025-10809"/>
    <d v="2025-08-31T00:00:00"/>
    <x v="1"/>
    <x v="1"/>
    <d v="2025-08-28T00:00:00"/>
    <s v="CUST-7503"/>
    <s v="Aarav Sharma"/>
    <x v="1"/>
    <x v="2"/>
    <s v="Tamil Nadu"/>
    <s v="Chennai"/>
    <x v="1"/>
    <x v="3"/>
    <s v="Pro Furnishings 386"/>
    <x v="2"/>
    <n v="7"/>
    <n v="977.28"/>
    <n v="0.2"/>
    <n v="5472.77"/>
    <n v="5472.768"/>
    <n v="4477.33"/>
    <n v="0.18188931085695575"/>
    <n v="995.44"/>
    <n v="995.4380000000001"/>
    <x v="0"/>
    <x v="0"/>
    <n v="-3"/>
    <s v="Invalid"/>
    <m/>
  </r>
  <r>
    <s v="ORD-2025-10810"/>
    <d v="2025-06-25T00:00:00"/>
    <x v="2"/>
    <x v="1"/>
    <d v="2025-06-25T00:00:00"/>
    <s v="CUST-6973"/>
    <s v="Arjun Bose"/>
    <x v="1"/>
    <x v="4"/>
    <s v="Punjab"/>
    <s v="Ludhiana"/>
    <x v="0"/>
    <x v="9"/>
    <s v="Eco Binders 601"/>
    <x v="0"/>
    <n v="6"/>
    <n v="1366.13"/>
    <n v="0.1"/>
    <n v="7377.1"/>
    <n v="7377.1020000000008"/>
    <n v="5085.21"/>
    <n v="0.31067646888981615"/>
    <n v="2291.89"/>
    <n v="2291.8920000000007"/>
    <x v="0"/>
    <x v="0"/>
    <n v="0"/>
    <s v="Warning"/>
    <m/>
  </r>
  <r>
    <s v="ORD-2024-10811"/>
    <d v="2024-04-03T00:00:00"/>
    <x v="5"/>
    <x v="0"/>
    <d v="2024-08-04T00:00:00"/>
    <s v="CUST-4653"/>
    <s v="Kabir Singh"/>
    <x v="3"/>
    <x v="3"/>
    <s v="Gujarat"/>
    <s v="Ahmedabad"/>
    <x v="2"/>
    <x v="6"/>
    <s v="Pro Copiers 867"/>
    <x v="2"/>
    <n v="1"/>
    <n v="3151.85"/>
    <n v="0.25"/>
    <n v="2363.89"/>
    <n v="2363.8874999999998"/>
    <n v="1471.51"/>
    <n v="0.37750421710000998"/>
    <n v="892.38"/>
    <n v="892.37749999999983"/>
    <x v="0"/>
    <x v="0"/>
    <n v="123"/>
    <s v="Clean"/>
    <m/>
  </r>
  <r>
    <s v="ORD-2024-10812"/>
    <d v="2024-12-12T00:00:00"/>
    <x v="7"/>
    <x v="0"/>
    <d v="2024-12-19T00:00:00"/>
    <s v="CUST-3303"/>
    <s v="Rohan Mehta"/>
    <x v="3"/>
    <x v="0"/>
    <s v="Haryana"/>
    <s v="Gurugram"/>
    <x v="2"/>
    <x v="5"/>
    <s v="Eco Accessories 122"/>
    <x v="2"/>
    <n v="2"/>
    <n v="1610.75"/>
    <n v="0.2"/>
    <n v="2577.1999999999998"/>
    <n v="2577.2000000000003"/>
    <n v="1475.87"/>
    <n v="0.42733586838429316"/>
    <n v="1101.33"/>
    <n v="1101.3300000000004"/>
    <x v="0"/>
    <x v="0"/>
    <n v="7"/>
    <s v="Clean"/>
    <m/>
  </r>
  <r>
    <s v="ORD-2024-10813"/>
    <d v="2024-06-15T00:00:00"/>
    <x v="2"/>
    <x v="0"/>
    <d v="2024-06-20T00:00:00"/>
    <s v="CUST-5754"/>
    <s v="Sneha Kapoor"/>
    <x v="1"/>
    <x v="1"/>
    <s v="Jharkhand"/>
    <s v="Ranchi"/>
    <x v="1"/>
    <x v="1"/>
    <s v="Basic Tables 127"/>
    <x v="2"/>
    <n v="8"/>
    <n v="2228.4699999999998"/>
    <n v="0"/>
    <n v="17827.759999999998"/>
    <n v="17827.759999999998"/>
    <n v="14122.13"/>
    <n v="0.20785729671029896"/>
    <n v="3705.63"/>
    <n v="3705.6299999999992"/>
    <x v="0"/>
    <x v="0"/>
    <n v="5"/>
    <s v="Clean"/>
    <m/>
  </r>
  <r>
    <s v="ORD-2025-10814"/>
    <d v="2025-04-06T00:00:00"/>
    <x v="5"/>
    <x v="1"/>
    <d v="2025-10-04T00:00:00"/>
    <s v="CUST-7848"/>
    <s v="Rohan Mehta"/>
    <x v="0"/>
    <x v="1"/>
    <s v="Odisha"/>
    <s v="Bhubaneswar"/>
    <x v="1"/>
    <x v="10"/>
    <s v="Elite Bookcases 988"/>
    <x v="3"/>
    <n v="2"/>
    <n v="1337.67"/>
    <n v="0"/>
    <n v="2675.34"/>
    <n v="2675.34"/>
    <n v="1595.87"/>
    <n v="0.40348890234512258"/>
    <n v="1079.47"/>
    <n v="1079.4700000000003"/>
    <x v="0"/>
    <x v="0"/>
    <n v="181"/>
    <s v="Clean"/>
    <m/>
  </r>
  <r>
    <s v="ORD-2025-10815"/>
    <d v="2025-06-08T00:00:00"/>
    <x v="2"/>
    <x v="1"/>
    <d v="2025-11-08T00:00:00"/>
    <s v="CUST-9048"/>
    <s v="Arjun Bose"/>
    <x v="0"/>
    <x v="3"/>
    <s v="Madhya Pradesh"/>
    <s v="Indore"/>
    <x v="0"/>
    <x v="7"/>
    <s v="Smart Labels 126"/>
    <x v="2"/>
    <n v="2"/>
    <n v="2375.94"/>
    <n v="0.25"/>
    <n v="3563.91"/>
    <n v="3563.91"/>
    <n v="2639.7"/>
    <n v="0.25932473042248544"/>
    <n v="924.21"/>
    <n v="924.21"/>
    <x v="0"/>
    <x v="0"/>
    <n v="153"/>
    <s v="Clean"/>
    <m/>
  </r>
  <r>
    <s v="ORD-2024-10816"/>
    <d v="2024-04-01T00:00:00"/>
    <x v="5"/>
    <x v="0"/>
    <d v="2024-08-04T00:00:00"/>
    <s v="CUST-2951"/>
    <s v="Diya Patel"/>
    <x v="0"/>
    <x v="1"/>
    <s v="Odisha"/>
    <s v="Bhubaneswar"/>
    <x v="2"/>
    <x v="12"/>
    <s v="Max Machines 569"/>
    <x v="3"/>
    <n v="7"/>
    <n v="715.81"/>
    <n v="0.15"/>
    <n v="4259.07"/>
    <n v="4259.0694999999996"/>
    <n v="3130.32"/>
    <n v="0.26502255950507486"/>
    <n v="1128.75"/>
    <n v="1128.7494999999994"/>
    <x v="2"/>
    <x v="1"/>
    <n v="125"/>
    <s v="Clean"/>
    <m/>
  </r>
  <r>
    <s v="ORD-2024-10817"/>
    <d v="2024-11-27T00:00:00"/>
    <x v="3"/>
    <x v="0"/>
    <d v="2024-11-30T00:00:00"/>
    <s v="CUST-3072"/>
    <s v="Rahul Verma"/>
    <x v="1"/>
    <x v="1"/>
    <s v="Jharkhand"/>
    <s v="Ranchi"/>
    <x v="1"/>
    <x v="3"/>
    <s v="Basic Furnishings 306"/>
    <x v="2"/>
    <n v="1"/>
    <n v="874.3"/>
    <n v="0.1"/>
    <n v="786.87"/>
    <n v="786.87"/>
    <n v="498.5"/>
    <n v="0.36647730883119195"/>
    <n v="288.37"/>
    <n v="288.37"/>
    <x v="0"/>
    <x v="0"/>
    <n v="3"/>
    <s v="Clean"/>
    <m/>
  </r>
  <r>
    <s v="ORD-2025-10818"/>
    <d v="2025-05-04T00:00:00"/>
    <x v="4"/>
    <x v="1"/>
    <d v="2025-04-05T00:00:00"/>
    <s v="CUST-2221"/>
    <s v="Sneha Kapoor"/>
    <x v="0"/>
    <x v="1"/>
    <s v="Bihar"/>
    <s v="Patna"/>
    <x v="0"/>
    <x v="9"/>
    <s v="Classic Binders 873"/>
    <x v="3"/>
    <n v="6"/>
    <n v="1829.69"/>
    <n v="0.25"/>
    <n v="8233.6"/>
    <n v="8233.6049999999996"/>
    <n v="4713.79"/>
    <n v="0.42749378917254349"/>
    <n v="3519.81"/>
    <n v="3519.8149999999996"/>
    <x v="0"/>
    <x v="0"/>
    <n v="-29"/>
    <s v="Invalid"/>
    <m/>
  </r>
  <r>
    <s v="ORD-2024-10819"/>
    <d v="2024-09-29T00:00:00"/>
    <x v="9"/>
    <x v="0"/>
    <d v="2024-05-10T00:00:00"/>
    <s v="CUST-3943"/>
    <s v="Priya Menon"/>
    <x v="1"/>
    <x v="3"/>
    <s v="Maharashtra"/>
    <s v="Mumbai"/>
    <x v="0"/>
    <x v="7"/>
    <s v="Pro Labels 611"/>
    <x v="2"/>
    <n v="8"/>
    <n v="1981.04"/>
    <n v="-0.14000000000000001"/>
    <n v="12678.66"/>
    <n v="18067.084800000001"/>
    <n v="10088.65"/>
    <m/>
    <n v="2590.0100000000002"/>
    <m/>
    <x v="0"/>
    <x v="0"/>
    <n v="-142"/>
    <s v="Invalid"/>
    <m/>
  </r>
  <r>
    <s v="ORD-2024-10820"/>
    <d v="2024-07-31T00:00:00"/>
    <x v="0"/>
    <x v="0"/>
    <d v="2024-07-31T00:00:00"/>
    <s v="CUST-7510"/>
    <s v="Karan Malhotra"/>
    <x v="3"/>
    <x v="2"/>
    <s v="Kerala"/>
    <s v="Kochi"/>
    <x v="2"/>
    <x v="12"/>
    <s v="Prime Machines 524"/>
    <x v="3"/>
    <n v="8"/>
    <n v="4246.01"/>
    <n v="0"/>
    <n v="33968.080000000002"/>
    <n v="33968.080000000002"/>
    <n v="26902.44"/>
    <n v="0.20800822419165294"/>
    <n v="7065.64"/>
    <n v="7065.6400000000031"/>
    <x v="3"/>
    <x v="1"/>
    <n v="0"/>
    <s v="Clean"/>
    <m/>
  </r>
  <r>
    <s v="ORD-2025-10821"/>
    <d v="2025-06-02T00:00:00"/>
    <x v="2"/>
    <x v="1"/>
    <d v="2025-10-02T00:00:00"/>
    <s v="CUST-2041"/>
    <s v="Ananya Rao"/>
    <x v="3"/>
    <x v="0"/>
    <s v="Uttar Pradesh"/>
    <s v="Noida"/>
    <x v="1"/>
    <x v="10"/>
    <s v="Classic Bookcases 882"/>
    <x v="3"/>
    <n v="2"/>
    <n v="319.57"/>
    <n v="0.2"/>
    <n v="511.31"/>
    <n v="511.31200000000001"/>
    <n v="436.43"/>
    <n v="0.14645069937728825"/>
    <n v="74.88"/>
    <n v="74.882000000000005"/>
    <x v="0"/>
    <x v="0"/>
    <n v="122"/>
    <s v="Clean"/>
    <m/>
  </r>
  <r>
    <s v="ORD-2024-10822"/>
    <d v="2024-03-07T00:00:00"/>
    <x v="11"/>
    <x v="0"/>
    <d v="2024-06-07T00:00:00"/>
    <s v="CUST-4466"/>
    <s v="Aarav Sharma"/>
    <x v="2"/>
    <x v="2"/>
    <s v="Karnataka"/>
    <s v="Bengaluru"/>
    <x v="2"/>
    <x v="5"/>
    <s v="Classic Accessories 471"/>
    <x v="2"/>
    <n v="7"/>
    <n v="1942.49"/>
    <n v="0.2"/>
    <n v="10877.94"/>
    <n v="10877.944000000001"/>
    <n v="9110.14"/>
    <n v="0.16251269541376584"/>
    <n v="1767.8"/>
    <n v="1767.8040000000019"/>
    <x v="0"/>
    <x v="0"/>
    <n v="92"/>
    <s v="Clean"/>
    <m/>
  </r>
  <r>
    <s v="ORD-2024-10823"/>
    <d v="2024-10-12T00:00:00"/>
    <x v="10"/>
    <x v="0"/>
    <d v="2024-08-10T00:00:00"/>
    <s v="CUST-3188"/>
    <s v="Mira Das"/>
    <x v="2"/>
    <x v="1"/>
    <s v="Assam"/>
    <s v="Guwahati"/>
    <x v="1"/>
    <x v="3"/>
    <s v="Smart Furnishings 175"/>
    <x v="0"/>
    <n v="4"/>
    <n v="3202.04"/>
    <n v="0.2"/>
    <n v="10246.530000000001"/>
    <n v="10246.528"/>
    <n v="8634.42"/>
    <n v="0.15733212264681268"/>
    <n v="1612.11"/>
    <n v="1612.1080000000002"/>
    <x v="2"/>
    <x v="2"/>
    <n v="-63"/>
    <s v="Invalid"/>
    <m/>
  </r>
  <r>
    <s v="ORD-2025-10824"/>
    <d v="2025-06-01T00:00:00"/>
    <x v="2"/>
    <x v="1"/>
    <d v="2025-12-01T00:00:00"/>
    <s v="CUST-6638"/>
    <s v="Mira Das"/>
    <x v="3"/>
    <x v="3"/>
    <s v="Goa"/>
    <s v="Panaji"/>
    <x v="0"/>
    <x v="0"/>
    <s v="Basic Paper 899"/>
    <x v="1"/>
    <n v="3"/>
    <n v="668.33"/>
    <n v="0.15"/>
    <n v="1704.24"/>
    <n v="1704.2415000000001"/>
    <n v="957.55"/>
    <n v="0.43813714194848563"/>
    <n v="746.69"/>
    <n v="746.69150000000013"/>
    <x v="0"/>
    <x v="0"/>
    <n v="183"/>
    <s v="Clean"/>
    <m/>
  </r>
  <r>
    <s v="ORD-2025-10825"/>
    <d v="2025-03-21T00:00:00"/>
    <x v="11"/>
    <x v="1"/>
    <d v="2025-03-22T00:00:00"/>
    <s v="CUST-3540"/>
    <s v="Priya Menon"/>
    <x v="0"/>
    <x v="3"/>
    <s v="Goa"/>
    <s v="Panaji"/>
    <x v="0"/>
    <x v="0"/>
    <s v="Pro Paper 267"/>
    <x v="2"/>
    <n v="8"/>
    <n v="4436.74"/>
    <n v="0.05"/>
    <n v="33719.22"/>
    <n v="33719.223999999995"/>
    <n v="28924.43"/>
    <n v="0.14219763776295669"/>
    <n v="4794.79"/>
    <n v="4794.7939999999944"/>
    <x v="0"/>
    <x v="0"/>
    <n v="1"/>
    <s v="Clean"/>
    <m/>
  </r>
  <r>
    <s v="ORD-2025-10826"/>
    <d v="2025-04-16T00:00:00"/>
    <x v="5"/>
    <x v="1"/>
    <d v="2025-04-17T00:00:00"/>
    <s v="CUST-3351"/>
    <s v="Vikram Iyer"/>
    <x v="1"/>
    <x v="0"/>
    <s v="Uttar Pradesh"/>
    <s v="Noida"/>
    <x v="2"/>
    <x v="12"/>
    <s v="Basic Machines 832"/>
    <x v="2"/>
    <n v="1"/>
    <n v="2720.17"/>
    <n v="0"/>
    <n v="2720.17"/>
    <n v="2720.17"/>
    <n v="1834.23"/>
    <n v="0.3256928794891496"/>
    <n v="885.94"/>
    <n v="885.94"/>
    <x v="0"/>
    <x v="0"/>
    <n v="1"/>
    <s v="Clean"/>
    <m/>
  </r>
  <r>
    <s v="ORD-2025-10827"/>
    <d v="2025-10-08T00:00:00"/>
    <x v="10"/>
    <x v="1"/>
    <d v="2025-08-14T00:00:00"/>
    <s v="CUST-4375"/>
    <s v="Aditi Sen"/>
    <x v="0"/>
    <x v="3"/>
    <s v="Rajasthan"/>
    <s v="Udaipur"/>
    <x v="2"/>
    <x v="5"/>
    <s v="Elite Accessories 790"/>
    <x v="3"/>
    <n v="5"/>
    <n v="2190.14"/>
    <n v="0.25"/>
    <n v="8213.02"/>
    <n v="8213.0249999999996"/>
    <n v="5569.3"/>
    <n v="0.32189418636860345"/>
    <n v="2643.72"/>
    <n v="2643.7249999999995"/>
    <x v="0"/>
    <x v="0"/>
    <n v="-55"/>
    <s v="Invalid"/>
    <m/>
  </r>
  <r>
    <s v="ORD-2024-10828"/>
    <d v="2024-11-24T00:00:00"/>
    <x v="3"/>
    <x v="0"/>
    <d v="2024-01-12T00:00:00"/>
    <s v="CUST-5125"/>
    <s v="Priya Menon"/>
    <x v="3"/>
    <x v="2"/>
    <s v="Tamil Nadu"/>
    <s v="Chennai"/>
    <x v="0"/>
    <x v="0"/>
    <s v="Basic Paper 707"/>
    <x v="1"/>
    <n v="1"/>
    <n v="844.89"/>
    <n v="0.25"/>
    <n v="633.66999999999996"/>
    <n v="633.66750000000002"/>
    <n v="520.47"/>
    <n v="0.17863863934950111"/>
    <n v="113.2"/>
    <n v="113.19749999999999"/>
    <x v="0"/>
    <x v="1"/>
    <n v="-317"/>
    <s v="Invalid"/>
    <m/>
  </r>
  <r>
    <s v="ORD-2025-10829"/>
    <d v="2025-10-10T00:00:00"/>
    <x v="10"/>
    <x v="1"/>
    <d v="2025-11-10T00:00:00"/>
    <s v="CUST-6010"/>
    <s v="Karan Malhotra"/>
    <x v="2"/>
    <x v="1"/>
    <s v="Odisha"/>
    <s v="Bhubaneswar"/>
    <x v="1"/>
    <x v="4"/>
    <s v="Elite Chairs 979"/>
    <x v="0"/>
    <n v="7"/>
    <n v="3791.96"/>
    <n v="0.05"/>
    <n v="25216.53"/>
    <n v="25216.534"/>
    <n v="14216.94"/>
    <n v="0.4362056260388521"/>
    <n v="10999.59"/>
    <n v="10999.593999999999"/>
    <x v="3"/>
    <x v="1"/>
    <n v="31"/>
    <s v="Clean"/>
    <m/>
  </r>
  <r>
    <s v="ORD-2024-10830"/>
    <d v="2024-02-26T00:00:00"/>
    <x v="6"/>
    <x v="0"/>
    <d v="2024-02-28T00:00:00"/>
    <s v="CUST-9036"/>
    <s v="Aditi Sen"/>
    <x v="1"/>
    <x v="3"/>
    <s v="Goa"/>
    <s v="Panaji"/>
    <x v="1"/>
    <x v="3"/>
    <s v="Pro Furnishings 192"/>
    <x v="0"/>
    <n v="7"/>
    <n v="1035.1400000000001"/>
    <n v="0.1"/>
    <n v="6521.38"/>
    <n v="6521.3820000000005"/>
    <n v="4511.1000000000004"/>
    <n v="0.30826012032418892"/>
    <n v="2010.28"/>
    <n v="2010.2820000000002"/>
    <x v="0"/>
    <x v="0"/>
    <n v="2"/>
    <s v="Clean"/>
    <m/>
  </r>
  <r>
    <s v="ORD-2025-10831"/>
    <d v="2025-07-15T00:00:00"/>
    <x v="0"/>
    <x v="1"/>
    <d v="2025-07-18T00:00:00"/>
    <s v="CUST-7929"/>
    <s v="Aditi Sen"/>
    <x v="1"/>
    <x v="4"/>
    <s v="Tamil Nadu"/>
    <s v="Chennai"/>
    <x v="2"/>
    <x v="12"/>
    <s v="Smart Machines 951"/>
    <x v="2"/>
    <n v="6"/>
    <n v="2382.88"/>
    <n v="0.1"/>
    <n v="12867.55"/>
    <n v="12867.552000000001"/>
    <n v="10068.94"/>
    <n v="0.21749373929089236"/>
    <n v="2798.61"/>
    <n v="2798.612000000001"/>
    <x v="0"/>
    <x v="0"/>
    <n v="3"/>
    <s v="Warning"/>
    <m/>
  </r>
  <r>
    <s v="ORD-2025-10832"/>
    <d v="2025-04-03T00:00:00"/>
    <x v="5"/>
    <x v="1"/>
    <d v="2025-03-04T00:00:00"/>
    <s v="CUST-1106"/>
    <s v="Diya Patel"/>
    <x v="3"/>
    <x v="4"/>
    <s v="Haryana"/>
    <s v="Gurugram"/>
    <x v="1"/>
    <x v="4"/>
    <s v="Smart Chairs 794"/>
    <x v="2"/>
    <n v="9"/>
    <n v="3462.7"/>
    <n v="0.15"/>
    <n v="26489.65"/>
    <n v="26489.654999999999"/>
    <n v="15818.46"/>
    <n v="0.40284386489744772"/>
    <n v="10671.19"/>
    <n v="10671.195"/>
    <x v="3"/>
    <x v="2"/>
    <n v="-30"/>
    <s v="Invalid/Warning"/>
    <m/>
  </r>
  <r>
    <s v="ORD-2025-10833"/>
    <d v="2025-05-26T00:00:00"/>
    <x v="4"/>
    <x v="1"/>
    <d v="2025-05-28T00:00:00"/>
    <s v="CUST-9557"/>
    <s v="Kabir Singh"/>
    <x v="1"/>
    <x v="2"/>
    <s v="Andhra Pradesh"/>
    <s v="Vijayawada"/>
    <x v="2"/>
    <x v="11"/>
    <s v="Max Phones 919"/>
    <x v="0"/>
    <n v="9"/>
    <n v="4302.0200000000004"/>
    <n v="0.05"/>
    <n v="36782.269999999997"/>
    <n v="36782.271000000008"/>
    <n v="25902.81"/>
    <n v="0.29578002402298664"/>
    <n v="10879.46"/>
    <n v="10879.461000000007"/>
    <x v="0"/>
    <x v="0"/>
    <n v="2"/>
    <s v="Clean"/>
    <m/>
  </r>
  <r>
    <s v="ORD-2024-10834"/>
    <d v="2024-04-06T00:00:00"/>
    <x v="5"/>
    <x v="0"/>
    <d v="2024-06-04T00:00:00"/>
    <s v="CUST-2689"/>
    <s v="Rahul Verma"/>
    <x v="3"/>
    <x v="1"/>
    <s v="West Bengal"/>
    <s v="Kolkata"/>
    <x v="1"/>
    <x v="10"/>
    <s v="Basic Bookcases 499"/>
    <x v="2"/>
    <n v="6"/>
    <n v="3949.4"/>
    <n v="0"/>
    <n v="23696.400000000001"/>
    <n v="23696.400000000001"/>
    <n v="18109.77"/>
    <n v="0.23575859624246723"/>
    <n v="5586.63"/>
    <n v="5586.630000000001"/>
    <x v="0"/>
    <x v="0"/>
    <n v="59"/>
    <s v="Clean"/>
    <m/>
  </r>
  <r>
    <s v="ORD-2024-10835"/>
    <d v="2024-10-18T00:00:00"/>
    <x v="10"/>
    <x v="0"/>
    <d v="2024-10-22T00:00:00"/>
    <s v="CUST-2879"/>
    <s v="Aarav Sharma"/>
    <x v="3"/>
    <x v="2"/>
    <s v="Telangana"/>
    <s v="Hyderabad"/>
    <x v="0"/>
    <x v="2"/>
    <s v="Basic Art 143"/>
    <x v="2"/>
    <n v="6"/>
    <n v="674.61"/>
    <n v="0"/>
    <n v="4047.66"/>
    <n v="4047.66"/>
    <n v="3078.93"/>
    <n v="0.23933087265234729"/>
    <n v="1279.79"/>
    <n v="968.73"/>
    <x v="0"/>
    <x v="0"/>
    <n v="4"/>
    <s v="Clean"/>
    <m/>
  </r>
  <r>
    <s v="ORD-2025-10836"/>
    <d v="2025-09-26T00:00:00"/>
    <x v="9"/>
    <x v="1"/>
    <d v="2025-04-10T00:00:00"/>
    <s v="CUST-5150"/>
    <s v="Priya Menon"/>
    <x v="1"/>
    <x v="1"/>
    <s v="Assam"/>
    <s v="Guwahati"/>
    <x v="2"/>
    <x v="11"/>
    <s v="Prime Phones 338"/>
    <x v="0"/>
    <n v="7"/>
    <n v="1509.59"/>
    <n v="0.05"/>
    <n v="10038.77"/>
    <n v="10038.773499999999"/>
    <n v="5673.1"/>
    <n v="0.43488116352062323"/>
    <n v="4365.67"/>
    <n v="4365.673499999999"/>
    <x v="0"/>
    <x v="0"/>
    <n v="-169"/>
    <s v="Invalid"/>
    <m/>
  </r>
  <r>
    <s v="ORD-2024-10837"/>
    <d v="2024-12-15T00:00:00"/>
    <x v="7"/>
    <x v="0"/>
    <d v="2024-12-18T00:00:00"/>
    <s v="CUST-9776"/>
    <s v="Isha Nair"/>
    <x v="1"/>
    <x v="0"/>
    <s v="Rajasthan"/>
    <s v="Jaipur"/>
    <x v="0"/>
    <x v="7"/>
    <s v="Smart Labels 814"/>
    <x v="0"/>
    <n v="2"/>
    <n v="537.11"/>
    <n v="0"/>
    <n v="1074.22"/>
    <n v="1074.22"/>
    <n v="850.86"/>
    <n v="0.20792761259332354"/>
    <n v="223.36"/>
    <n v="223.36"/>
    <x v="0"/>
    <x v="0"/>
    <n v="3"/>
    <s v="Clean"/>
    <m/>
  </r>
  <r>
    <s v="ORD-2025-10838"/>
    <d v="2025-09-27T00:00:00"/>
    <x v="9"/>
    <x v="1"/>
    <d v="2025-09-28T00:00:00"/>
    <s v="CUST-2551"/>
    <s v="Karan Malhotra"/>
    <x v="3"/>
    <x v="3"/>
    <s v="Maharashtra"/>
    <s v="Mumbai"/>
    <x v="0"/>
    <x v="0"/>
    <s v="Prime Paper 812"/>
    <x v="2"/>
    <n v="3"/>
    <n v="4177.63"/>
    <n v="0.25"/>
    <n v="9399.67"/>
    <n v="9399.6674999999996"/>
    <n v="6540.37"/>
    <n v="0.30419134506619516"/>
    <n v="2859.3"/>
    <n v="2859.2974999999997"/>
    <x v="0"/>
    <x v="0"/>
    <n v="1"/>
    <s v="Clean"/>
    <m/>
  </r>
  <r>
    <s v="ORD-2025-10839"/>
    <d v="2025-04-03T00:00:00"/>
    <x v="5"/>
    <x v="1"/>
    <d v="2025-07-04T00:00:00"/>
    <s v="CUST-4708"/>
    <s v="Ananya Rao"/>
    <x v="1"/>
    <x v="3"/>
    <s v="Goa"/>
    <s v="Panaji"/>
    <x v="0"/>
    <x v="0"/>
    <s v="Pro Paper 355"/>
    <x v="1"/>
    <n v="1"/>
    <n v="1470.57"/>
    <n v="0"/>
    <n v="1470.57"/>
    <n v="1470.57"/>
    <n v="834.02"/>
    <n v="0.43285936745615644"/>
    <n v="636.54999999999995"/>
    <n v="636.54999999999995"/>
    <x v="0"/>
    <x v="2"/>
    <n v="92"/>
    <s v="Clean"/>
    <m/>
  </r>
  <r>
    <s v="ORD-2024-10840"/>
    <d v="2024-09-20T00:00:00"/>
    <x v="9"/>
    <x v="0"/>
    <d v="2024-09-22T00:00:00"/>
    <s v="CUST-8206"/>
    <s v="Rohan Mehta"/>
    <x v="3"/>
    <x v="1"/>
    <s v="Odisha"/>
    <s v="Bhubaneswar"/>
    <x v="2"/>
    <x v="11"/>
    <s v="Basic Phones 398"/>
    <x v="3"/>
    <n v="8"/>
    <n v="531.42999999999995"/>
    <n v="0.1"/>
    <n v="3826.3"/>
    <n v="3826.2959999999998"/>
    <n v="2194.12"/>
    <n v="0.42656814841298218"/>
    <n v="1632.18"/>
    <n v="1632.1759999999999"/>
    <x v="0"/>
    <x v="0"/>
    <n v="2"/>
    <s v="Clean"/>
    <m/>
  </r>
  <r>
    <s v="ORD-2025-10841"/>
    <d v="2025-09-19T00:00:00"/>
    <x v="9"/>
    <x v="1"/>
    <d v="2025-09-19T00:00:00"/>
    <s v="CUST-1297"/>
    <s v="Neha Gupta"/>
    <x v="3"/>
    <x v="0"/>
    <s v="Delhi"/>
    <s v="New Delhi"/>
    <x v="1"/>
    <x v="4"/>
    <s v="Classic Chairs 204"/>
    <x v="1"/>
    <n v="4"/>
    <n v="1584.11"/>
    <n v="0"/>
    <n v="6336.44"/>
    <n v="6336.44"/>
    <n v="4680.68"/>
    <n v="0.26130761121386764"/>
    <n v="1655.76"/>
    <n v="1655.7599999999993"/>
    <x v="0"/>
    <x v="0"/>
    <n v="0"/>
    <s v="Clean"/>
    <m/>
  </r>
  <r>
    <s v="ORD-2025-10842"/>
    <d v="2025-06-02T00:00:00"/>
    <x v="2"/>
    <x v="1"/>
    <d v="2025-12-02T00:00:00"/>
    <s v="CUST-7558"/>
    <s v="Ananya Rao"/>
    <x v="1"/>
    <x v="1"/>
    <s v="Bihar"/>
    <s v="Patna"/>
    <x v="0"/>
    <x v="2"/>
    <s v="Max Art 339"/>
    <x v="3"/>
    <n v="9"/>
    <n v="3237.16"/>
    <n v="0.25"/>
    <n v="21850.83"/>
    <n v="21850.829999999998"/>
    <n v="16600.13"/>
    <n v="0.2402975081495759"/>
    <n v="5250.7"/>
    <n v="5250.6999999999971"/>
    <x v="0"/>
    <x v="0"/>
    <n v="183"/>
    <s v="Clean"/>
    <m/>
  </r>
  <r>
    <s v="ORD-2024-10843"/>
    <d v="2024-03-31T00:00:00"/>
    <x v="11"/>
    <x v="0"/>
    <d v="2024-03-30T00:00:00"/>
    <s v="CUST-1798"/>
    <s v="Kabir Singh"/>
    <x v="0"/>
    <x v="0"/>
    <s v="Haryana"/>
    <s v="Gurugram"/>
    <x v="2"/>
    <x v="12"/>
    <s v="Smart Machines 581"/>
    <x v="2"/>
    <n v="4"/>
    <n v="2192.08"/>
    <n v="0.15"/>
    <n v="7453.07"/>
    <n v="7453.0719999999992"/>
    <n v="5133.78"/>
    <n v="0.31118604516365866"/>
    <n v="2319.29"/>
    <n v="2319.2919999999995"/>
    <x v="0"/>
    <x v="2"/>
    <n v="-1"/>
    <s v="Invalid"/>
    <m/>
  </r>
  <r>
    <s v="ORD-2025-10844"/>
    <d v="2025-07-18T00:00:00"/>
    <x v="0"/>
    <x v="1"/>
    <d v="2025-07-25T00:00:00"/>
    <s v="CUST-7333"/>
    <s v="Priya Menon"/>
    <x v="1"/>
    <x v="0"/>
    <s v="Uttar Pradesh"/>
    <s v="Noida"/>
    <x v="2"/>
    <x v="11"/>
    <s v="Prime Phones 482"/>
    <x v="2"/>
    <n v="9"/>
    <n v="3989.52"/>
    <n v="-0.02"/>
    <n v="35905.68"/>
    <n v="36623.793600000005"/>
    <n v="23916.1"/>
    <m/>
    <n v="11989.58"/>
    <m/>
    <x v="0"/>
    <x v="0"/>
    <n v="7"/>
    <s v="Invalid"/>
    <m/>
  </r>
  <r>
    <s v="ORD-2025-10845"/>
    <d v="2025-01-20T00:00:00"/>
    <x v="8"/>
    <x v="1"/>
    <d v="2025-01-25T00:00:00"/>
    <s v="CUST-2086"/>
    <s v="Aditi Sen"/>
    <x v="3"/>
    <x v="3"/>
    <s v="Goa"/>
    <s v="Panaji"/>
    <x v="0"/>
    <x v="2"/>
    <s v="Pro Art 588"/>
    <x v="2"/>
    <n v="1"/>
    <n v="3515.15"/>
    <n v="0"/>
    <n v="3515.15"/>
    <n v="3515.15"/>
    <n v="2216.34"/>
    <n v="0.36948921098672882"/>
    <n v="1298.81"/>
    <n v="1298.81"/>
    <x v="0"/>
    <x v="0"/>
    <n v="5"/>
    <s v="Clean"/>
    <m/>
  </r>
  <r>
    <s v="ORD-2024-10846"/>
    <d v="2024-02-23T00:00:00"/>
    <x v="6"/>
    <x v="0"/>
    <d v="2024-02-27T00:00:00"/>
    <s v="CUST-2367"/>
    <s v="Karan Malhotra"/>
    <x v="0"/>
    <x v="1"/>
    <s v="Odisha"/>
    <s v="Bhubaneswar"/>
    <x v="1"/>
    <x v="1"/>
    <s v="Eco Tables 792"/>
    <x v="2"/>
    <n v="9"/>
    <n v="3616.23"/>
    <n v="0.25"/>
    <n v="24409.55"/>
    <n v="24409.552499999998"/>
    <n v="17157.580000000002"/>
    <n v="0.29709567596538267"/>
    <n v="7251.97"/>
    <n v="7251.9724999999962"/>
    <x v="2"/>
    <x v="2"/>
    <n v="4"/>
    <s v="Clean"/>
    <m/>
  </r>
  <r>
    <s v="ORD-2024-10847"/>
    <d v="2024-04-14T00:00:00"/>
    <x v="5"/>
    <x v="0"/>
    <d v="2024-04-22T00:00:00"/>
    <s v="CUST-6522"/>
    <s v="Priya Menon"/>
    <x v="1"/>
    <x v="3"/>
    <s v="Gujarat"/>
    <s v="Ahmedabad"/>
    <x v="1"/>
    <x v="10"/>
    <s v="Prime Bookcases 177"/>
    <x v="3"/>
    <n v="2"/>
    <n v="3977.52"/>
    <n v="0"/>
    <n v="7955.04"/>
    <n v="7955.04"/>
    <n v="5580.68"/>
    <n v="0.29847241497214339"/>
    <n v="2374.36"/>
    <n v="2374.3599999999997"/>
    <x v="2"/>
    <x v="2"/>
    <n v="8"/>
    <s v="Clean"/>
    <m/>
  </r>
  <r>
    <s v="ORD-2025-10848"/>
    <d v="2025-05-20T00:00:00"/>
    <x v="4"/>
    <x v="1"/>
    <d v="2025-05-22T00:00:00"/>
    <s v="CUST-8329"/>
    <s v="Diya Patel"/>
    <x v="3"/>
    <x v="1"/>
    <s v="Odisha"/>
    <s v="Bhubaneswar"/>
    <x v="1"/>
    <x v="1"/>
    <s v="Pro Tables 828"/>
    <x v="0"/>
    <n v="2"/>
    <n v="210.08"/>
    <n v="0.2"/>
    <n v="336.13"/>
    <n v="336.12800000000004"/>
    <n v="242.19"/>
    <n v="0.27947091584158423"/>
    <n v="93.94"/>
    <n v="93.938000000000045"/>
    <x v="0"/>
    <x v="0"/>
    <n v="2"/>
    <s v="Clean"/>
    <m/>
  </r>
  <r>
    <s v="ORD-2025-10849"/>
    <d v="2025-05-27T00:00:00"/>
    <x v="4"/>
    <x v="1"/>
    <d v="2025-05-29T00:00:00"/>
    <s v="CUST-4426"/>
    <s v="Rahul Verma"/>
    <x v="3"/>
    <x v="2"/>
    <s v="Tamil Nadu"/>
    <s v="Chennai"/>
    <x v="1"/>
    <x v="3"/>
    <s v="Elite Furnishings 480"/>
    <x v="0"/>
    <n v="1"/>
    <n v="1744.35"/>
    <n v="0.25"/>
    <n v="1308.26"/>
    <n v="1308.2624999999998"/>
    <n v="1083.56"/>
    <n v="0.17175643267310645"/>
    <n v="224.7"/>
    <n v="224.70249999999987"/>
    <x v="0"/>
    <x v="0"/>
    <n v="2"/>
    <s v="Clean"/>
    <m/>
  </r>
  <r>
    <s v="ORD-2024-10850"/>
    <d v="2024-06-03T00:00:00"/>
    <x v="2"/>
    <x v="0"/>
    <d v="2024-12-03T00:00:00"/>
    <s v="CUST-3360"/>
    <s v="Isha Nair"/>
    <x v="3"/>
    <x v="3"/>
    <s v="Gujarat"/>
    <s v="Ahmedabad"/>
    <x v="1"/>
    <x v="10"/>
    <s v="Prime Bookcases 755"/>
    <x v="3"/>
    <n v="3"/>
    <n v="679.63"/>
    <n v="0.2"/>
    <n v="1631.11"/>
    <n v="1631.1120000000001"/>
    <n v="898.73"/>
    <n v="0.44900779345624336"/>
    <n v="396.58"/>
    <n v="732.38200000000006"/>
    <x v="0"/>
    <x v="0"/>
    <n v="183"/>
    <s v="Clean"/>
    <m/>
  </r>
  <r>
    <s v="ORD-2024-10851"/>
    <d v="2024-06-30T00:00:00"/>
    <x v="2"/>
    <x v="0"/>
    <d v="2024-03-07T00:00:00"/>
    <s v="CUST-2623"/>
    <s v="Priya Menon"/>
    <x v="3"/>
    <x v="1"/>
    <s v="West Bengal"/>
    <s v="Kolkata"/>
    <x v="0"/>
    <x v="0"/>
    <s v="Prime Paper 317"/>
    <x v="2"/>
    <n v="6"/>
    <n v="1211.01"/>
    <n v="0"/>
    <n v="7266.06"/>
    <n v="7266.0599999999995"/>
    <n v="6216.89"/>
    <n v="0.14439324750965438"/>
    <n v="1049.17"/>
    <n v="1049.1699999999992"/>
    <x v="0"/>
    <x v="0"/>
    <n v="-115"/>
    <s v="Invalid"/>
    <m/>
  </r>
  <r>
    <s v="ORD-2024-10852"/>
    <d v="2024-03-26T00:00:00"/>
    <x v="11"/>
    <x v="0"/>
    <d v="2024-01-04T00:00:00"/>
    <s v="CUST-3175"/>
    <s v="Karan Malhotra"/>
    <x v="1"/>
    <x v="3"/>
    <s v="Gujarat"/>
    <s v="Ahmedabad"/>
    <x v="2"/>
    <x v="5"/>
    <s v="Classic Accessories 933"/>
    <x v="2"/>
    <n v="2"/>
    <n v="1161.3"/>
    <n v="0.2"/>
    <n v="1858.08"/>
    <n v="1858.08"/>
    <n v="1590.75"/>
    <n v="0.14387432188065097"/>
    <n v="267.33"/>
    <n v="267.32999999999993"/>
    <x v="0"/>
    <x v="0"/>
    <n v="-82"/>
    <s v="Invalid"/>
    <m/>
  </r>
  <r>
    <s v="ORD-2024-10853"/>
    <d v="2024-01-04T00:00:00"/>
    <x v="8"/>
    <x v="0"/>
    <d v="2024-08-04T00:00:00"/>
    <s v="CUST-9630"/>
    <s v="Ananya Rao"/>
    <x v="0"/>
    <x v="1"/>
    <s v="Assam"/>
    <s v="Guwahati"/>
    <x v="1"/>
    <x v="1"/>
    <s v="Smart Tables 513"/>
    <x v="0"/>
    <n v="7"/>
    <n v="4205.3500000000004"/>
    <n v="0.15"/>
    <n v="25021.83"/>
    <n v="25021.832500000004"/>
    <n v="15544.44"/>
    <n v="0.37876492459135447"/>
    <n v="9477.39"/>
    <n v="9477.3925000000036"/>
    <x v="2"/>
    <x v="1"/>
    <n v="213"/>
    <s v="Clean"/>
    <m/>
  </r>
  <r>
    <s v="ORD-2025-10854"/>
    <d v="2025-05-16T00:00:00"/>
    <x v="4"/>
    <x v="1"/>
    <d v="2025-05-22T00:00:00"/>
    <s v="CUST-8274"/>
    <s v="Arjun Bose"/>
    <x v="2"/>
    <x v="2"/>
    <s v="Tamil Nadu"/>
    <s v="Chennai"/>
    <x v="2"/>
    <x v="5"/>
    <s v="Elite Accessories 708"/>
    <x v="1"/>
    <n v="8"/>
    <n v="579.79999999999995"/>
    <n v="0.2"/>
    <n v="3710.72"/>
    <n v="3710.72"/>
    <n v="3115.29"/>
    <n v="0.16046212055881334"/>
    <n v="595.42999999999995"/>
    <n v="595.42999999999984"/>
    <x v="0"/>
    <x v="0"/>
    <n v="6"/>
    <s v="Clean"/>
    <m/>
  </r>
  <r>
    <s v="ORD-2025-10855"/>
    <d v="2025-03-25T00:00:00"/>
    <x v="11"/>
    <x v="1"/>
    <d v="2025-04-02T00:00:00"/>
    <s v="CUST-2514"/>
    <s v="Priya Menon"/>
    <x v="0"/>
    <x v="2"/>
    <s v="Karnataka"/>
    <s v="Bengaluru"/>
    <x v="1"/>
    <x v="10"/>
    <s v="Max Bookcases 381"/>
    <x v="0"/>
    <n v="4"/>
    <n v="2233.64"/>
    <n v="0.05"/>
    <n v="8487.83"/>
    <n v="8487.8319999999985"/>
    <n v="5245.72"/>
    <n v="0.38197174496384928"/>
    <n v="3242.11"/>
    <n v="3242.1119999999983"/>
    <x v="0"/>
    <x v="0"/>
    <n v="8"/>
    <s v="Clean"/>
    <m/>
  </r>
  <r>
    <s v="ORD-2024-10856"/>
    <d v="2024-07-25T00:00:00"/>
    <x v="0"/>
    <x v="0"/>
    <d v="2024-02-08T00:00:00"/>
    <s v="CUST-2752"/>
    <s v="Rahul Verma"/>
    <x v="0"/>
    <x v="0"/>
    <s v="Rajasthan"/>
    <s v="Jaipur"/>
    <x v="0"/>
    <x v="7"/>
    <s v="Classic Labels 215"/>
    <x v="0"/>
    <n v="2"/>
    <n v="2073.5300000000002"/>
    <n v="0.25"/>
    <n v="3110.3"/>
    <n v="3110.2950000000001"/>
    <n v="2101.0300000000002"/>
    <n v="0.32449172827657824"/>
    <n v="1009.27"/>
    <n v="1009.2649999999999"/>
    <x v="0"/>
    <x v="0"/>
    <n v="-168"/>
    <s v="Invalid"/>
    <m/>
  </r>
  <r>
    <s v="ORD-2024-10857"/>
    <d v="2024-12-06T00:00:00"/>
    <x v="7"/>
    <x v="0"/>
    <d v="2024-06-19T00:00:00"/>
    <s v="CUST-5647"/>
    <s v="Rohan Mehta"/>
    <x v="3"/>
    <x v="2"/>
    <s v="Tamil Nadu"/>
    <s v="Chennai"/>
    <x v="0"/>
    <x v="8"/>
    <s v="Classic Storage 918"/>
    <x v="3"/>
    <n v="4"/>
    <n v="395.1"/>
    <n v="-0.16"/>
    <n v="1185.3"/>
    <n v="1833.2639999999999"/>
    <n v="966.55"/>
    <m/>
    <n v="218.75"/>
    <m/>
    <x v="3"/>
    <x v="1"/>
    <n v="-170"/>
    <s v="Invalid"/>
    <m/>
  </r>
  <r>
    <s v="ORD-2024-10858"/>
    <d v="2024-04-06T00:00:00"/>
    <x v="5"/>
    <x v="0"/>
    <d v="2024-04-06T00:00:00"/>
    <s v="CUST-8575"/>
    <s v="Sneha Kapoor"/>
    <x v="3"/>
    <x v="2"/>
    <s v="Kerala"/>
    <s v="Kochi"/>
    <x v="0"/>
    <x v="8"/>
    <s v="Max Storage 223"/>
    <x v="2"/>
    <n v="6"/>
    <n v="2708.97"/>
    <n v="0.25"/>
    <n v="12190.36"/>
    <n v="12190.365"/>
    <n v="10176.99"/>
    <n v="0.16516117441930575"/>
    <n v="2013.37"/>
    <n v="2013.375"/>
    <x v="0"/>
    <x v="0"/>
    <n v="0"/>
    <s v="Clean"/>
    <m/>
  </r>
  <r>
    <s v="ORD-2024-10859"/>
    <d v="2024-05-02T00:00:00"/>
    <x v="4"/>
    <x v="0"/>
    <d v="2024-09-05T00:00:00"/>
    <s v="CUST-9576"/>
    <s v="Arjun Bose"/>
    <x v="0"/>
    <x v="1"/>
    <s v="Odisha"/>
    <s v="Bhubaneswar"/>
    <x v="2"/>
    <x v="5"/>
    <s v="Basic Accessories 602"/>
    <x v="0"/>
    <n v="4"/>
    <n v="2904.86"/>
    <n v="0"/>
    <n v="11619.44"/>
    <n v="11619.44"/>
    <n v="7184.32"/>
    <n v="0.3816982574031107"/>
    <n v="4494.6400000000003"/>
    <n v="4435.1200000000008"/>
    <x v="0"/>
    <x v="0"/>
    <n v="126"/>
    <s v="Clean"/>
    <m/>
  </r>
  <r>
    <s v="ORD-2024-10860"/>
    <d v="2024-10-27T00:00:00"/>
    <x v="10"/>
    <x v="0"/>
    <d v="2024-01-11T00:00:00"/>
    <s v="CUST-2395"/>
    <s v="Aditi Sen"/>
    <x v="2"/>
    <x v="2"/>
    <s v="Tamil Nadu"/>
    <s v="Chennai"/>
    <x v="2"/>
    <x v="11"/>
    <s v="Elite Phones 394"/>
    <x v="3"/>
    <n v="6"/>
    <n v="4399.2"/>
    <n v="0.05"/>
    <n v="25075.439999999999"/>
    <n v="25075.439999999995"/>
    <n v="16282.74"/>
    <n v="0.35064987892535471"/>
    <n v="8792.7000000000007"/>
    <n v="8792.6999999999953"/>
    <x v="0"/>
    <x v="0"/>
    <n v="-290"/>
    <s v="Invalid"/>
    <m/>
  </r>
  <r>
    <s v="ORD-2024-10861"/>
    <d v="2024-02-02T00:00:00"/>
    <x v="6"/>
    <x v="0"/>
    <d v="2024-04-02T00:00:00"/>
    <s v="CUST-8941"/>
    <s v="Vikram Iyer"/>
    <x v="3"/>
    <x v="0"/>
    <s v="Uttar Pradesh"/>
    <s v="Noida"/>
    <x v="0"/>
    <x v="8"/>
    <s v="Classic Storage 194"/>
    <x v="0"/>
    <n v="1"/>
    <n v="4397.32"/>
    <n v="0.05"/>
    <n v="4177.45"/>
    <n v="4177.4539999999997"/>
    <n v="2299.5"/>
    <n v="0.44954510570313877"/>
    <n v="1877.95"/>
    <n v="1877.9539999999997"/>
    <x v="0"/>
    <x v="0"/>
    <n v="60"/>
    <s v="Clean"/>
    <m/>
  </r>
  <r>
    <s v="ORD-2025-10862"/>
    <d v="2025-08-03T00:00:00"/>
    <x v="1"/>
    <x v="1"/>
    <d v="2025-09-03T00:00:00"/>
    <s v="CUST-9448"/>
    <s v="Priya Menon"/>
    <x v="3"/>
    <x v="0"/>
    <s v="Delhi"/>
    <s v="New Delhi"/>
    <x v="1"/>
    <x v="3"/>
    <s v="Smart Furnishings 892"/>
    <x v="1"/>
    <n v="4"/>
    <n v="3405.68"/>
    <n v="0.2"/>
    <n v="10898.18"/>
    <n v="10898.175999999999"/>
    <n v="6231.41"/>
    <n v="0.42821532704188298"/>
    <n v="4666.7700000000004"/>
    <n v="4666.7659999999996"/>
    <x v="0"/>
    <x v="0"/>
    <n v="31"/>
    <s v="Clean"/>
    <m/>
  </r>
  <r>
    <s v="ORD-2025-10863"/>
    <d v="2025-03-26T00:00:00"/>
    <x v="11"/>
    <x v="1"/>
    <d v="2025-03-31T00:00:00"/>
    <s v="CUST-8354"/>
    <s v="Priya Menon"/>
    <x v="1"/>
    <x v="1"/>
    <s v="Jharkhand"/>
    <s v="Ranchi"/>
    <x v="0"/>
    <x v="9"/>
    <s v="Pro Binders 488"/>
    <x v="2"/>
    <n v="5"/>
    <n v="1395.14"/>
    <n v="0"/>
    <n v="6975.7"/>
    <n v="6975.7000000000007"/>
    <n v="4797.88"/>
    <n v="0.3122009260719355"/>
    <n v="2177.8200000000002"/>
    <n v="2177.8200000000006"/>
    <x v="0"/>
    <x v="1"/>
    <n v="5"/>
    <s v="Clean"/>
    <m/>
  </r>
  <r>
    <s v="ORD-2025-10864"/>
    <d v="2025-09-06T00:00:00"/>
    <x v="9"/>
    <x v="1"/>
    <d v="2025-09-08T00:00:00"/>
    <s v="CUST-2200"/>
    <s v="Aarav Sharma"/>
    <x v="3"/>
    <x v="3"/>
    <s v="Madhya Pradesh"/>
    <s v="Indore"/>
    <x v="1"/>
    <x v="3"/>
    <s v="Prime Furnishings 679"/>
    <x v="1"/>
    <n v="3"/>
    <n v="2937.23"/>
    <n v="0"/>
    <n v="8811.69"/>
    <n v="8811.69"/>
    <n v="6765.91"/>
    <n v="0.23216658779416893"/>
    <n v="2045.78"/>
    <n v="2045.7800000000007"/>
    <x v="0"/>
    <x v="0"/>
    <n v="2"/>
    <s v="Clean"/>
    <m/>
  </r>
  <r>
    <s v="ORD-2025-10865"/>
    <d v="2025-02-09T00:00:00"/>
    <x v="6"/>
    <x v="1"/>
    <d v="2025-05-09T00:00:00"/>
    <s v="CUST-1178"/>
    <s v="Vikram Iyer"/>
    <x v="0"/>
    <x v="2"/>
    <s v="Tamil Nadu"/>
    <s v="Chennai"/>
    <x v="2"/>
    <x v="11"/>
    <s v="Smart Phones 158"/>
    <x v="2"/>
    <n v="5"/>
    <n v="3406.87"/>
    <n v="0"/>
    <n v="17034.349999999999"/>
    <n v="17034.349999999999"/>
    <n v="14631.36"/>
    <n v="0.14106731398615141"/>
    <n v="2402.9899999999998"/>
    <n v="2402.989999999998"/>
    <x v="0"/>
    <x v="0"/>
    <n v="89"/>
    <s v="Clean"/>
    <m/>
  </r>
  <r>
    <s v="ORD-2025-10866"/>
    <d v="2025-06-02T00:00:00"/>
    <x v="2"/>
    <x v="1"/>
    <d v="2025-02-14T00:00:00"/>
    <s v="CUST-8099"/>
    <s v="Kabir Singh"/>
    <x v="0"/>
    <x v="3"/>
    <s v="Maharashtra"/>
    <s v="Mumbai"/>
    <x v="0"/>
    <x v="7"/>
    <s v="Classic Labels 218"/>
    <x v="0"/>
    <n v="2"/>
    <n v="3992.04"/>
    <n v="0"/>
    <n v="7984.08"/>
    <n v="7984.08"/>
    <n v="5658.05"/>
    <n v="0.29133350367230787"/>
    <n v="2326.0300000000002"/>
    <n v="2326.0299999999997"/>
    <x v="0"/>
    <x v="0"/>
    <n v="-108"/>
    <s v="Invalid"/>
    <m/>
  </r>
  <r>
    <s v="ORD-2025-10867"/>
    <d v="2025-02-26T00:00:00"/>
    <x v="6"/>
    <x v="1"/>
    <d v="2025-06-03T00:00:00"/>
    <s v="CUST-7596"/>
    <s v="Priya Menon"/>
    <x v="0"/>
    <x v="1"/>
    <s v="Bihar"/>
    <s v="Patna"/>
    <x v="1"/>
    <x v="10"/>
    <s v="Smart Bookcases 552"/>
    <x v="2"/>
    <n v="9"/>
    <n v="3043.37"/>
    <n v="0.2"/>
    <n v="21912.26"/>
    <n v="21912.263999999999"/>
    <n v="16367.78"/>
    <n v="0.25303108797885965"/>
    <n v="5544.48"/>
    <n v="5544.4839999999986"/>
    <x v="2"/>
    <x v="1"/>
    <n v="97"/>
    <s v="Clean"/>
    <m/>
  </r>
  <r>
    <s v="ORD-2024-10868"/>
    <d v="2024-11-21T00:00:00"/>
    <x v="3"/>
    <x v="0"/>
    <d v="2024-11-22T00:00:00"/>
    <s v="CUST-2328"/>
    <s v="Rahul Verma"/>
    <x v="3"/>
    <x v="2"/>
    <s v="Andhra Pradesh"/>
    <s v="Vijayawada"/>
    <x v="2"/>
    <x v="5"/>
    <s v="Eco Accessories 389"/>
    <x v="1"/>
    <n v="6"/>
    <n v="1043.49"/>
    <n v="0.25"/>
    <n v="4695.7"/>
    <n v="4695.7049999999999"/>
    <n v="3871.69"/>
    <n v="0.17548270174553127"/>
    <n v="824.01"/>
    <n v="824.01499999999987"/>
    <x v="3"/>
    <x v="1"/>
    <n v="1"/>
    <s v="Clean"/>
    <m/>
  </r>
  <r>
    <s v="ORD-2025-10869"/>
    <d v="2025-11-04T00:00:00"/>
    <x v="3"/>
    <x v="1"/>
    <d v="2025-04-15T00:00:00"/>
    <s v="CUST-8483"/>
    <s v="Vikram Iyer"/>
    <x v="3"/>
    <x v="2"/>
    <s v="Karnataka"/>
    <s v="Bengaluru"/>
    <x v="0"/>
    <x v="8"/>
    <s v="Elite Storage 187"/>
    <x v="1"/>
    <n v="9"/>
    <n v="224.94"/>
    <n v="0.05"/>
    <n v="1923.24"/>
    <n v="1923.2369999999999"/>
    <n v="1093.6600000000001"/>
    <n v="0.43134413491420964"/>
    <n v="829.58"/>
    <n v="829.57699999999977"/>
    <x v="0"/>
    <x v="0"/>
    <n v="-203"/>
    <s v="Invalid"/>
    <m/>
  </r>
  <r>
    <s v="ORD-2025-10870"/>
    <d v="2025-03-06T00:00:00"/>
    <x v="11"/>
    <x v="1"/>
    <d v="2025-07-03T00:00:00"/>
    <s v="CUST-2388"/>
    <s v="Rohan Mehta"/>
    <x v="3"/>
    <x v="4"/>
    <s v="Delhi"/>
    <s v="New Delhi"/>
    <x v="1"/>
    <x v="4"/>
    <s v="Max Chairs 487"/>
    <x v="1"/>
    <n v="6"/>
    <n v="796.65"/>
    <n v="0.1"/>
    <n v="4301.91"/>
    <n v="4301.91"/>
    <n v="2374.4"/>
    <n v="0.44805911792668834"/>
    <n v="1927.51"/>
    <n v="1927.5099999999998"/>
    <x v="0"/>
    <x v="0"/>
    <n v="119"/>
    <s v="Warning"/>
    <m/>
  </r>
  <r>
    <s v="ORD-2025-10871"/>
    <d v="2025-06-06T00:00:00"/>
    <x v="2"/>
    <x v="1"/>
    <d v="2025-07-06T00:00:00"/>
    <s v="CUST-7054"/>
    <s v="Vikram Iyer"/>
    <x v="2"/>
    <x v="3"/>
    <s v="Goa"/>
    <s v="Panaji"/>
    <x v="1"/>
    <x v="1"/>
    <s v="Max Tables 281"/>
    <x v="3"/>
    <n v="9"/>
    <n v="2932.92"/>
    <n v="0.15"/>
    <n v="22436.84"/>
    <n v="22436.838"/>
    <n v="17454.669999999998"/>
    <n v="0.22205303617203109"/>
    <n v="4982.17"/>
    <n v="4982.1680000000015"/>
    <x v="0"/>
    <x v="1"/>
    <n v="30"/>
    <s v="Clean"/>
    <m/>
  </r>
  <r>
    <s v="ORD-2024-10872"/>
    <d v="2024-02-20T00:00:00"/>
    <x v="6"/>
    <x v="0"/>
    <d v="2024-02-22T00:00:00"/>
    <s v="CUST-4375"/>
    <s v="Neha Gupta"/>
    <x v="1"/>
    <x v="2"/>
    <s v="Telangana"/>
    <s v="Hyderabad"/>
    <x v="2"/>
    <x v="5"/>
    <s v="Pro Accessories 325"/>
    <x v="2"/>
    <n v="9"/>
    <n v="2186.23"/>
    <n v="0"/>
    <n v="19676.07"/>
    <n v="19676.07"/>
    <n v="12458.62"/>
    <n v="0.36681359641432454"/>
    <n v="7217.45"/>
    <n v="7217.4499999999989"/>
    <x v="1"/>
    <x v="1"/>
    <n v="2"/>
    <s v="Clean"/>
    <m/>
  </r>
  <r>
    <s v="ORD-2024-10873"/>
    <d v="2024-11-01T00:00:00"/>
    <x v="3"/>
    <x v="0"/>
    <d v="2024-02-11T00:00:00"/>
    <s v="CUST-6262"/>
    <s v="Karan Malhotra"/>
    <x v="2"/>
    <x v="1"/>
    <s v="West Bengal"/>
    <s v="Kolkata"/>
    <x v="1"/>
    <x v="3"/>
    <s v="Prime Furnishings 178"/>
    <x v="3"/>
    <n v="5"/>
    <n v="2212.02"/>
    <n v="0.2"/>
    <n v="8848.08"/>
    <n v="8848.08"/>
    <n v="5691.56"/>
    <n v="0.35674632236598219"/>
    <n v="3156.52"/>
    <n v="3156.5199999999995"/>
    <x v="0"/>
    <x v="0"/>
    <n v="-264"/>
    <s v="Invalid"/>
    <m/>
  </r>
  <r>
    <s v="ORD-2025-10874"/>
    <d v="2025-01-02T00:00:00"/>
    <x v="8"/>
    <x v="1"/>
    <d v="2025-08-02T00:00:00"/>
    <s v="CUST-8160"/>
    <s v="Aditi Sen"/>
    <x v="3"/>
    <x v="3"/>
    <s v="Gujarat"/>
    <s v="Ahmedabad"/>
    <x v="0"/>
    <x v="8"/>
    <s v="Elite Storage 144"/>
    <x v="0"/>
    <n v="8"/>
    <n v="623.30999999999995"/>
    <n v="0.1"/>
    <n v="4487.83"/>
    <n v="4487.8319999999994"/>
    <n v="2633.78"/>
    <n v="0.41312865543986482"/>
    <n v="1854.05"/>
    <n v="1854.0519999999992"/>
    <x v="0"/>
    <x v="0"/>
    <n v="212"/>
    <s v="Clean"/>
    <m/>
  </r>
  <r>
    <s v="ORD-2025-10875"/>
    <d v="2025-07-15T00:00:00"/>
    <x v="0"/>
    <x v="1"/>
    <d v="2025-07-16T00:00:00"/>
    <s v="CUST-8770"/>
    <s v="Vikram Iyer"/>
    <x v="1"/>
    <x v="3"/>
    <s v="Maharashtra"/>
    <s v="Mumbai"/>
    <x v="0"/>
    <x v="0"/>
    <s v="Elite Paper 309"/>
    <x v="3"/>
    <n v="8"/>
    <n v="3924.88"/>
    <n v="0.05"/>
    <n v="29829.09"/>
    <n v="29829.088"/>
    <n v="20710.18"/>
    <n v="0.30570522303598419"/>
    <n v="9118.91"/>
    <n v="9118.9079999999994"/>
    <x v="0"/>
    <x v="0"/>
    <n v="1"/>
    <s v="Clean"/>
    <m/>
  </r>
  <r>
    <s v="ORD-2024-10876"/>
    <d v="2024-10-08T00:00:00"/>
    <x v="10"/>
    <x v="0"/>
    <d v="2024-08-11T00:00:00"/>
    <s v="CUST-6928"/>
    <s v="Mira Das"/>
    <x v="2"/>
    <x v="3"/>
    <s v="Maharashtra"/>
    <s v="Mumbai"/>
    <x v="2"/>
    <x v="6"/>
    <s v="Elite Copiers 752"/>
    <x v="2"/>
    <n v="7"/>
    <n v="3852.62"/>
    <n v="0.2"/>
    <n v="21574.67"/>
    <n v="21574.672000000002"/>
    <n v="14672.83"/>
    <n v="0.31990484026825539"/>
    <n v="6901.84"/>
    <n v="6901.8420000000024"/>
    <x v="0"/>
    <x v="0"/>
    <n v="-58"/>
    <s v="Invalid"/>
    <m/>
  </r>
  <r>
    <s v="ORD-2024-10877"/>
    <d v="2024-11-18T00:00:00"/>
    <x v="3"/>
    <x v="0"/>
    <d v="2024-11-20T00:00:00"/>
    <s v="CUST-9044"/>
    <s v="Priya Menon"/>
    <x v="0"/>
    <x v="3"/>
    <s v="Rajasthan"/>
    <s v="Udaipur"/>
    <x v="1"/>
    <x v="4"/>
    <s v="Pro Chairs 316"/>
    <x v="2"/>
    <n v="6"/>
    <n v="3790.22"/>
    <n v="0"/>
    <n v="22741.32"/>
    <n v="22741.32"/>
    <n v="16388.57"/>
    <n v="0.27934834037777928"/>
    <n v="6352.75"/>
    <n v="6352.75"/>
    <x v="0"/>
    <x v="0"/>
    <n v="2"/>
    <s v="Clean"/>
    <m/>
  </r>
  <r>
    <s v="ORD-2025-10878"/>
    <d v="2025-08-26T00:00:00"/>
    <x v="1"/>
    <x v="1"/>
    <d v="2025-03-09T00:00:00"/>
    <s v="CUST-7146"/>
    <s v="Aarav Sharma"/>
    <x v="0"/>
    <x v="3"/>
    <s v="Rajasthan"/>
    <s v="Udaipur"/>
    <x v="0"/>
    <x v="8"/>
    <s v="Max Storage 438"/>
    <x v="0"/>
    <n v="6"/>
    <n v="674.36"/>
    <n v="0.1"/>
    <n v="3641.54"/>
    <n v="3641.5439999999999"/>
    <n v="2690.37"/>
    <n v="0.26120074342092253"/>
    <n v="951.17"/>
    <n v="951.17399999999998"/>
    <x v="0"/>
    <x v="0"/>
    <n v="-170"/>
    <s v="Invalid"/>
    <m/>
  </r>
  <r>
    <s v="ORD-2024-10879"/>
    <d v="2024-01-22T00:00:00"/>
    <x v="8"/>
    <x v="0"/>
    <d v="2024-01-22T00:00:00"/>
    <s v="CUST-8534"/>
    <s v="Karan Malhotra"/>
    <x v="2"/>
    <x v="1"/>
    <s v="West Bengal"/>
    <s v="Kolkata"/>
    <x v="0"/>
    <x v="0"/>
    <s v="Basic Paper 904"/>
    <x v="2"/>
    <n v="8"/>
    <n v="1557.21"/>
    <n v="0.05"/>
    <n v="11834.8"/>
    <n v="11834.796"/>
    <n v="9322.36"/>
    <n v="0.21229229468763125"/>
    <n v="2512.44"/>
    <n v="2512.4359999999997"/>
    <x v="0"/>
    <x v="0"/>
    <n v="0"/>
    <s v="Clean"/>
    <m/>
  </r>
  <r>
    <s v="ORD-2025-10880"/>
    <d v="2025-08-27T00:00:00"/>
    <x v="1"/>
    <x v="1"/>
    <d v="2025-08-28T00:00:00"/>
    <s v="CUST-4486"/>
    <s v="Ananya Rao"/>
    <x v="3"/>
    <x v="0"/>
    <s v="Uttar Pradesh"/>
    <s v="Noida"/>
    <x v="0"/>
    <x v="2"/>
    <s v="Smart Art 990"/>
    <x v="3"/>
    <n v="6"/>
    <n v="1182.03"/>
    <n v="0.15"/>
    <n v="6028.35"/>
    <n v="6028.3530000000001"/>
    <n v="4433.63"/>
    <n v="0.26453709661660491"/>
    <n v="1594.72"/>
    <n v="1594.723"/>
    <x v="0"/>
    <x v="0"/>
    <n v="1"/>
    <s v="Clean"/>
    <m/>
  </r>
  <r>
    <s v="ORD-2024-10881"/>
    <d v="2024-08-03T00:00:00"/>
    <x v="1"/>
    <x v="0"/>
    <d v="2024-03-15T00:00:00"/>
    <s v="CUST-5287"/>
    <s v="Aarav Sharma"/>
    <x v="1"/>
    <x v="4"/>
    <s v="Punjab"/>
    <s v="Ludhiana"/>
    <x v="1"/>
    <x v="4"/>
    <s v="Basic Chairs 327"/>
    <x v="2"/>
    <n v="5"/>
    <n v="3234.77"/>
    <n v="0"/>
    <n v="16173.85"/>
    <n v="16173.85"/>
    <n v="13636.34"/>
    <n v="0.15688967067210344"/>
    <n v="2537.5100000000002"/>
    <n v="2537.5100000000002"/>
    <x v="0"/>
    <x v="0"/>
    <n v="-141"/>
    <s v="Invalid/Warning"/>
    <m/>
  </r>
  <r>
    <s v="ORD-2024-10882"/>
    <d v="2024-01-12T00:00:00"/>
    <x v="8"/>
    <x v="0"/>
    <d v="2024-05-12T00:00:00"/>
    <s v="CUST-3445"/>
    <s v="Ananya Rao"/>
    <x v="1"/>
    <x v="2"/>
    <s v="Andhra Pradesh"/>
    <s v="Vijayawada"/>
    <x v="2"/>
    <x v="6"/>
    <s v="Eco Copiers 987"/>
    <x v="0"/>
    <n v="9"/>
    <n v="3726.75"/>
    <n v="0.25"/>
    <n v="25155.56"/>
    <n v="25155.5625"/>
    <n v="17592.689999999999"/>
    <n v="0.30064414182747856"/>
    <n v="7562.87"/>
    <n v="7562.8725000000013"/>
    <x v="0"/>
    <x v="0"/>
    <n v="121"/>
    <s v="Clean"/>
    <m/>
  </r>
  <r>
    <s v="ORD-2025-10883"/>
    <d v="2025-02-02T00:00:00"/>
    <x v="6"/>
    <x v="1"/>
    <d v="2025-02-10T00:00:00"/>
    <s v="CUST-4983"/>
    <s v="Sneha Kapoor"/>
    <x v="2"/>
    <x v="1"/>
    <s v="Bihar"/>
    <s v="Patna"/>
    <x v="2"/>
    <x v="5"/>
    <s v="Basic Accessories 607"/>
    <x v="3"/>
    <n v="4"/>
    <n v="1912.45"/>
    <n v="0"/>
    <n v="7649.8"/>
    <n v="7649.8"/>
    <n v="4894.53"/>
    <n v="0.36017542942299152"/>
    <n v="2755.27"/>
    <n v="2755.2700000000004"/>
    <x v="2"/>
    <x v="2"/>
    <n v="8"/>
    <s v="Clean"/>
    <m/>
  </r>
  <r>
    <s v="ORD-2025-10884"/>
    <d v="2025-04-28T00:00:00"/>
    <x v="5"/>
    <x v="1"/>
    <d v="2025-05-01T00:00:00"/>
    <s v="CUST-2597"/>
    <s v="Aarav Sharma"/>
    <x v="1"/>
    <x v="3"/>
    <s v="Goa"/>
    <s v="Panaji"/>
    <x v="0"/>
    <x v="8"/>
    <s v="Classic Storage 211"/>
    <x v="1"/>
    <n v="1"/>
    <n v="1620.87"/>
    <n v="0"/>
    <n v="1620.87"/>
    <n v="1620.87"/>
    <n v="1103.6099999999999"/>
    <n v="0.31912491439782342"/>
    <n v="517.26"/>
    <n v="517.26"/>
    <x v="0"/>
    <x v="0"/>
    <n v="3"/>
    <s v="Clean"/>
    <m/>
  </r>
  <r>
    <s v="ORD-2025-10885"/>
    <d v="2025-01-18T00:00:00"/>
    <x v="8"/>
    <x v="1"/>
    <d v="2025-01-25T00:00:00"/>
    <s v="CUST-7505"/>
    <s v="Neha Gupta"/>
    <x v="3"/>
    <x v="2"/>
    <s v="Karnataka"/>
    <s v="Bengaluru"/>
    <x v="0"/>
    <x v="8"/>
    <s v="Eco Storage 783"/>
    <x v="1"/>
    <n v="2"/>
    <n v="2098.54"/>
    <n v="0.15"/>
    <n v="3567.52"/>
    <n v="3567.518"/>
    <n v="2411.8000000000002"/>
    <n v="0.32395575859743381"/>
    <n v="1155.72"/>
    <n v="1155.7179999999998"/>
    <x v="0"/>
    <x v="0"/>
    <n v="7"/>
    <s v="Clean"/>
    <m/>
  </r>
  <r>
    <s v="ORD-2024-10886"/>
    <d v="2024-05-01T00:00:00"/>
    <x v="4"/>
    <x v="0"/>
    <d v="2024-05-01T00:00:00"/>
    <s v="CUST-3446"/>
    <s v="Diya Patel"/>
    <x v="0"/>
    <x v="0"/>
    <s v="Rajasthan"/>
    <s v="Jaipur"/>
    <x v="1"/>
    <x v="1"/>
    <s v="Pro Tables 866"/>
    <x v="3"/>
    <n v="1"/>
    <n v="2167.08"/>
    <n v="0.25"/>
    <n v="1625.31"/>
    <n v="1625.31"/>
    <n v="1157.8900000000001"/>
    <n v="0.28758821394072509"/>
    <n v="467.42"/>
    <n v="467.41999999999985"/>
    <x v="0"/>
    <x v="0"/>
    <n v="0"/>
    <s v="Clean"/>
    <m/>
  </r>
  <r>
    <s v="ORD-2025-10887"/>
    <d v="2025-04-26T00:00:00"/>
    <x v="5"/>
    <x v="1"/>
    <d v="2025-03-05T00:00:00"/>
    <s v="CUST-3549"/>
    <s v="Arjun Bose"/>
    <x v="3"/>
    <x v="2"/>
    <s v="Tamil Nadu"/>
    <s v="Chennai"/>
    <x v="2"/>
    <x v="5"/>
    <s v="Max Accessories 541"/>
    <x v="2"/>
    <n v="7"/>
    <n v="3989.9"/>
    <n v="0.15"/>
    <n v="23739.9"/>
    <n v="23739.904999999999"/>
    <n v="17716.52"/>
    <n v="0.25372405660427028"/>
    <n v="6023.38"/>
    <n v="6023.3849999999984"/>
    <x v="0"/>
    <x v="1"/>
    <n v="-52"/>
    <s v="Invalid"/>
    <m/>
  </r>
  <r>
    <s v="ORD-2024-10888"/>
    <d v="2024-12-06T00:00:00"/>
    <x v="7"/>
    <x v="0"/>
    <d v="2024-06-18T00:00:00"/>
    <s v="CUST-2795"/>
    <s v="Aarav Sharma"/>
    <x v="1"/>
    <x v="2"/>
    <s v="Andhra Pradesh"/>
    <s v="Vijayawada"/>
    <x v="0"/>
    <x v="2"/>
    <s v="Prime Art 596"/>
    <x v="3"/>
    <n v="4"/>
    <n v="4176.13"/>
    <n v="0"/>
    <n v="16704.52"/>
    <n v="16704.52"/>
    <n v="10158.280000000001"/>
    <n v="0.39188435225914897"/>
    <n v="6546.24"/>
    <n v="6546.24"/>
    <x v="0"/>
    <x v="0"/>
    <n v="-171"/>
    <s v="Invalid"/>
    <m/>
  </r>
  <r>
    <s v="ORD-2025-10889"/>
    <d v="2025-06-08T00:00:00"/>
    <x v="2"/>
    <x v="1"/>
    <d v="2025-07-08T00:00:00"/>
    <s v="CUST-1081"/>
    <s v="Rahul Verma"/>
    <x v="1"/>
    <x v="3"/>
    <s v="Maharashtra"/>
    <s v="Mumbai"/>
    <x v="0"/>
    <x v="2"/>
    <s v="Pro Art 620"/>
    <x v="3"/>
    <n v="4"/>
    <n v="3523.64"/>
    <n v="0.1"/>
    <n v="12685.1"/>
    <n v="12685.103999999999"/>
    <n v="10779.56"/>
    <n v="0.15021902855506741"/>
    <n v="1905.54"/>
    <n v="1905.5439999999999"/>
    <x v="1"/>
    <x v="1"/>
    <n v="30"/>
    <s v="Clean"/>
    <m/>
  </r>
  <r>
    <s v="ORD-2025-10890"/>
    <d v="2025-10-03T00:00:00"/>
    <x v="10"/>
    <x v="1"/>
    <d v="2025-03-11T00:00:00"/>
    <s v="CUST-8467"/>
    <s v="Aditi Sen"/>
    <x v="3"/>
    <x v="3"/>
    <s v="Madhya Pradesh"/>
    <s v="Indore"/>
    <x v="0"/>
    <x v="8"/>
    <s v="Prime Storage 806"/>
    <x v="2"/>
    <n v="2"/>
    <n v="3922.08"/>
    <n v="0.25"/>
    <n v="5883.12"/>
    <n v="5883.12"/>
    <n v="4647.91"/>
    <n v="0.20995832143488491"/>
    <n v="1235.21"/>
    <n v="1235.21"/>
    <x v="0"/>
    <x v="2"/>
    <n v="-206"/>
    <s v="Invalid"/>
    <m/>
  </r>
  <r>
    <s v="ORD-2024-10891"/>
    <d v="2024-05-15T00:00:00"/>
    <x v="4"/>
    <x v="0"/>
    <d v="2024-05-21T00:00:00"/>
    <s v="CUST-3992"/>
    <s v="Karan Malhotra"/>
    <x v="0"/>
    <x v="3"/>
    <s v="Goa"/>
    <s v="Panaji"/>
    <x v="0"/>
    <x v="8"/>
    <s v="Smart Storage 288"/>
    <x v="3"/>
    <n v="6"/>
    <n v="2909.56"/>
    <n v="0.2"/>
    <n v="13965.89"/>
    <n v="13965.888000000001"/>
    <n v="11646.12"/>
    <n v="0.16610243473239938"/>
    <n v="2319.77"/>
    <n v="2319.768"/>
    <x v="0"/>
    <x v="0"/>
    <n v="6"/>
    <s v="Clean"/>
    <m/>
  </r>
  <r>
    <s v="ORD-2024-10892"/>
    <d v="2024-08-10T00:00:00"/>
    <x v="1"/>
    <x v="0"/>
    <d v="2024-09-10T00:00:00"/>
    <s v="CUST-6647"/>
    <s v="Kabir Singh"/>
    <x v="2"/>
    <x v="2"/>
    <s v="Tamil Nadu"/>
    <s v="Chennai"/>
    <x v="2"/>
    <x v="12"/>
    <s v="Elite Machines 281"/>
    <x v="1"/>
    <n v="5"/>
    <n v="2407.9699999999998"/>
    <n v="0.1"/>
    <n v="10835.86"/>
    <n v="10835.865"/>
    <n v="6419.92"/>
    <n v="0.40753045557507406"/>
    <n v="4415.9399999999996"/>
    <n v="4415.9449999999997"/>
    <x v="3"/>
    <x v="1"/>
    <n v="31"/>
    <s v="Clean"/>
    <m/>
  </r>
  <r>
    <s v="ORD-2025-10893"/>
    <d v="2025-04-12T00:00:00"/>
    <x v="5"/>
    <x v="1"/>
    <d v="2025-04-18T00:00:00"/>
    <s v="CUST-5087"/>
    <s v="Isha Nair"/>
    <x v="1"/>
    <x v="1"/>
    <s v="Jharkhand"/>
    <s v="Ranchi"/>
    <x v="2"/>
    <x v="6"/>
    <s v="Elite Copiers 221"/>
    <x v="1"/>
    <n v="1"/>
    <n v="726.89"/>
    <n v="0.2"/>
    <n v="581.51"/>
    <n v="581.51200000000006"/>
    <n v="423.86"/>
    <n v="0.27110704508247468"/>
    <n v="157.65"/>
    <n v="157.65200000000004"/>
    <x v="0"/>
    <x v="0"/>
    <n v="6"/>
    <s v="Clean"/>
    <m/>
  </r>
  <r>
    <s v="ORD-2024-10894"/>
    <d v="2024-06-06T00:00:00"/>
    <x v="2"/>
    <x v="0"/>
    <d v="2024-08-06T00:00:00"/>
    <s v="CUST-9297"/>
    <s v="Aarav Sharma"/>
    <x v="2"/>
    <x v="2"/>
    <s v="Karnataka"/>
    <s v="Bengaluru"/>
    <x v="1"/>
    <x v="1"/>
    <s v="Max Tables 291"/>
    <x v="0"/>
    <n v="3"/>
    <n v="395.49"/>
    <n v="0.05"/>
    <n v="1127.1500000000001"/>
    <n v="1127.1465000000001"/>
    <n v="845.62"/>
    <n v="0.24976921810962466"/>
    <n v="281.52999999999997"/>
    <n v="281.52650000000006"/>
    <x v="0"/>
    <x v="2"/>
    <n v="61"/>
    <s v="Clean"/>
    <m/>
  </r>
  <r>
    <s v="ORD-2024-10895"/>
    <d v="2024-02-22T00:00:00"/>
    <x v="6"/>
    <x v="0"/>
    <d v="2024-02-29T00:00:00"/>
    <s v="CUST-7996"/>
    <s v="Isha Nair"/>
    <x v="3"/>
    <x v="2"/>
    <s v="Telangana"/>
    <s v="Hyderabad"/>
    <x v="1"/>
    <x v="1"/>
    <s v="Classic Tables 638"/>
    <x v="2"/>
    <n v="6"/>
    <n v="4254.05"/>
    <n v="0"/>
    <n v="25524.3"/>
    <n v="25524.300000000003"/>
    <n v="16711.93"/>
    <n v="0.34525413037771857"/>
    <n v="8812.3700000000008"/>
    <n v="8812.3700000000026"/>
    <x v="0"/>
    <x v="0"/>
    <n v="7"/>
    <s v="Clean"/>
    <m/>
  </r>
  <r>
    <s v="ORD-2024-10896"/>
    <d v="2024-05-11T00:00:00"/>
    <x v="4"/>
    <x v="0"/>
    <d v="2024-11-10T00:00:00"/>
    <s v="CUST-4117"/>
    <s v="Arjun Bose"/>
    <x v="0"/>
    <x v="2"/>
    <s v="Kerala"/>
    <s v="Kochi"/>
    <x v="1"/>
    <x v="4"/>
    <s v="Basic Chairs 212"/>
    <x v="1"/>
    <n v="4"/>
    <n v="711.18"/>
    <n v="0.15"/>
    <n v="2418.0100000000002"/>
    <n v="2418.0119999999997"/>
    <n v="1441.89"/>
    <n v="0.40368782288921634"/>
    <n v="976.12"/>
    <n v="976.12199999999962"/>
    <x v="2"/>
    <x v="2"/>
    <n v="183"/>
    <s v="Clean"/>
    <m/>
  </r>
  <r>
    <s v="ORD-2024-10897"/>
    <d v="2024-12-24T00:00:00"/>
    <x v="7"/>
    <x v="0"/>
    <d v="2024-12-25T00:00:00"/>
    <s v="CUST-4848"/>
    <s v="Ananya Rao"/>
    <x v="1"/>
    <x v="2"/>
    <s v="Tamil Nadu"/>
    <s v="Chennai"/>
    <x v="2"/>
    <x v="6"/>
    <s v="Max Copiers 121"/>
    <x v="0"/>
    <n v="1"/>
    <n v="3693.03"/>
    <n v="0.05"/>
    <n v="3508.38"/>
    <n v="3508.3784999999998"/>
    <n v="2828.06"/>
    <n v="0.19391251542557336"/>
    <n v="680.32"/>
    <n v="680.31849999999986"/>
    <x v="3"/>
    <x v="2"/>
    <n v="1"/>
    <s v="Clean"/>
    <m/>
  </r>
  <r>
    <s v="ORD-2025-10898"/>
    <d v="2025-04-29T00:00:00"/>
    <x v="5"/>
    <x v="1"/>
    <d v="2025-03-05T00:00:00"/>
    <s v="CUST-2897"/>
    <s v="Rohan Mehta"/>
    <x v="2"/>
    <x v="0"/>
    <s v="Haryana"/>
    <s v="Gurugram"/>
    <x v="0"/>
    <x v="0"/>
    <s v="Eco Paper 747"/>
    <x v="2"/>
    <n v="4"/>
    <n v="1786.65"/>
    <n v="0.05"/>
    <n v="6789.27"/>
    <n v="6789.27"/>
    <n v="5626.43"/>
    <n v="0.17127614603631908"/>
    <n v="1162.8399999999999"/>
    <n v="1162.8400000000001"/>
    <x v="0"/>
    <x v="0"/>
    <n v="-55"/>
    <s v="Invalid"/>
    <m/>
  </r>
  <r>
    <s v="ORD-2024-10899"/>
    <d v="2024-02-06T00:00:00"/>
    <x v="6"/>
    <x v="0"/>
    <d v="2024-06-08T00:00:00"/>
    <s v="CUST-6046"/>
    <s v="Vikram Iyer"/>
    <x v="0"/>
    <x v="0"/>
    <s v="Delhi"/>
    <s v="New Delhi"/>
    <x v="1"/>
    <x v="1"/>
    <s v="Classic Tables 535"/>
    <x v="2"/>
    <n v="4"/>
    <n v="1536.7"/>
    <n v="0.2"/>
    <n v="4917.4399999999996"/>
    <n v="4917.4400000000005"/>
    <n v="3846.77"/>
    <n v="0.21772914361944434"/>
    <n v="1070.67"/>
    <n v="1070.6700000000005"/>
    <x v="0"/>
    <x v="0"/>
    <n v="123"/>
    <s v="Clean"/>
    <m/>
  </r>
  <r>
    <s v="ORD-2025-10900"/>
    <d v="2025-05-27T00:00:00"/>
    <x v="4"/>
    <x v="1"/>
    <d v="2025-06-03T00:00:00"/>
    <s v="CUST-3789"/>
    <s v="Karan Malhotra"/>
    <x v="0"/>
    <x v="0"/>
    <s v="Punjab"/>
    <s v="Ludhiana"/>
    <x v="1"/>
    <x v="4"/>
    <s v="Elite Chairs 971"/>
    <x v="2"/>
    <n v="5"/>
    <n v="881.08"/>
    <n v="0.25"/>
    <n v="3304.05"/>
    <n v="3304.05"/>
    <n v="2279.41"/>
    <n v="0.31011637233092726"/>
    <n v="1024.6400000000001"/>
    <n v="1024.6400000000003"/>
    <x v="3"/>
    <x v="1"/>
    <n v="7"/>
    <s v="Clean"/>
    <m/>
  </r>
  <r>
    <s v="ORD-2025-10171"/>
    <d v="2025-07-09T00:00:00"/>
    <x v="0"/>
    <x v="1"/>
    <d v="2025-09-15T00:00:00"/>
    <s v="CUST-3734"/>
    <s v="Rohan Mehta"/>
    <x v="2"/>
    <x v="1"/>
    <s v="Bihar"/>
    <s v="Patna"/>
    <x v="2"/>
    <x v="6"/>
    <s v="Eco Copiers 102"/>
    <x v="3"/>
    <n v="3"/>
    <n v="1711.32"/>
    <n v="0"/>
    <n v="5133.96"/>
    <n v="5133.96"/>
    <n v="3930"/>
    <n v="0.23450903396208775"/>
    <n v="1203.96"/>
    <n v="1203.96"/>
    <x v="0"/>
    <x v="0"/>
    <n v="68"/>
    <s v="Clean"/>
    <s v="conflicting duplicate"/>
  </r>
  <r>
    <s v="ORD-2025-10171"/>
    <d v="2025-07-09T00:00:00"/>
    <x v="0"/>
    <x v="1"/>
    <d v="2025-09-15T00:00:00"/>
    <s v="CUST-3734"/>
    <s v="Rohan Mehta"/>
    <x v="2"/>
    <x v="1"/>
    <s v="Bihar"/>
    <s v="Patna"/>
    <x v="2"/>
    <x v="6"/>
    <s v="Eco Copiers 102"/>
    <x v="3"/>
    <n v="3"/>
    <n v="1711.32"/>
    <n v="0"/>
    <n v="5206.53"/>
    <n v="5133.96"/>
    <n v="3930"/>
    <n v="0.23450903396208775"/>
    <n v="1203.96"/>
    <n v="1203.96"/>
    <x v="0"/>
    <x v="2"/>
    <n v="68"/>
    <s v="Clean"/>
    <s v="conflicting duplicate"/>
  </r>
  <r>
    <s v="ORD-2025-10225"/>
    <d v="2025-10-02T00:00:00"/>
    <x v="10"/>
    <x v="1"/>
    <d v="2025-08-10T00:00:00"/>
    <s v="CUST-9871"/>
    <s v="Isha Nair"/>
    <x v="1"/>
    <x v="0"/>
    <s v="Punjab"/>
    <s v="Ludhiana"/>
    <x v="1"/>
    <x v="3"/>
    <s v="Classic Furnishings 109"/>
    <x v="3"/>
    <n v="4"/>
    <n v="3944.64"/>
    <n v="0.25"/>
    <n v="11833.92"/>
    <n v="11833.92"/>
    <n v="6682.92"/>
    <n v="0.43527419485681834"/>
    <n v="5151"/>
    <n v="5151"/>
    <x v="0"/>
    <x v="1"/>
    <n v="-53"/>
    <s v="Invalid"/>
    <s v="conflicting duplicate"/>
  </r>
  <r>
    <s v="ORD-2025-10225"/>
    <d v="2025-10-02T00:00:00"/>
    <x v="10"/>
    <x v="1"/>
    <d v="2025-08-10T00:00:00"/>
    <s v="CUST-9871"/>
    <s v="Isha Nair"/>
    <x v="1"/>
    <x v="0"/>
    <s v="Punjab"/>
    <s v="Ludhiana"/>
    <x v="1"/>
    <x v="3"/>
    <s v="Classic Furnishings 109"/>
    <x v="3"/>
    <n v="4"/>
    <n v="3944.64"/>
    <n v="0.25"/>
    <n v="12116.89"/>
    <n v="11833.92"/>
    <n v="6682.92"/>
    <n v="0.43527419485681834"/>
    <n v="5151"/>
    <n v="5151"/>
    <x v="0"/>
    <x v="2"/>
    <n v="-53"/>
    <s v="Invalid"/>
    <s v="conflicting duplicate"/>
  </r>
  <r>
    <s v="ORD-2025-10315"/>
    <d v="2025-05-18T00:00:00"/>
    <x v="4"/>
    <x v="1"/>
    <d v="2025-05-20T00:00:00"/>
    <s v="CUST-1945"/>
    <s v="Isha Nair"/>
    <x v="2"/>
    <x v="3"/>
    <s v="Madhya Pradesh"/>
    <s v="Indore"/>
    <x v="0"/>
    <x v="7"/>
    <s v="Elite Labels 544"/>
    <x v="3"/>
    <n v="9"/>
    <n v="847.76"/>
    <n v="0.15"/>
    <n v="6485.36"/>
    <n v="6485.3639999999996"/>
    <n v="5376.17"/>
    <n v="0.17103033846673826"/>
    <n v="1109.19"/>
    <n v="1109.1939999999995"/>
    <x v="3"/>
    <x v="2"/>
    <n v="2"/>
    <s v="Clean"/>
    <s v="conflicting duplicate"/>
  </r>
  <r>
    <s v="ORD-2025-10315"/>
    <d v="2025-05-18T00:00:00"/>
    <x v="4"/>
    <x v="1"/>
    <d v="2025-05-20T00:00:00"/>
    <s v="CUST-1945"/>
    <s v="Isha Nair"/>
    <x v="2"/>
    <x v="3"/>
    <s v="Madhya Pradesh"/>
    <s v="Indore"/>
    <x v="0"/>
    <x v="7"/>
    <s v="Elite Labels 544"/>
    <x v="3"/>
    <n v="9"/>
    <n v="847.76"/>
    <n v="0.15"/>
    <n v="6589.37"/>
    <n v="6485.3639999999996"/>
    <n v="5376.17"/>
    <n v="0.17103033846673826"/>
    <n v="1109.19"/>
    <n v="1109.1939999999995"/>
    <x v="3"/>
    <x v="0"/>
    <n v="2"/>
    <s v="Clean"/>
    <s v="conflicting duplicate"/>
  </r>
  <r>
    <s v="ORD-2025-10336"/>
    <d v="2025-06-16T00:00:00"/>
    <x v="2"/>
    <x v="1"/>
    <d v="2025-06-18T00:00:00"/>
    <s v="CUST-3621"/>
    <s v="Rahul Verma"/>
    <x v="3"/>
    <x v="3"/>
    <s v="Madhya Pradesh"/>
    <s v="Indore"/>
    <x v="0"/>
    <x v="0"/>
    <s v="Prime Paper 559"/>
    <x v="2"/>
    <n v="3"/>
    <n v="4289.37"/>
    <n v="0.1"/>
    <n v="11581.3"/>
    <n v="11581.299000000001"/>
    <n v="6829.43"/>
    <n v="0.41030535521101735"/>
    <n v="4751.87"/>
    <n v="4751.8690000000006"/>
    <x v="0"/>
    <x v="0"/>
    <n v="2"/>
    <s v="Clean"/>
    <s v="conflicting duplicate"/>
  </r>
  <r>
    <s v="ORD-2025-10336"/>
    <d v="2025-06-16T00:00:00"/>
    <x v="2"/>
    <x v="1"/>
    <d v="2025-06-18T00:00:00"/>
    <s v="CUST-3621"/>
    <s v="Rahul Verma"/>
    <x v="3"/>
    <x v="3"/>
    <s v="Madhya Pradesh"/>
    <s v="Indore"/>
    <x v="0"/>
    <x v="0"/>
    <s v="Prime Paper 559"/>
    <x v="2"/>
    <n v="3"/>
    <n v="4289.37"/>
    <n v="0.1"/>
    <n v="11778.71"/>
    <n v="11581.299000000001"/>
    <n v="6829.43"/>
    <n v="0.41030535521101735"/>
    <n v="4751.87"/>
    <n v="4751.8690000000006"/>
    <x v="0"/>
    <x v="2"/>
    <n v="2"/>
    <s v="Clean"/>
    <s v="conflicting duplicate"/>
  </r>
  <r>
    <s v="ORD-2025-10374"/>
    <d v="2025-04-13T00:00:00"/>
    <x v="5"/>
    <x v="1"/>
    <d v="2025-04-13T00:00:00"/>
    <s v="CUST-8566"/>
    <s v="Sneha Kapoor"/>
    <x v="1"/>
    <x v="0"/>
    <s v="Uttar Pradesh"/>
    <s v="Noida"/>
    <x v="0"/>
    <x v="8"/>
    <s v="Prime Storage 951"/>
    <x v="0"/>
    <n v="9"/>
    <n v="1118.68"/>
    <n v="0"/>
    <n v="10068.120000000001"/>
    <n v="10068.120000000001"/>
    <n v="8595.3700000000008"/>
    <n v="0.14627855051389932"/>
    <n v="1472.75"/>
    <n v="1472.75"/>
    <x v="0"/>
    <x v="0"/>
    <n v="0"/>
    <s v="Clean"/>
    <s v="conflicting duplicate"/>
  </r>
  <r>
    <s v="ORD-2025-10374"/>
    <d v="2025-04-13T00:00:00"/>
    <x v="5"/>
    <x v="1"/>
    <d v="2025-04-13T00:00:00"/>
    <s v="CUST-8566"/>
    <s v="Sneha Kapoor"/>
    <x v="1"/>
    <x v="0"/>
    <s v="Uttar Pradesh"/>
    <s v="Noida"/>
    <x v="0"/>
    <x v="8"/>
    <s v="Prime Storage 951"/>
    <x v="0"/>
    <n v="9"/>
    <n v="1118.68"/>
    <n v="0"/>
    <n v="10348.43"/>
    <n v="10068.120000000001"/>
    <n v="8595.3700000000008"/>
    <n v="0.14627855051389932"/>
    <n v="1472.75"/>
    <n v="1472.75"/>
    <x v="0"/>
    <x v="2"/>
    <n v="0"/>
    <s v="Clean"/>
    <s v="conflicting duplicate"/>
  </r>
  <r>
    <s v="ORD-2025-10572"/>
    <d v="2025-10-02T00:00:00"/>
    <x v="10"/>
    <x v="1"/>
    <d v="2025-02-14T00:00:00"/>
    <s v="CUST-3425"/>
    <s v="Priya Menon"/>
    <x v="1"/>
    <x v="0"/>
    <s v="Uttar Pradesh"/>
    <s v="Noida"/>
    <x v="2"/>
    <x v="11"/>
    <s v="Prime Phones 895"/>
    <x v="4"/>
    <n v="5"/>
    <n v="4276.29"/>
    <n v="0"/>
    <n v="21381.45"/>
    <n v="21381.45"/>
    <n v="13240.21"/>
    <n v="0.38076182859441249"/>
    <n v="8141.24"/>
    <n v="8141.2400000000016"/>
    <x v="3"/>
    <x v="2"/>
    <n v="-230"/>
    <s v="Invalid/Warning"/>
    <s v="conflicting duplicate"/>
  </r>
  <r>
    <s v="ORD-2025-10572"/>
    <d v="2025-10-02T00:00:00"/>
    <x v="10"/>
    <x v="1"/>
    <d v="2025-02-14T00:00:00"/>
    <s v="CUST-3425"/>
    <s v="Priya Menon"/>
    <x v="1"/>
    <x v="0"/>
    <s v="Uttar Pradesh"/>
    <s v="Noida"/>
    <x v="2"/>
    <x v="11"/>
    <s v="Prime Phones 895"/>
    <x v="4"/>
    <n v="5"/>
    <n v="4276.29"/>
    <n v="0"/>
    <n v="21443.63"/>
    <n v="21381.45"/>
    <n v="13240.21"/>
    <n v="0.38076182859441249"/>
    <n v="8141.24"/>
    <n v="8141.2400000000016"/>
    <x v="3"/>
    <x v="0"/>
    <n v="-230"/>
    <s v="Invalid/Warning"/>
    <s v="conflicting duplicat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138340-9AC4-41E3-9A93-F628041292C4}" name="PivotTable3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10" firstHeaderRow="0" firstDataRow="1" firstDataCol="1" rowPageCount="2" colPageCount="1"/>
  <pivotFields count="29">
    <pivotField showAll="0"/>
    <pivotField numFmtId="14" showAll="0"/>
    <pivotField showAll="0"/>
    <pivotField showAll="0"/>
    <pivotField numFmtId="14" showAll="0"/>
    <pivotField showAll="0"/>
    <pivotField showAll="0"/>
    <pivotField showAll="0"/>
    <pivotField axis="axisRow" showAll="0" sortType="descending">
      <items count="6"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axis="axisPage" multipleItemSelectionAllowed="1" showAll="0">
      <items count="5">
        <item h="1" x="3"/>
        <item x="0"/>
        <item x="2"/>
        <item x="1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8"/>
  </rowFields>
  <rowItems count="6">
    <i>
      <x v="2"/>
    </i>
    <i>
      <x v="4"/>
    </i>
    <i>
      <x/>
    </i>
    <i>
      <x v="1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2">
    <pageField fld="25" item="1" hier="-1"/>
    <pageField fld="24" hier="-1"/>
  </pageFields>
  <dataFields count="2">
    <dataField name="Sum of calculated_sales" fld="19" baseField="0" baseItem="0"/>
    <dataField name="Sum of calculated_profit" fld="2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134CC9-17A7-4926-9F18-763C24D74E8F}" name="PivotTable4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0" firstDataRow="1" firstDataCol="1"/>
  <pivotFields count="29">
    <pivotField showAll="0"/>
    <pivotField numFmtId="14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Row" showAll="0" sortType="descending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11"/>
    <field x="12"/>
  </rowFields>
  <rowItems count="17">
    <i>
      <x/>
    </i>
    <i r="1">
      <x v="4"/>
    </i>
    <i r="1">
      <x v="6"/>
    </i>
    <i r="1">
      <x v="12"/>
    </i>
    <i r="1">
      <x v="3"/>
    </i>
    <i>
      <x v="1"/>
    </i>
    <i r="1">
      <x v="11"/>
    </i>
    <i r="1">
      <x v="9"/>
    </i>
    <i r="1">
      <x v="1"/>
    </i>
    <i r="1">
      <x v="2"/>
    </i>
    <i r="1">
      <x v="7"/>
    </i>
    <i>
      <x v="2"/>
    </i>
    <i r="1">
      <x v="5"/>
    </i>
    <i r="1">
      <x/>
    </i>
    <i r="1">
      <x v="10"/>
    </i>
    <i r="1"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19" baseField="0" baseItem="0"/>
    <dataField name="Sum of calculated_profit" fld="2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4CAAF4-41C8-478B-818E-BE35558A54D7}" name="PivotTable5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9">
    <pivotField dataField="1" showAll="0"/>
    <pivotField numFmtId="14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98E8AB-D05A-451B-B6B4-39DDE8F2EB1A}" name="PivotTable6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9">
    <pivotField showAll="0"/>
    <pivotField numFmtId="14" showAll="0"/>
    <pivotField showAll="0"/>
    <pivotField showAll="0"/>
    <pivotField numFmtId="14"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fit_margin" fld="21" subtotal="average" baseField="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DA6AB4-92C8-44E0-95FE-C370C057A29E}" name="PivotTable7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0" firstHeaderRow="1" firstDataRow="2" firstDataCol="1"/>
  <pivotFields count="29">
    <pivotField dataField="1" showAll="0"/>
    <pivotField numFmtId="14" showAll="0"/>
    <pivotField showAll="0"/>
    <pivotField showAll="0"/>
    <pivotField numFmtId="14"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5"/>
  </colFields>
  <colItems count="4">
    <i>
      <x/>
    </i>
    <i>
      <x v="1"/>
    </i>
    <i>
      <x v="2"/>
    </i>
    <i t="grand">
      <x/>
    </i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2D4975-A6BD-4A2F-B42E-D3ECCF6A4295}" name="PivotTable8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28" firstHeaderRow="1" firstDataRow="1" firstDataCol="1"/>
  <pivotFields count="29">
    <pivotField showAll="0"/>
    <pivotField numFmtId="14" showAll="0"/>
    <pivotField axis="axisRow" showAll="0">
      <items count="13">
        <item x="8"/>
        <item x="6"/>
        <item x="11"/>
        <item x="5"/>
        <item x="4"/>
        <item x="2"/>
        <item x="0"/>
        <item x="1"/>
        <item x="9"/>
        <item x="10"/>
        <item x="3"/>
        <item x="7"/>
        <item t="default"/>
      </items>
    </pivotField>
    <pivotField axis="axisRow" showAll="0">
      <items count="3">
        <item x="0"/>
        <item x="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3"/>
    <field x="2"/>
  </rowFields>
  <rowItems count="2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 of calculated_sales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1721B-6D27-44ED-A883-903DDA342F4A}">
  <dimension ref="A1:C10"/>
  <sheetViews>
    <sheetView workbookViewId="0">
      <selection activeCell="B7" sqref="B7"/>
    </sheetView>
  </sheetViews>
  <sheetFormatPr defaultRowHeight="14.5"/>
  <cols>
    <col min="1" max="1" width="14.26953125" bestFit="1" customWidth="1"/>
    <col min="2" max="2" width="20.81640625" bestFit="1" customWidth="1"/>
    <col min="3" max="3" width="21.54296875" bestFit="1" customWidth="1"/>
  </cols>
  <sheetData>
    <row r="1" spans="1:3">
      <c r="A1" s="13" t="s">
        <v>25</v>
      </c>
      <c r="B1" t="s">
        <v>41</v>
      </c>
    </row>
    <row r="2" spans="1:3">
      <c r="A2" s="13" t="s">
        <v>24</v>
      </c>
      <c r="B2" t="s">
        <v>2781</v>
      </c>
    </row>
    <row r="4" spans="1:3">
      <c r="A4" s="13" t="s">
        <v>2777</v>
      </c>
      <c r="B4" t="s">
        <v>2779</v>
      </c>
      <c r="C4" t="s">
        <v>2780</v>
      </c>
    </row>
    <row r="5" spans="1:3">
      <c r="A5" s="14" t="s">
        <v>62</v>
      </c>
      <c r="B5" s="15">
        <v>1554249.6489999997</v>
      </c>
      <c r="C5" s="15">
        <v>379397.97800000006</v>
      </c>
    </row>
    <row r="6" spans="1:3">
      <c r="A6" s="14" t="s">
        <v>71</v>
      </c>
      <c r="B6" s="15">
        <v>1507583.9658999993</v>
      </c>
      <c r="C6" s="15">
        <v>422755.03049999999</v>
      </c>
    </row>
    <row r="7" spans="1:3">
      <c r="A7" s="14" t="s">
        <v>46</v>
      </c>
      <c r="B7" s="15">
        <v>1382236.5107999998</v>
      </c>
      <c r="C7" s="15">
        <v>410681.2860000002</v>
      </c>
    </row>
    <row r="8" spans="1:3">
      <c r="A8" s="14" t="s">
        <v>33</v>
      </c>
      <c r="B8" s="15">
        <v>1277426.0190000003</v>
      </c>
      <c r="C8" s="15">
        <v>343881.44699999999</v>
      </c>
    </row>
    <row r="9" spans="1:3">
      <c r="A9" s="14" t="s">
        <v>213</v>
      </c>
      <c r="B9" s="15">
        <v>190747.34669999999</v>
      </c>
      <c r="C9" s="15">
        <v>52007.541500000007</v>
      </c>
    </row>
    <row r="10" spans="1:3">
      <c r="A10" s="14" t="s">
        <v>2778</v>
      </c>
      <c r="B10" s="15">
        <v>5912243.4913999988</v>
      </c>
      <c r="C10" s="15">
        <v>1608723.2830000003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1A035-EE4F-48D3-B76E-44C0A57D0FDC}">
  <dimension ref="A3:C20"/>
  <sheetViews>
    <sheetView topLeftCell="A3" workbookViewId="0">
      <selection activeCell="B7" sqref="B7"/>
    </sheetView>
  </sheetViews>
  <sheetFormatPr defaultRowHeight="14.5"/>
  <cols>
    <col min="1" max="1" width="15" bestFit="1" customWidth="1"/>
    <col min="2" max="2" width="20.81640625" bestFit="1" customWidth="1"/>
    <col min="3" max="3" width="21.54296875" bestFit="1" customWidth="1"/>
  </cols>
  <sheetData>
    <row r="3" spans="1:3">
      <c r="A3" s="13" t="s">
        <v>2777</v>
      </c>
      <c r="B3" t="s">
        <v>2779</v>
      </c>
      <c r="C3" t="s">
        <v>2780</v>
      </c>
    </row>
    <row r="4" spans="1:3">
      <c r="A4" s="14" t="s">
        <v>49</v>
      </c>
      <c r="B4" s="15">
        <v>3117597.6918000001</v>
      </c>
      <c r="C4" s="15">
        <v>885889.51100000017</v>
      </c>
    </row>
    <row r="5" spans="1:3">
      <c r="A5" s="16" t="s">
        <v>74</v>
      </c>
      <c r="B5" s="15">
        <v>978726.42820000008</v>
      </c>
      <c r="C5" s="15">
        <v>274515.163</v>
      </c>
    </row>
    <row r="6" spans="1:3">
      <c r="A6" s="16" t="s">
        <v>65</v>
      </c>
      <c r="B6" s="15">
        <v>784515.89809999999</v>
      </c>
      <c r="C6" s="15">
        <v>214503.7225</v>
      </c>
    </row>
    <row r="7" spans="1:3">
      <c r="A7" s="16" t="s">
        <v>50</v>
      </c>
      <c r="B7" s="15">
        <v>680300.50150000001</v>
      </c>
      <c r="C7" s="15">
        <v>210163.71150000003</v>
      </c>
    </row>
    <row r="8" spans="1:3">
      <c r="A8" s="16" t="s">
        <v>166</v>
      </c>
      <c r="B8" s="15">
        <v>674054.86400000018</v>
      </c>
      <c r="C8" s="15">
        <v>186706.91400000002</v>
      </c>
    </row>
    <row r="9" spans="1:3">
      <c r="A9" s="14" t="s">
        <v>36</v>
      </c>
      <c r="B9" s="15">
        <v>2779775.6385999992</v>
      </c>
      <c r="C9" s="15">
        <v>769158.02599999984</v>
      </c>
    </row>
    <row r="10" spans="1:3">
      <c r="A10" s="16" t="s">
        <v>132</v>
      </c>
      <c r="B10" s="15">
        <v>680323.40179999988</v>
      </c>
      <c r="C10" s="15">
        <v>173564.06200000003</v>
      </c>
    </row>
    <row r="11" spans="1:3">
      <c r="A11" s="16" t="s">
        <v>37</v>
      </c>
      <c r="B11" s="15">
        <v>619469.64279999991</v>
      </c>
      <c r="C11" s="15">
        <v>174977.91549999994</v>
      </c>
    </row>
    <row r="12" spans="1:3">
      <c r="A12" s="16" t="s">
        <v>56</v>
      </c>
      <c r="B12" s="15">
        <v>574781.87799999991</v>
      </c>
      <c r="C12" s="15">
        <v>159295.96799999994</v>
      </c>
    </row>
    <row r="13" spans="1:3">
      <c r="A13" s="16" t="s">
        <v>161</v>
      </c>
      <c r="B13" s="15">
        <v>557129.10409999988</v>
      </c>
      <c r="C13" s="15">
        <v>159477.81299999997</v>
      </c>
    </row>
    <row r="14" spans="1:3">
      <c r="A14" s="16" t="s">
        <v>99</v>
      </c>
      <c r="B14" s="15">
        <v>348071.6118999999</v>
      </c>
      <c r="C14" s="15">
        <v>101842.26749999997</v>
      </c>
    </row>
    <row r="15" spans="1:3">
      <c r="A15" s="14" t="s">
        <v>82</v>
      </c>
      <c r="B15" s="15">
        <v>3111049.5140999998</v>
      </c>
      <c r="C15" s="15">
        <v>865428.92950000009</v>
      </c>
    </row>
    <row r="16" spans="1:3">
      <c r="A16" s="16" t="s">
        <v>88</v>
      </c>
      <c r="B16" s="15">
        <v>894239.89830000012</v>
      </c>
      <c r="C16" s="15">
        <v>256722.09250000003</v>
      </c>
    </row>
    <row r="17" spans="1:3">
      <c r="A17" s="16" t="s">
        <v>83</v>
      </c>
      <c r="B17" s="15">
        <v>814006.58799999976</v>
      </c>
      <c r="C17" s="15">
        <v>240329.00800000003</v>
      </c>
    </row>
    <row r="18" spans="1:3">
      <c r="A18" s="16" t="s">
        <v>179</v>
      </c>
      <c r="B18" s="15">
        <v>772404.55379999999</v>
      </c>
      <c r="C18" s="15">
        <v>191363.57499999998</v>
      </c>
    </row>
    <row r="19" spans="1:3">
      <c r="A19" s="16" t="s">
        <v>283</v>
      </c>
      <c r="B19" s="15">
        <v>630398.47399999993</v>
      </c>
      <c r="C19" s="15">
        <v>177014.25400000004</v>
      </c>
    </row>
    <row r="20" spans="1:3">
      <c r="A20" s="14" t="s">
        <v>2778</v>
      </c>
      <c r="B20" s="15">
        <v>9008422.8444999997</v>
      </c>
      <c r="C20" s="15">
        <v>2520476.4665000006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ED9A0-170A-419E-A2ED-8953823EB339}">
  <dimension ref="A3:B9"/>
  <sheetViews>
    <sheetView workbookViewId="0">
      <selection activeCell="A3" sqref="A3"/>
    </sheetView>
  </sheetViews>
  <sheetFormatPr defaultRowHeight="14.5"/>
  <cols>
    <col min="1" max="1" width="13.08984375" bestFit="1" customWidth="1"/>
    <col min="2" max="2" width="15.81640625" bestFit="1" customWidth="1"/>
  </cols>
  <sheetData>
    <row r="3" spans="1:2">
      <c r="A3" s="13" t="s">
        <v>2777</v>
      </c>
      <c r="B3" t="s">
        <v>2782</v>
      </c>
    </row>
    <row r="4" spans="1:2">
      <c r="A4" s="14" t="s">
        <v>58</v>
      </c>
      <c r="B4" s="15">
        <v>223</v>
      </c>
    </row>
    <row r="5" spans="1:2">
      <c r="A5" s="14" t="s">
        <v>52</v>
      </c>
      <c r="B5" s="15">
        <v>204</v>
      </c>
    </row>
    <row r="6" spans="1:2">
      <c r="A6" s="14" t="s">
        <v>39</v>
      </c>
      <c r="B6" s="15">
        <v>222</v>
      </c>
    </row>
    <row r="7" spans="1:2">
      <c r="A7" s="14" t="s">
        <v>67</v>
      </c>
      <c r="B7" s="15">
        <v>242</v>
      </c>
    </row>
    <row r="8" spans="1:2">
      <c r="A8" s="14" t="s">
        <v>213</v>
      </c>
      <c r="B8" s="15">
        <v>21</v>
      </c>
    </row>
    <row r="9" spans="1:2">
      <c r="A9" s="14" t="s">
        <v>2778</v>
      </c>
      <c r="B9" s="15">
        <v>912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3B55B-6F69-4291-A44A-4A4CCC8EA593}">
  <dimension ref="A3:B8"/>
  <sheetViews>
    <sheetView workbookViewId="0">
      <selection activeCell="G17" sqref="G17"/>
    </sheetView>
  </sheetViews>
  <sheetFormatPr defaultRowHeight="14.5"/>
  <cols>
    <col min="1" max="1" width="13" bestFit="1" customWidth="1"/>
    <col min="2" max="2" width="22" bestFit="1" customWidth="1"/>
  </cols>
  <sheetData>
    <row r="3" spans="1:2">
      <c r="A3" s="13" t="s">
        <v>2777</v>
      </c>
      <c r="B3" t="s">
        <v>2783</v>
      </c>
    </row>
    <row r="4" spans="1:2">
      <c r="A4" s="14" t="s">
        <v>32</v>
      </c>
      <c r="B4" s="17">
        <v>0.2448218873981072</v>
      </c>
    </row>
    <row r="5" spans="1:2">
      <c r="A5" s="14" t="s">
        <v>98</v>
      </c>
      <c r="B5" s="17">
        <v>0.26177409039233812</v>
      </c>
    </row>
    <row r="6" spans="1:2">
      <c r="A6" s="14" t="s">
        <v>103</v>
      </c>
      <c r="B6" s="17">
        <v>0.28323914580511944</v>
      </c>
    </row>
    <row r="7" spans="1:2">
      <c r="A7" s="14" t="s">
        <v>45</v>
      </c>
      <c r="B7" s="17">
        <v>0.29484553365434091</v>
      </c>
    </row>
    <row r="8" spans="1:2">
      <c r="A8" s="14" t="s">
        <v>2778</v>
      </c>
      <c r="B8" s="17">
        <v>0.27180332055485074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54DC8-3052-4F72-B346-7CB18790436D}">
  <dimension ref="A3:E10"/>
  <sheetViews>
    <sheetView workbookViewId="0">
      <selection activeCell="B5" sqref="B5"/>
    </sheetView>
  </sheetViews>
  <sheetFormatPr defaultRowHeight="14.5"/>
  <cols>
    <col min="1" max="1" width="15.81640625" bestFit="1" customWidth="1"/>
    <col min="2" max="2" width="15.26953125" bestFit="1" customWidth="1"/>
    <col min="3" max="3" width="10" bestFit="1" customWidth="1"/>
    <col min="4" max="4" width="8.6328125" bestFit="1" customWidth="1"/>
    <col min="5" max="5" width="10.7265625" bestFit="1" customWidth="1"/>
  </cols>
  <sheetData>
    <row r="3" spans="1:5">
      <c r="A3" s="13" t="s">
        <v>2782</v>
      </c>
      <c r="B3" s="13" t="s">
        <v>2784</v>
      </c>
    </row>
    <row r="4" spans="1:5">
      <c r="A4" s="13" t="s">
        <v>2777</v>
      </c>
      <c r="B4" t="s">
        <v>76</v>
      </c>
      <c r="C4" t="s">
        <v>41</v>
      </c>
      <c r="D4" t="s">
        <v>111</v>
      </c>
      <c r="E4" t="s">
        <v>2778</v>
      </c>
    </row>
    <row r="5" spans="1:5">
      <c r="A5" s="14" t="s">
        <v>46</v>
      </c>
      <c r="B5" s="15">
        <v>30</v>
      </c>
      <c r="C5" s="15">
        <v>149</v>
      </c>
      <c r="D5" s="15">
        <v>45</v>
      </c>
      <c r="E5" s="15">
        <v>224</v>
      </c>
    </row>
    <row r="6" spans="1:5">
      <c r="A6" s="14" t="s">
        <v>33</v>
      </c>
      <c r="B6" s="15">
        <v>48</v>
      </c>
      <c r="C6" s="15">
        <v>129</v>
      </c>
      <c r="D6" s="15">
        <v>37</v>
      </c>
      <c r="E6" s="15">
        <v>214</v>
      </c>
    </row>
    <row r="7" spans="1:5">
      <c r="A7" s="14" t="s">
        <v>62</v>
      </c>
      <c r="B7" s="15">
        <v>35</v>
      </c>
      <c r="C7" s="15">
        <v>153</v>
      </c>
      <c r="D7" s="15">
        <v>37</v>
      </c>
      <c r="E7" s="15">
        <v>225</v>
      </c>
    </row>
    <row r="8" spans="1:5">
      <c r="A8" s="14" t="s">
        <v>213</v>
      </c>
      <c r="B8" s="15">
        <v>2</v>
      </c>
      <c r="C8" s="15">
        <v>19</v>
      </c>
      <c r="D8" s="15">
        <v>4</v>
      </c>
      <c r="E8" s="15">
        <v>25</v>
      </c>
    </row>
    <row r="9" spans="1:5">
      <c r="A9" s="14" t="s">
        <v>71</v>
      </c>
      <c r="B9" s="15">
        <v>30</v>
      </c>
      <c r="C9" s="15">
        <v>154</v>
      </c>
      <c r="D9" s="15">
        <v>40</v>
      </c>
      <c r="E9" s="15">
        <v>224</v>
      </c>
    </row>
    <row r="10" spans="1:5">
      <c r="A10" s="14" t="s">
        <v>2778</v>
      </c>
      <c r="B10" s="15">
        <v>145</v>
      </c>
      <c r="C10" s="15">
        <v>604</v>
      </c>
      <c r="D10" s="15">
        <v>163</v>
      </c>
      <c r="E10" s="15">
        <v>912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4A946-46E6-440A-994A-95C39578B308}">
  <dimension ref="A1:B28"/>
  <sheetViews>
    <sheetView workbookViewId="0">
      <selection sqref="A1:XFD2"/>
    </sheetView>
  </sheetViews>
  <sheetFormatPr defaultRowHeight="14.5"/>
  <cols>
    <col min="1" max="1" width="13.7265625" bestFit="1" customWidth="1"/>
    <col min="2" max="2" width="20.81640625" bestFit="1" customWidth="1"/>
  </cols>
  <sheetData>
    <row r="1" spans="1:2">
      <c r="A1" s="13" t="s">
        <v>2777</v>
      </c>
      <c r="B1" t="s">
        <v>2779</v>
      </c>
    </row>
    <row r="2" spans="1:2">
      <c r="A2" s="14">
        <v>2024</v>
      </c>
      <c r="B2" s="15">
        <v>4795278.0136999991</v>
      </c>
    </row>
    <row r="3" spans="1:2">
      <c r="A3" s="16" t="s">
        <v>2785</v>
      </c>
      <c r="B3" s="15">
        <v>486626.9182999999</v>
      </c>
    </row>
    <row r="4" spans="1:2">
      <c r="A4" s="16" t="s">
        <v>2786</v>
      </c>
      <c r="B4" s="15">
        <v>460511.03699999995</v>
      </c>
    </row>
    <row r="5" spans="1:2">
      <c r="A5" s="16" t="s">
        <v>2787</v>
      </c>
      <c r="B5" s="15">
        <v>323310.15600000002</v>
      </c>
    </row>
    <row r="6" spans="1:2">
      <c r="A6" s="16" t="s">
        <v>2788</v>
      </c>
      <c r="B6" s="15">
        <v>359903.63599999994</v>
      </c>
    </row>
    <row r="7" spans="1:2">
      <c r="A7" s="16" t="s">
        <v>2789</v>
      </c>
      <c r="B7" s="15">
        <v>455243.15930000006</v>
      </c>
    </row>
    <row r="8" spans="1:2">
      <c r="A8" s="16" t="s">
        <v>2790</v>
      </c>
      <c r="B8" s="15">
        <v>419092.02049999993</v>
      </c>
    </row>
    <row r="9" spans="1:2">
      <c r="A9" s="16" t="s">
        <v>2791</v>
      </c>
      <c r="B9" s="15">
        <v>453797.16180000006</v>
      </c>
    </row>
    <row r="10" spans="1:2">
      <c r="A10" s="16" t="s">
        <v>2792</v>
      </c>
      <c r="B10" s="15">
        <v>284526.33499999996</v>
      </c>
    </row>
    <row r="11" spans="1:2">
      <c r="A11" s="16" t="s">
        <v>2793</v>
      </c>
      <c r="B11" s="15">
        <v>412244.97929999995</v>
      </c>
    </row>
    <row r="12" spans="1:2">
      <c r="A12" s="16" t="s">
        <v>2794</v>
      </c>
      <c r="B12" s="15">
        <v>450073.0845</v>
      </c>
    </row>
    <row r="13" spans="1:2">
      <c r="A13" s="16" t="s">
        <v>2795</v>
      </c>
      <c r="B13" s="15">
        <v>386528.09370000008</v>
      </c>
    </row>
    <row r="14" spans="1:2">
      <c r="A14" s="16" t="s">
        <v>2796</v>
      </c>
      <c r="B14" s="15">
        <v>303421.43229999993</v>
      </c>
    </row>
    <row r="15" spans="1:2">
      <c r="A15" s="14">
        <v>2025</v>
      </c>
      <c r="B15" s="15">
        <v>4213144.8307999996</v>
      </c>
    </row>
    <row r="16" spans="1:2">
      <c r="A16" s="16" t="s">
        <v>2785</v>
      </c>
      <c r="B16" s="15">
        <v>446371.56629999995</v>
      </c>
    </row>
    <row r="17" spans="1:2">
      <c r="A17" s="16" t="s">
        <v>2786</v>
      </c>
      <c r="B17" s="15">
        <v>408520.48949999997</v>
      </c>
    </row>
    <row r="18" spans="1:2">
      <c r="A18" s="16" t="s">
        <v>2787</v>
      </c>
      <c r="B18" s="15">
        <v>345789.12799999991</v>
      </c>
    </row>
    <row r="19" spans="1:2">
      <c r="A19" s="16" t="s">
        <v>2788</v>
      </c>
      <c r="B19" s="15">
        <v>387688.34629999998</v>
      </c>
    </row>
    <row r="20" spans="1:2">
      <c r="A20" s="16" t="s">
        <v>2789</v>
      </c>
      <c r="B20" s="15">
        <v>325799.35950000002</v>
      </c>
    </row>
    <row r="21" spans="1:2">
      <c r="A21" s="16" t="s">
        <v>2790</v>
      </c>
      <c r="B21" s="15">
        <v>415633.85349999997</v>
      </c>
    </row>
    <row r="22" spans="1:2">
      <c r="A22" s="16" t="s">
        <v>2791</v>
      </c>
      <c r="B22" s="15">
        <v>395890.1912</v>
      </c>
    </row>
    <row r="23" spans="1:2">
      <c r="A23" s="16" t="s">
        <v>2792</v>
      </c>
      <c r="B23" s="15">
        <v>485940.43399999989</v>
      </c>
    </row>
    <row r="24" spans="1:2">
      <c r="A24" s="16" t="s">
        <v>2793</v>
      </c>
      <c r="B24" s="15">
        <v>466552.69399999996</v>
      </c>
    </row>
    <row r="25" spans="1:2">
      <c r="A25" s="16" t="s">
        <v>2794</v>
      </c>
      <c r="B25" s="15">
        <v>254633.40600000002</v>
      </c>
    </row>
    <row r="26" spans="1:2">
      <c r="A26" s="16" t="s">
        <v>2795</v>
      </c>
      <c r="B26" s="15">
        <v>91934.870999999999</v>
      </c>
    </row>
    <row r="27" spans="1:2">
      <c r="A27" s="16" t="s">
        <v>2796</v>
      </c>
      <c r="B27" s="15">
        <v>188390.49149999997</v>
      </c>
    </row>
    <row r="28" spans="1:2">
      <c r="A28" s="14" t="s">
        <v>2778</v>
      </c>
      <c r="B28" s="15">
        <v>9008422.8444999978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13"/>
  <sheetViews>
    <sheetView zoomScale="80" zoomScaleNormal="80" workbookViewId="0">
      <selection activeCell="H14" sqref="H14"/>
    </sheetView>
  </sheetViews>
  <sheetFormatPr defaultRowHeight="14.5"/>
  <cols>
    <col min="1" max="1" width="15.453125" bestFit="1" customWidth="1"/>
    <col min="2" max="2" width="10.54296875" bestFit="1" customWidth="1"/>
    <col min="3" max="3" width="10" bestFit="1" customWidth="1"/>
    <col min="5" max="5" width="10.54296875" bestFit="1" customWidth="1"/>
    <col min="6" max="6" width="10.1796875" bestFit="1" customWidth="1"/>
    <col min="7" max="7" width="14.08984375" bestFit="1" customWidth="1"/>
    <col min="8" max="8" width="13" bestFit="1" customWidth="1"/>
    <col min="9" max="9" width="9" bestFit="1" customWidth="1"/>
    <col min="10" max="10" width="14.90625" bestFit="1" customWidth="1"/>
    <col min="11" max="11" width="12.26953125" bestFit="1" customWidth="1"/>
    <col min="12" max="12" width="13.36328125" bestFit="1" customWidth="1"/>
    <col min="13" max="13" width="10.6328125" bestFit="1" customWidth="1"/>
    <col min="14" max="14" width="20.453125" bestFit="1" customWidth="1"/>
    <col min="15" max="15" width="13.08984375" bestFit="1" customWidth="1"/>
    <col min="16" max="16" width="8.1796875" bestFit="1" customWidth="1"/>
    <col min="17" max="17" width="8.54296875" bestFit="1" customWidth="1"/>
    <col min="18" max="18" width="8.1796875" bestFit="1" customWidth="1"/>
    <col min="19" max="19" width="9.1796875" bestFit="1" customWidth="1"/>
    <col min="20" max="20" width="11.26953125" bestFit="1" customWidth="1"/>
    <col min="21" max="21" width="9.1796875" bestFit="1" customWidth="1"/>
    <col min="22" max="22" width="8.81640625" bestFit="1" customWidth="1"/>
    <col min="23" max="23" width="9.1796875" bestFit="1" customWidth="1"/>
    <col min="24" max="24" width="11.90625" bestFit="1" customWidth="1"/>
    <col min="25" max="25" width="9" bestFit="1" customWidth="1"/>
    <col min="26" max="26" width="11.453125" bestFit="1" customWidth="1"/>
    <col min="28" max="28" width="14.36328125" bestFit="1" customWidth="1"/>
    <col min="29" max="29" width="17.90625" bestFit="1" customWidth="1"/>
  </cols>
  <sheetData>
    <row r="1" spans="1:29" s="12" customFormat="1">
      <c r="A1" s="5" t="s">
        <v>0</v>
      </c>
      <c r="B1" s="6" t="s">
        <v>1</v>
      </c>
      <c r="C1" s="7" t="s">
        <v>2</v>
      </c>
      <c r="D1" s="8" t="s">
        <v>3</v>
      </c>
      <c r="E1" s="9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8" t="s">
        <v>19</v>
      </c>
      <c r="U1" s="5" t="s">
        <v>20</v>
      </c>
      <c r="V1" s="10" t="s">
        <v>21</v>
      </c>
      <c r="W1" s="5" t="s">
        <v>22</v>
      </c>
      <c r="X1" s="8" t="s">
        <v>23</v>
      </c>
      <c r="Y1" s="5" t="s">
        <v>24</v>
      </c>
      <c r="Z1" s="5" t="s">
        <v>25</v>
      </c>
      <c r="AA1" s="11" t="s">
        <v>26</v>
      </c>
      <c r="AB1" s="11" t="s">
        <v>27</v>
      </c>
      <c r="AC1" s="11" t="s">
        <v>28</v>
      </c>
    </row>
    <row r="2" spans="1:29">
      <c r="A2" s="1" t="s">
        <v>29</v>
      </c>
      <c r="B2" s="2">
        <v>45494</v>
      </c>
      <c r="C2" s="2" t="str">
        <f>TEXT(B2,"mmmm")</f>
        <v>July</v>
      </c>
      <c r="D2" s="1">
        <f>YEAR(B2)</f>
        <v>2024</v>
      </c>
      <c r="E2" s="2">
        <v>45500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38</v>
      </c>
      <c r="O2" s="1" t="s">
        <v>39</v>
      </c>
      <c r="P2" s="1">
        <v>8</v>
      </c>
      <c r="Q2" s="1">
        <v>2976.45</v>
      </c>
      <c r="R2" s="1">
        <v>0.2</v>
      </c>
      <c r="S2" s="1">
        <v>19049.28</v>
      </c>
      <c r="T2" s="1">
        <f>P2*Q2*(1-R2)</f>
        <v>19049.28</v>
      </c>
      <c r="U2" s="1">
        <v>15841.89</v>
      </c>
      <c r="V2" s="3">
        <f>IF(T2=0,"",X2/T2)</f>
        <v>0.16837329284886357</v>
      </c>
      <c r="W2" s="1">
        <v>3207.39</v>
      </c>
      <c r="X2" s="1">
        <f>T2-U2</f>
        <v>3207.3899999999994</v>
      </c>
      <c r="Y2" s="1" t="s">
        <v>40</v>
      </c>
      <c r="Z2" s="1" t="s">
        <v>41</v>
      </c>
      <c r="AA2" s="1">
        <f t="shared" ref="AA2:AA65" si="0">E2-B2</f>
        <v>6</v>
      </c>
      <c r="AB2" s="2" t="str">
        <f>IF(OR(AA2&lt;0,R2&lt;0),"Invalid",IF(OR(I2="Unknown",O2="Unknown"),"Warning","Clean"))</f>
        <v>Clean</v>
      </c>
      <c r="AC2" s="2"/>
    </row>
    <row r="3" spans="1:29">
      <c r="A3" s="1" t="s">
        <v>42</v>
      </c>
      <c r="B3" s="2">
        <v>45535</v>
      </c>
      <c r="C3" s="2" t="str">
        <f t="shared" ref="C3:C66" si="1">TEXT(B3,"mmmm")</f>
        <v>August</v>
      </c>
      <c r="D3" s="1">
        <f t="shared" ref="D3:D66" si="2">YEAR(B3)</f>
        <v>2024</v>
      </c>
      <c r="E3" s="2">
        <v>45421</v>
      </c>
      <c r="F3" s="1" t="s">
        <v>43</v>
      </c>
      <c r="G3" s="1" t="s">
        <v>44</v>
      </c>
      <c r="H3" s="1" t="s">
        <v>45</v>
      </c>
      <c r="I3" s="1" t="s">
        <v>46</v>
      </c>
      <c r="J3" s="1" t="s">
        <v>47</v>
      </c>
      <c r="K3" s="1" t="s">
        <v>48</v>
      </c>
      <c r="L3" s="1" t="s">
        <v>49</v>
      </c>
      <c r="M3" s="1" t="s">
        <v>50</v>
      </c>
      <c r="N3" s="1" t="s">
        <v>51</v>
      </c>
      <c r="O3" s="1" t="s">
        <v>52</v>
      </c>
      <c r="P3" s="1">
        <v>3</v>
      </c>
      <c r="Q3" s="1">
        <v>2437.5</v>
      </c>
      <c r="R3" s="1">
        <v>0</v>
      </c>
      <c r="S3" s="1">
        <v>7312.5</v>
      </c>
      <c r="T3" s="1">
        <f t="shared" ref="T3:T66" si="3">P3*Q3*(1-R3)</f>
        <v>7312.5</v>
      </c>
      <c r="U3" s="1">
        <v>4904.7299999999996</v>
      </c>
      <c r="V3" s="3">
        <f>IF(T3=0,"",X3/T3)</f>
        <v>0.32926769230769237</v>
      </c>
      <c r="W3" s="1">
        <v>2407.77</v>
      </c>
      <c r="X3" s="1">
        <f>T3-U3</f>
        <v>2407.7700000000004</v>
      </c>
      <c r="Y3" s="1" t="s">
        <v>40</v>
      </c>
      <c r="Z3" s="1" t="s">
        <v>41</v>
      </c>
      <c r="AA3" s="4">
        <f t="shared" si="0"/>
        <v>-114</v>
      </c>
      <c r="AB3" s="2" t="str">
        <f t="shared" ref="AB3:AB66" si="4">IF(OR(AA3&lt;0,R3&lt;0),"Invalid",IF(OR(I3="Unknown",O3="Unknown"),"Warning","Clean"))</f>
        <v>Invalid</v>
      </c>
      <c r="AC3" s="2"/>
    </row>
    <row r="4" spans="1:29">
      <c r="A4" s="1" t="s">
        <v>53</v>
      </c>
      <c r="B4" s="2">
        <v>45451</v>
      </c>
      <c r="C4" s="2" t="str">
        <f t="shared" si="1"/>
        <v>June</v>
      </c>
      <c r="D4" s="1">
        <f t="shared" si="2"/>
        <v>2024</v>
      </c>
      <c r="E4" s="2">
        <v>45458</v>
      </c>
      <c r="F4" s="1" t="s">
        <v>54</v>
      </c>
      <c r="G4" s="1" t="s">
        <v>55</v>
      </c>
      <c r="H4" s="1" t="s">
        <v>32</v>
      </c>
      <c r="I4" s="1" t="s">
        <v>46</v>
      </c>
      <c r="J4" s="1" t="s">
        <v>47</v>
      </c>
      <c r="K4" s="1" t="s">
        <v>48</v>
      </c>
      <c r="L4" s="1" t="s">
        <v>36</v>
      </c>
      <c r="M4" s="1" t="s">
        <v>56</v>
      </c>
      <c r="N4" s="1" t="s">
        <v>57</v>
      </c>
      <c r="O4" s="1" t="s">
        <v>58</v>
      </c>
      <c r="P4" s="1">
        <v>4</v>
      </c>
      <c r="Q4" s="1">
        <v>1065.43</v>
      </c>
      <c r="R4" s="1">
        <v>0.55000000000000004</v>
      </c>
      <c r="S4" s="1">
        <v>4261.72</v>
      </c>
      <c r="T4" s="1">
        <f t="shared" si="3"/>
        <v>1917.7739999999999</v>
      </c>
      <c r="U4" s="1">
        <v>2465.69</v>
      </c>
      <c r="V4" s="3">
        <f>IF(T4=0,"",X4/T4)</f>
        <v>-0.28570415492127865</v>
      </c>
      <c r="W4" s="1">
        <v>1796.03</v>
      </c>
      <c r="X4" s="1">
        <f>T4-U4</f>
        <v>-547.91600000000017</v>
      </c>
      <c r="Y4" s="1" t="s">
        <v>40</v>
      </c>
      <c r="Z4" s="1" t="s">
        <v>41</v>
      </c>
      <c r="AA4" s="1">
        <f t="shared" si="0"/>
        <v>7</v>
      </c>
      <c r="AB4" s="2" t="str">
        <f t="shared" si="4"/>
        <v>Clean</v>
      </c>
      <c r="AC4" s="2"/>
    </row>
    <row r="5" spans="1:29">
      <c r="A5" s="1" t="s">
        <v>59</v>
      </c>
      <c r="B5" s="2">
        <v>45624</v>
      </c>
      <c r="C5" s="2" t="str">
        <f t="shared" si="1"/>
        <v>November</v>
      </c>
      <c r="D5" s="1">
        <f t="shared" si="2"/>
        <v>2024</v>
      </c>
      <c r="E5" s="2">
        <v>45625</v>
      </c>
      <c r="F5" s="1" t="s">
        <v>60</v>
      </c>
      <c r="G5" s="1" t="s">
        <v>61</v>
      </c>
      <c r="H5" s="1" t="s">
        <v>45</v>
      </c>
      <c r="I5" s="1" t="s">
        <v>62</v>
      </c>
      <c r="J5" s="1" t="s">
        <v>63</v>
      </c>
      <c r="K5" s="1" t="s">
        <v>64</v>
      </c>
      <c r="L5" s="1" t="s">
        <v>49</v>
      </c>
      <c r="M5" s="1" t="s">
        <v>65</v>
      </c>
      <c r="N5" s="1" t="s">
        <v>66</v>
      </c>
      <c r="O5" s="1" t="s">
        <v>67</v>
      </c>
      <c r="P5" s="1">
        <v>6</v>
      </c>
      <c r="Q5" s="1">
        <v>1848.43</v>
      </c>
      <c r="R5" s="1">
        <v>0.25</v>
      </c>
      <c r="S5" s="1">
        <v>8317.93</v>
      </c>
      <c r="T5" s="1">
        <f t="shared" si="3"/>
        <v>8317.9349999999995</v>
      </c>
      <c r="U5" s="1">
        <v>6796.77</v>
      </c>
      <c r="V5" s="3">
        <f>IF(T5=0,"",X5/T5)</f>
        <v>0.18287772145370204</v>
      </c>
      <c r="W5" s="1">
        <v>1521.16</v>
      </c>
      <c r="X5" s="1">
        <f>T5-U5</f>
        <v>1521.1649999999991</v>
      </c>
      <c r="Y5" s="1" t="s">
        <v>40</v>
      </c>
      <c r="Z5" s="1" t="s">
        <v>41</v>
      </c>
      <c r="AA5" s="1">
        <f t="shared" si="0"/>
        <v>1</v>
      </c>
      <c r="AB5" s="2" t="str">
        <f t="shared" si="4"/>
        <v>Clean</v>
      </c>
      <c r="AC5" s="2"/>
    </row>
    <row r="6" spans="1:29">
      <c r="A6" s="1" t="s">
        <v>68</v>
      </c>
      <c r="B6" s="2">
        <v>45898</v>
      </c>
      <c r="C6" s="2" t="str">
        <f t="shared" si="1"/>
        <v>August</v>
      </c>
      <c r="D6" s="1">
        <f t="shared" si="2"/>
        <v>2025</v>
      </c>
      <c r="E6" s="2">
        <v>45666</v>
      </c>
      <c r="F6" s="1" t="s">
        <v>69</v>
      </c>
      <c r="G6" s="1" t="s">
        <v>70</v>
      </c>
      <c r="H6" s="1" t="s">
        <v>45</v>
      </c>
      <c r="I6" s="1" t="s">
        <v>71</v>
      </c>
      <c r="J6" s="1" t="s">
        <v>72</v>
      </c>
      <c r="K6" s="1" t="s">
        <v>73</v>
      </c>
      <c r="L6" s="1" t="s">
        <v>49</v>
      </c>
      <c r="M6" s="1" t="s">
        <v>74</v>
      </c>
      <c r="N6" s="1" t="s">
        <v>75</v>
      </c>
      <c r="O6" s="1" t="s">
        <v>58</v>
      </c>
      <c r="P6" s="1">
        <v>7</v>
      </c>
      <c r="Q6" s="1">
        <v>2973.76</v>
      </c>
      <c r="R6" s="1">
        <v>0</v>
      </c>
      <c r="S6" s="1">
        <v>20816.32</v>
      </c>
      <c r="T6" s="1">
        <f t="shared" si="3"/>
        <v>20816.32</v>
      </c>
      <c r="U6" s="1">
        <v>17705.37</v>
      </c>
      <c r="V6" s="3">
        <f>IF(T6=0,"",X6/T6)</f>
        <v>0.14944764492475138</v>
      </c>
      <c r="W6" s="1">
        <v>3110.95</v>
      </c>
      <c r="X6" s="1">
        <f>T6-U6</f>
        <v>3110.9500000000007</v>
      </c>
      <c r="Y6" s="1" t="s">
        <v>40</v>
      </c>
      <c r="Z6" s="1" t="s">
        <v>76</v>
      </c>
      <c r="AA6" s="4">
        <f t="shared" si="0"/>
        <v>-232</v>
      </c>
      <c r="AB6" s="2" t="str">
        <f t="shared" si="4"/>
        <v>Invalid</v>
      </c>
      <c r="AC6" s="2"/>
    </row>
    <row r="7" spans="1:29">
      <c r="A7" s="1" t="s">
        <v>77</v>
      </c>
      <c r="B7" s="2">
        <v>45436</v>
      </c>
      <c r="C7" s="2" t="str">
        <f t="shared" si="1"/>
        <v>May</v>
      </c>
      <c r="D7" s="1">
        <f t="shared" si="2"/>
        <v>2024</v>
      </c>
      <c r="E7" s="2">
        <v>45440</v>
      </c>
      <c r="F7" s="1" t="s">
        <v>78</v>
      </c>
      <c r="G7" s="1" t="s">
        <v>79</v>
      </c>
      <c r="H7" s="1" t="s">
        <v>45</v>
      </c>
      <c r="I7" s="1" t="s">
        <v>71</v>
      </c>
      <c r="J7" s="1" t="s">
        <v>80</v>
      </c>
      <c r="K7" s="1" t="s">
        <v>81</v>
      </c>
      <c r="L7" s="1" t="s">
        <v>82</v>
      </c>
      <c r="M7" s="1" t="s">
        <v>83</v>
      </c>
      <c r="N7" s="1" t="s">
        <v>84</v>
      </c>
      <c r="O7" s="1" t="s">
        <v>52</v>
      </c>
      <c r="P7" s="1">
        <v>3</v>
      </c>
      <c r="Q7" s="1">
        <v>1053.1099999999999</v>
      </c>
      <c r="R7" s="1">
        <v>0.2</v>
      </c>
      <c r="S7" s="1">
        <v>2527.46</v>
      </c>
      <c r="T7" s="1">
        <f t="shared" si="3"/>
        <v>2527.4639999999999</v>
      </c>
      <c r="U7" s="1">
        <v>1533.58</v>
      </c>
      <c r="V7" s="3">
        <f>IF(T7=0,"",X7/T7)</f>
        <v>0.39323369195367375</v>
      </c>
      <c r="W7" s="1">
        <v>993.88</v>
      </c>
      <c r="X7" s="1">
        <f>T7-U7</f>
        <v>993.88400000000001</v>
      </c>
      <c r="Y7" s="1" t="s">
        <v>40</v>
      </c>
      <c r="Z7" s="1" t="s">
        <v>41</v>
      </c>
      <c r="AA7" s="1">
        <f t="shared" si="0"/>
        <v>4</v>
      </c>
      <c r="AB7" s="2" t="str">
        <f t="shared" si="4"/>
        <v>Clean</v>
      </c>
      <c r="AC7" s="2"/>
    </row>
    <row r="8" spans="1:29">
      <c r="A8" s="1" t="s">
        <v>85</v>
      </c>
      <c r="B8" s="2">
        <v>45757</v>
      </c>
      <c r="C8" s="2" t="str">
        <f t="shared" si="1"/>
        <v>April</v>
      </c>
      <c r="D8" s="1">
        <f t="shared" si="2"/>
        <v>2025</v>
      </c>
      <c r="E8" s="2">
        <v>45763</v>
      </c>
      <c r="F8" s="1" t="s">
        <v>86</v>
      </c>
      <c r="G8" s="1" t="s">
        <v>87</v>
      </c>
      <c r="H8" s="1" t="s">
        <v>32</v>
      </c>
      <c r="I8" s="1" t="s">
        <v>46</v>
      </c>
      <c r="J8" s="1" t="s">
        <v>47</v>
      </c>
      <c r="K8" s="1" t="s">
        <v>48</v>
      </c>
      <c r="L8" s="1" t="s">
        <v>82</v>
      </c>
      <c r="M8" s="1" t="s">
        <v>88</v>
      </c>
      <c r="N8" s="1" t="s">
        <v>89</v>
      </c>
      <c r="O8" s="1" t="s">
        <v>67</v>
      </c>
      <c r="P8" s="1">
        <v>4</v>
      </c>
      <c r="Q8" s="1">
        <v>1719.87</v>
      </c>
      <c r="R8" s="1">
        <v>0.15</v>
      </c>
      <c r="S8" s="1">
        <v>5847.56</v>
      </c>
      <c r="T8" s="1">
        <f t="shared" si="3"/>
        <v>5847.5579999999991</v>
      </c>
      <c r="U8" s="1">
        <v>4727.25</v>
      </c>
      <c r="V8" s="3">
        <f>IF(T8=0,"",X8/T8)</f>
        <v>0.19158561573908275</v>
      </c>
      <c r="W8" s="1">
        <v>1120.31</v>
      </c>
      <c r="X8" s="1">
        <f>T8-U8</f>
        <v>1120.3079999999991</v>
      </c>
      <c r="Y8" s="1" t="s">
        <v>40</v>
      </c>
      <c r="Z8" s="1" t="s">
        <v>41</v>
      </c>
      <c r="AA8" s="1">
        <f t="shared" si="0"/>
        <v>6</v>
      </c>
      <c r="AB8" s="2" t="str">
        <f t="shared" si="4"/>
        <v>Clean</v>
      </c>
      <c r="AC8" s="2"/>
    </row>
    <row r="9" spans="1:29">
      <c r="A9" s="1" t="s">
        <v>90</v>
      </c>
      <c r="B9" s="2">
        <v>45711</v>
      </c>
      <c r="C9" s="2" t="str">
        <f t="shared" si="1"/>
        <v>February</v>
      </c>
      <c r="D9" s="1">
        <f t="shared" si="2"/>
        <v>2025</v>
      </c>
      <c r="E9" s="2">
        <v>45714</v>
      </c>
      <c r="F9" s="1" t="s">
        <v>91</v>
      </c>
      <c r="G9" s="1" t="s">
        <v>55</v>
      </c>
      <c r="H9" s="1" t="s">
        <v>45</v>
      </c>
      <c r="I9" s="1" t="s">
        <v>62</v>
      </c>
      <c r="J9" s="1" t="s">
        <v>92</v>
      </c>
      <c r="K9" s="1" t="s">
        <v>93</v>
      </c>
      <c r="L9" s="1" t="s">
        <v>36</v>
      </c>
      <c r="M9" s="1" t="s">
        <v>56</v>
      </c>
      <c r="N9" s="1" t="s">
        <v>94</v>
      </c>
      <c r="O9" s="1" t="s">
        <v>58</v>
      </c>
      <c r="P9" s="1">
        <v>1</v>
      </c>
      <c r="Q9" s="1">
        <v>2980.71</v>
      </c>
      <c r="R9" s="1">
        <v>0</v>
      </c>
      <c r="S9" s="1">
        <v>2980.71</v>
      </c>
      <c r="T9" s="1">
        <f t="shared" si="3"/>
        <v>2980.71</v>
      </c>
      <c r="U9" s="1">
        <v>2357.2199999999998</v>
      </c>
      <c r="V9" s="3">
        <f>IF(T9=0,"",X9/T9)</f>
        <v>0.20917499521925992</v>
      </c>
      <c r="W9" s="1">
        <v>623.49</v>
      </c>
      <c r="X9" s="1">
        <f>T9-U9</f>
        <v>623.49000000000024</v>
      </c>
      <c r="Y9" s="1" t="s">
        <v>40</v>
      </c>
      <c r="Z9" s="1" t="s">
        <v>41</v>
      </c>
      <c r="AA9" s="1">
        <f t="shared" si="0"/>
        <v>3</v>
      </c>
      <c r="AB9" s="2" t="str">
        <f t="shared" si="4"/>
        <v>Clean</v>
      </c>
      <c r="AC9" s="2"/>
    </row>
    <row r="10" spans="1:29">
      <c r="A10" s="1" t="s">
        <v>95</v>
      </c>
      <c r="B10" s="2">
        <v>45601</v>
      </c>
      <c r="C10" s="2" t="str">
        <f t="shared" si="1"/>
        <v>November</v>
      </c>
      <c r="D10" s="1">
        <f t="shared" si="2"/>
        <v>2024</v>
      </c>
      <c r="E10" s="2">
        <v>45606</v>
      </c>
      <c r="F10" s="1" t="s">
        <v>96</v>
      </c>
      <c r="G10" s="1" t="s">
        <v>97</v>
      </c>
      <c r="H10" s="1" t="s">
        <v>98</v>
      </c>
      <c r="I10" s="1" t="s">
        <v>62</v>
      </c>
      <c r="J10" s="1" t="s">
        <v>63</v>
      </c>
      <c r="K10" s="1" t="s">
        <v>64</v>
      </c>
      <c r="L10" s="1" t="s">
        <v>36</v>
      </c>
      <c r="M10" s="1" t="s">
        <v>99</v>
      </c>
      <c r="N10" s="1" t="s">
        <v>100</v>
      </c>
      <c r="O10" s="1" t="s">
        <v>58</v>
      </c>
      <c r="P10" s="1">
        <v>8</v>
      </c>
      <c r="Q10" s="1">
        <v>3134.2</v>
      </c>
      <c r="R10" s="1">
        <v>0</v>
      </c>
      <c r="S10" s="1">
        <v>25073.599999999999</v>
      </c>
      <c r="T10" s="1">
        <f t="shared" si="3"/>
        <v>25073.599999999999</v>
      </c>
      <c r="U10" s="1">
        <v>17347.23</v>
      </c>
      <c r="V10" s="3">
        <f>IF(T10=0,"",X10/T10)</f>
        <v>0.30814761342607361</v>
      </c>
      <c r="W10" s="1">
        <v>7726.37</v>
      </c>
      <c r="X10" s="1">
        <f>T10-U10</f>
        <v>7726.369999999999</v>
      </c>
      <c r="Y10" s="1" t="s">
        <v>40</v>
      </c>
      <c r="Z10" s="1" t="s">
        <v>41</v>
      </c>
      <c r="AA10" s="1">
        <f t="shared" si="0"/>
        <v>5</v>
      </c>
      <c r="AB10" s="2" t="str">
        <f t="shared" si="4"/>
        <v>Clean</v>
      </c>
      <c r="AC10" s="2"/>
    </row>
    <row r="11" spans="1:29">
      <c r="A11" s="1" t="s">
        <v>101</v>
      </c>
      <c r="B11" s="2">
        <v>45847</v>
      </c>
      <c r="C11" s="2" t="str">
        <f t="shared" si="1"/>
        <v>July</v>
      </c>
      <c r="D11" s="1">
        <f t="shared" si="2"/>
        <v>2025</v>
      </c>
      <c r="E11" s="2">
        <v>45912</v>
      </c>
      <c r="F11" s="1" t="s">
        <v>102</v>
      </c>
      <c r="G11" s="1" t="s">
        <v>44</v>
      </c>
      <c r="H11" s="1" t="s">
        <v>103</v>
      </c>
      <c r="I11" s="1" t="s">
        <v>62</v>
      </c>
      <c r="J11" s="1" t="s">
        <v>63</v>
      </c>
      <c r="K11" s="1" t="s">
        <v>64</v>
      </c>
      <c r="L11" s="1" t="s">
        <v>36</v>
      </c>
      <c r="M11" s="1" t="s">
        <v>37</v>
      </c>
      <c r="N11" s="1" t="s">
        <v>104</v>
      </c>
      <c r="O11" s="1" t="s">
        <v>39</v>
      </c>
      <c r="P11" s="1">
        <v>9</v>
      </c>
      <c r="Q11" s="1">
        <v>852.04</v>
      </c>
      <c r="R11" s="1">
        <v>0.2</v>
      </c>
      <c r="S11" s="1">
        <v>6134.69</v>
      </c>
      <c r="T11" s="1">
        <f t="shared" si="3"/>
        <v>6134.6880000000001</v>
      </c>
      <c r="U11" s="1">
        <v>3800.19</v>
      </c>
      <c r="V11" s="3">
        <f>IF(T11=0,"",X11/T11)</f>
        <v>0.38054062407085737</v>
      </c>
      <c r="W11" s="1">
        <v>2334.5</v>
      </c>
      <c r="X11" s="1">
        <f>T11-U11</f>
        <v>2334.498</v>
      </c>
      <c r="Y11" s="1" t="s">
        <v>40</v>
      </c>
      <c r="Z11" s="1" t="s">
        <v>41</v>
      </c>
      <c r="AA11" s="1">
        <f t="shared" si="0"/>
        <v>65</v>
      </c>
      <c r="AB11" s="2" t="str">
        <f t="shared" si="4"/>
        <v>Clean</v>
      </c>
      <c r="AC11" s="2"/>
    </row>
    <row r="12" spans="1:29">
      <c r="A12" s="1" t="s">
        <v>105</v>
      </c>
      <c r="B12" s="2">
        <v>45797</v>
      </c>
      <c r="C12" s="2" t="str">
        <f t="shared" si="1"/>
        <v>May</v>
      </c>
      <c r="D12" s="1">
        <f t="shared" si="2"/>
        <v>2025</v>
      </c>
      <c r="E12" s="2">
        <v>45797</v>
      </c>
      <c r="F12" s="1" t="s">
        <v>106</v>
      </c>
      <c r="G12" s="1" t="s">
        <v>70</v>
      </c>
      <c r="H12" s="1" t="s">
        <v>98</v>
      </c>
      <c r="I12" s="1" t="s">
        <v>46</v>
      </c>
      <c r="J12" s="1" t="s">
        <v>107</v>
      </c>
      <c r="K12" s="1" t="s">
        <v>108</v>
      </c>
      <c r="L12" s="1" t="s">
        <v>36</v>
      </c>
      <c r="M12" s="1" t="s">
        <v>99</v>
      </c>
      <c r="N12" s="1" t="s">
        <v>109</v>
      </c>
      <c r="O12" s="1" t="s">
        <v>39</v>
      </c>
      <c r="P12" s="1">
        <v>3</v>
      </c>
      <c r="Q12" s="1">
        <v>3534.83</v>
      </c>
      <c r="R12" s="1">
        <v>0.05</v>
      </c>
      <c r="S12" s="1">
        <v>10074.27</v>
      </c>
      <c r="T12" s="1">
        <f t="shared" si="3"/>
        <v>10074.2655</v>
      </c>
      <c r="U12" s="1">
        <v>6048.27</v>
      </c>
      <c r="V12" s="3">
        <f>IF(T12=0,"",X12/T12)</f>
        <v>0.39963166545491574</v>
      </c>
      <c r="W12" s="1">
        <v>4026</v>
      </c>
      <c r="X12" s="1">
        <f>T12-U12</f>
        <v>4025.9954999999991</v>
      </c>
      <c r="Y12" s="1" t="s">
        <v>110</v>
      </c>
      <c r="Z12" s="1" t="s">
        <v>111</v>
      </c>
      <c r="AA12" s="1">
        <f t="shared" si="0"/>
        <v>0</v>
      </c>
      <c r="AB12" s="2" t="str">
        <f t="shared" si="4"/>
        <v>Clean</v>
      </c>
      <c r="AC12" s="2"/>
    </row>
    <row r="13" spans="1:29">
      <c r="A13" s="1" t="s">
        <v>112</v>
      </c>
      <c r="B13" s="2">
        <v>45495</v>
      </c>
      <c r="C13" s="2" t="str">
        <f t="shared" si="1"/>
        <v>July</v>
      </c>
      <c r="D13" s="1">
        <f t="shared" si="2"/>
        <v>2024</v>
      </c>
      <c r="E13" s="2">
        <v>45496</v>
      </c>
      <c r="F13" s="1" t="s">
        <v>113</v>
      </c>
      <c r="G13" s="1" t="s">
        <v>79</v>
      </c>
      <c r="H13" s="1" t="s">
        <v>45</v>
      </c>
      <c r="I13" s="1" t="s">
        <v>46</v>
      </c>
      <c r="J13" s="1" t="s">
        <v>47</v>
      </c>
      <c r="K13" s="1" t="s">
        <v>48</v>
      </c>
      <c r="L13" s="1" t="s">
        <v>82</v>
      </c>
      <c r="M13" s="1" t="s">
        <v>83</v>
      </c>
      <c r="N13" s="1" t="s">
        <v>114</v>
      </c>
      <c r="O13" s="1" t="s">
        <v>52</v>
      </c>
      <c r="P13" s="1">
        <v>6</v>
      </c>
      <c r="Q13" s="1">
        <v>2005.95</v>
      </c>
      <c r="R13" s="1">
        <v>0.2</v>
      </c>
      <c r="S13" s="1">
        <v>9628.56</v>
      </c>
      <c r="T13" s="1">
        <f t="shared" si="3"/>
        <v>9628.5600000000013</v>
      </c>
      <c r="U13" s="1">
        <v>8038.59</v>
      </c>
      <c r="V13" s="3">
        <f>IF(T13=0,"",X13/T13)</f>
        <v>0.16513061143099289</v>
      </c>
      <c r="W13" s="1">
        <v>1589.97</v>
      </c>
      <c r="X13" s="1">
        <f>T13-U13</f>
        <v>1589.9700000000012</v>
      </c>
      <c r="Y13" s="1" t="s">
        <v>40</v>
      </c>
      <c r="Z13" s="1" t="s">
        <v>41</v>
      </c>
      <c r="AA13" s="1">
        <f t="shared" si="0"/>
        <v>1</v>
      </c>
      <c r="AB13" s="2" t="str">
        <f t="shared" si="4"/>
        <v>Clean</v>
      </c>
      <c r="AC13" s="2"/>
    </row>
    <row r="14" spans="1:29">
      <c r="A14" s="1" t="s">
        <v>115</v>
      </c>
      <c r="B14" s="2">
        <v>45646</v>
      </c>
      <c r="C14" s="2" t="str">
        <f t="shared" si="1"/>
        <v>December</v>
      </c>
      <c r="D14" s="1">
        <f t="shared" si="2"/>
        <v>2024</v>
      </c>
      <c r="E14" s="2">
        <v>45647</v>
      </c>
      <c r="F14" s="1" t="s">
        <v>116</v>
      </c>
      <c r="G14" s="1" t="s">
        <v>70</v>
      </c>
      <c r="H14" s="1" t="s">
        <v>98</v>
      </c>
      <c r="I14" s="1" t="s">
        <v>71</v>
      </c>
      <c r="J14" s="1" t="s">
        <v>34</v>
      </c>
      <c r="K14" s="1" t="s">
        <v>117</v>
      </c>
      <c r="L14" s="1" t="s">
        <v>36</v>
      </c>
      <c r="M14" s="1" t="s">
        <v>37</v>
      </c>
      <c r="N14" s="1" t="s">
        <v>118</v>
      </c>
      <c r="O14" s="1" t="s">
        <v>58</v>
      </c>
      <c r="P14" s="1">
        <v>1</v>
      </c>
      <c r="Q14" s="1">
        <v>702.14</v>
      </c>
      <c r="R14" s="1">
        <v>0.15</v>
      </c>
      <c r="S14" s="1">
        <v>596.82000000000005</v>
      </c>
      <c r="T14" s="1">
        <f t="shared" si="3"/>
        <v>596.81899999999996</v>
      </c>
      <c r="U14" s="1">
        <v>380.25</v>
      </c>
      <c r="V14" s="3">
        <f>IF(T14=0,"",X14/T14)</f>
        <v>0.36287216057129545</v>
      </c>
      <c r="W14" s="1">
        <v>216.57</v>
      </c>
      <c r="X14" s="1">
        <f>T14-U14</f>
        <v>216.56899999999996</v>
      </c>
      <c r="Y14" s="1" t="s">
        <v>119</v>
      </c>
      <c r="Z14" s="1" t="s">
        <v>111</v>
      </c>
      <c r="AA14" s="1">
        <f t="shared" si="0"/>
        <v>1</v>
      </c>
      <c r="AB14" s="2" t="str">
        <f t="shared" si="4"/>
        <v>Clean</v>
      </c>
      <c r="AC14" s="2"/>
    </row>
    <row r="15" spans="1:29">
      <c r="A15" s="1" t="s">
        <v>120</v>
      </c>
      <c r="B15" s="2">
        <v>46001</v>
      </c>
      <c r="C15" s="2" t="str">
        <f t="shared" si="1"/>
        <v>December</v>
      </c>
      <c r="D15" s="1">
        <f t="shared" si="2"/>
        <v>2025</v>
      </c>
      <c r="E15" s="2">
        <v>45946</v>
      </c>
      <c r="F15" s="1" t="s">
        <v>121</v>
      </c>
      <c r="G15" s="1" t="s">
        <v>122</v>
      </c>
      <c r="H15" s="1" t="s">
        <v>45</v>
      </c>
      <c r="I15" s="1" t="s">
        <v>71</v>
      </c>
      <c r="J15" s="1" t="s">
        <v>72</v>
      </c>
      <c r="K15" s="1" t="s">
        <v>73</v>
      </c>
      <c r="L15" s="1" t="s">
        <v>36</v>
      </c>
      <c r="M15" s="1" t="s">
        <v>56</v>
      </c>
      <c r="N15" s="1" t="s">
        <v>123</v>
      </c>
      <c r="O15" s="1" t="s">
        <v>39</v>
      </c>
      <c r="P15" s="1">
        <v>7</v>
      </c>
      <c r="Q15" s="1">
        <v>3964.72</v>
      </c>
      <c r="R15" s="1">
        <v>0.05</v>
      </c>
      <c r="S15" s="1">
        <v>26365.39</v>
      </c>
      <c r="T15" s="1">
        <f t="shared" si="3"/>
        <v>26365.387999999995</v>
      </c>
      <c r="U15" s="1">
        <v>22306.240000000002</v>
      </c>
      <c r="V15" s="3">
        <f>IF(T15=0,"",X15/T15)</f>
        <v>0.15395745361304733</v>
      </c>
      <c r="W15" s="1">
        <v>4059.15</v>
      </c>
      <c r="X15" s="1">
        <f>T15-U15</f>
        <v>4059.1479999999938</v>
      </c>
      <c r="Y15" s="1" t="s">
        <v>40</v>
      </c>
      <c r="Z15" s="1" t="s">
        <v>41</v>
      </c>
      <c r="AA15" s="4">
        <f t="shared" si="0"/>
        <v>-55</v>
      </c>
      <c r="AB15" s="2" t="str">
        <f t="shared" si="4"/>
        <v>Invalid</v>
      </c>
      <c r="AC15" s="2"/>
    </row>
    <row r="16" spans="1:29">
      <c r="A16" s="1" t="s">
        <v>124</v>
      </c>
      <c r="B16" s="2">
        <v>45653</v>
      </c>
      <c r="C16" s="2" t="str">
        <f t="shared" si="1"/>
        <v>December</v>
      </c>
      <c r="D16" s="1">
        <f t="shared" si="2"/>
        <v>2024</v>
      </c>
      <c r="E16" s="2">
        <v>45654</v>
      </c>
      <c r="F16" s="1" t="s">
        <v>125</v>
      </c>
      <c r="G16" s="1" t="s">
        <v>126</v>
      </c>
      <c r="H16" s="1" t="s">
        <v>32</v>
      </c>
      <c r="I16" s="1" t="s">
        <v>71</v>
      </c>
      <c r="J16" s="1" t="s">
        <v>34</v>
      </c>
      <c r="K16" s="1" t="s">
        <v>117</v>
      </c>
      <c r="L16" s="1" t="s">
        <v>82</v>
      </c>
      <c r="M16" s="1" t="s">
        <v>88</v>
      </c>
      <c r="N16" s="1" t="s">
        <v>127</v>
      </c>
      <c r="O16" s="1" t="s">
        <v>67</v>
      </c>
      <c r="P16" s="1">
        <v>2</v>
      </c>
      <c r="Q16" s="1">
        <v>2737.83</v>
      </c>
      <c r="R16" s="1">
        <v>0.25</v>
      </c>
      <c r="S16" s="1">
        <v>4106.74</v>
      </c>
      <c r="T16" s="1">
        <f t="shared" si="3"/>
        <v>4106.7449999999999</v>
      </c>
      <c r="U16" s="1">
        <v>2666.3</v>
      </c>
      <c r="V16" s="3">
        <f>IF(T16=0,"",X16/T16)</f>
        <v>0.35075102057712365</v>
      </c>
      <c r="W16" s="1">
        <v>1440.44</v>
      </c>
      <c r="X16" s="1">
        <f>T16-U16</f>
        <v>1440.4449999999997</v>
      </c>
      <c r="Y16" s="1" t="s">
        <v>40</v>
      </c>
      <c r="Z16" s="1" t="s">
        <v>41</v>
      </c>
      <c r="AA16" s="1">
        <f t="shared" si="0"/>
        <v>1</v>
      </c>
      <c r="AB16" s="2" t="str">
        <f t="shared" si="4"/>
        <v>Clean</v>
      </c>
      <c r="AC16" s="2"/>
    </row>
    <row r="17" spans="1:29">
      <c r="A17" s="1" t="s">
        <v>128</v>
      </c>
      <c r="B17" s="2">
        <v>45482</v>
      </c>
      <c r="C17" s="2" t="str">
        <f t="shared" si="1"/>
        <v>July</v>
      </c>
      <c r="D17" s="1">
        <f t="shared" si="2"/>
        <v>2024</v>
      </c>
      <c r="E17" s="2">
        <v>45542</v>
      </c>
      <c r="F17" s="1" t="s">
        <v>129</v>
      </c>
      <c r="G17" s="1" t="s">
        <v>31</v>
      </c>
      <c r="H17" s="1" t="s">
        <v>45</v>
      </c>
      <c r="I17" s="1" t="s">
        <v>33</v>
      </c>
      <c r="J17" s="1" t="s">
        <v>130</v>
      </c>
      <c r="K17" s="1" t="s">
        <v>131</v>
      </c>
      <c r="L17" s="1" t="s">
        <v>36</v>
      </c>
      <c r="M17" s="1" t="s">
        <v>132</v>
      </c>
      <c r="N17" s="1" t="s">
        <v>133</v>
      </c>
      <c r="O17" s="1" t="s">
        <v>39</v>
      </c>
      <c r="P17" s="1">
        <v>6</v>
      </c>
      <c r="Q17" s="1">
        <v>3965.76</v>
      </c>
      <c r="R17" s="1">
        <v>0</v>
      </c>
      <c r="S17" s="1">
        <v>23794.560000000001</v>
      </c>
      <c r="T17" s="1">
        <f t="shared" si="3"/>
        <v>23794.560000000001</v>
      </c>
      <c r="U17" s="1">
        <v>15698.47</v>
      </c>
      <c r="V17" s="3">
        <f>IF(T17=0,"",X17/T17)</f>
        <v>0.34024962008122872</v>
      </c>
      <c r="W17" s="1">
        <v>8096.09</v>
      </c>
      <c r="X17" s="1">
        <f>T17-U17</f>
        <v>8096.090000000002</v>
      </c>
      <c r="Y17" s="1" t="s">
        <v>40</v>
      </c>
      <c r="Z17" s="1" t="s">
        <v>41</v>
      </c>
      <c r="AA17" s="1">
        <f t="shared" si="0"/>
        <v>60</v>
      </c>
      <c r="AB17" s="2" t="str">
        <f t="shared" si="4"/>
        <v>Clean</v>
      </c>
      <c r="AC17" s="2"/>
    </row>
    <row r="18" spans="1:29">
      <c r="A18" s="1" t="s">
        <v>134</v>
      </c>
      <c r="B18" s="2">
        <v>45420</v>
      </c>
      <c r="C18" s="2" t="str">
        <f t="shared" si="1"/>
        <v>May</v>
      </c>
      <c r="D18" s="1">
        <f t="shared" si="2"/>
        <v>2024</v>
      </c>
      <c r="E18" s="2">
        <v>45427</v>
      </c>
      <c r="F18" s="1" t="s">
        <v>135</v>
      </c>
      <c r="G18" s="1" t="s">
        <v>136</v>
      </c>
      <c r="H18" s="1" t="s">
        <v>32</v>
      </c>
      <c r="I18" s="1" t="s">
        <v>62</v>
      </c>
      <c r="J18" s="1" t="s">
        <v>63</v>
      </c>
      <c r="K18" s="1" t="s">
        <v>64</v>
      </c>
      <c r="L18" s="1" t="s">
        <v>36</v>
      </c>
      <c r="M18" s="1" t="s">
        <v>56</v>
      </c>
      <c r="N18" s="1" t="s">
        <v>137</v>
      </c>
      <c r="O18" s="1" t="s">
        <v>58</v>
      </c>
      <c r="P18" s="1">
        <v>4</v>
      </c>
      <c r="Q18" s="1">
        <v>3323.51</v>
      </c>
      <c r="R18" s="1">
        <v>0.25</v>
      </c>
      <c r="S18" s="1">
        <v>9970.5300000000007</v>
      </c>
      <c r="T18" s="1">
        <f t="shared" si="3"/>
        <v>9970.5300000000007</v>
      </c>
      <c r="U18" s="1">
        <v>5668.17</v>
      </c>
      <c r="V18" s="3">
        <f>IF(T18=0,"",X18/T18)</f>
        <v>0.43150765305354882</v>
      </c>
      <c r="W18" s="1">
        <v>4302.3599999999997</v>
      </c>
      <c r="X18" s="1">
        <f>T18-U18</f>
        <v>4302.3600000000006</v>
      </c>
      <c r="Y18" s="1" t="s">
        <v>40</v>
      </c>
      <c r="Z18" s="1" t="s">
        <v>41</v>
      </c>
      <c r="AA18" s="1">
        <f t="shared" si="0"/>
        <v>7</v>
      </c>
      <c r="AB18" s="2" t="str">
        <f t="shared" si="4"/>
        <v>Clean</v>
      </c>
      <c r="AC18" s="2"/>
    </row>
    <row r="19" spans="1:29">
      <c r="A19" s="1" t="s">
        <v>138</v>
      </c>
      <c r="B19" s="2">
        <v>45298</v>
      </c>
      <c r="C19" s="2" t="str">
        <f t="shared" si="1"/>
        <v>January</v>
      </c>
      <c r="D19" s="1">
        <f t="shared" si="2"/>
        <v>2024</v>
      </c>
      <c r="E19" s="2">
        <v>45505</v>
      </c>
      <c r="F19" s="1" t="s">
        <v>139</v>
      </c>
      <c r="G19" s="1" t="s">
        <v>140</v>
      </c>
      <c r="H19" s="1" t="s">
        <v>45</v>
      </c>
      <c r="I19" s="1" t="s">
        <v>33</v>
      </c>
      <c r="J19" s="1" t="s">
        <v>34</v>
      </c>
      <c r="K19" s="1" t="s">
        <v>35</v>
      </c>
      <c r="L19" s="1" t="s">
        <v>49</v>
      </c>
      <c r="M19" s="1" t="s">
        <v>65</v>
      </c>
      <c r="N19" s="1" t="s">
        <v>141</v>
      </c>
      <c r="O19" s="1" t="s">
        <v>52</v>
      </c>
      <c r="P19" s="1">
        <v>5</v>
      </c>
      <c r="Q19" s="1">
        <v>1526.78</v>
      </c>
      <c r="R19" s="1">
        <v>0</v>
      </c>
      <c r="S19" s="1">
        <v>7633.9</v>
      </c>
      <c r="T19" s="1">
        <f t="shared" si="3"/>
        <v>7633.9</v>
      </c>
      <c r="U19" s="1">
        <v>4706.91</v>
      </c>
      <c r="V19" s="3">
        <f>IF(T19=0,"",X19/T19)</f>
        <v>0.38342000812166782</v>
      </c>
      <c r="W19" s="1">
        <v>2926.99</v>
      </c>
      <c r="X19" s="1">
        <f>T19-U19</f>
        <v>2926.99</v>
      </c>
      <c r="Y19" s="1" t="s">
        <v>40</v>
      </c>
      <c r="Z19" s="1" t="s">
        <v>41</v>
      </c>
      <c r="AA19" s="1">
        <f t="shared" si="0"/>
        <v>207</v>
      </c>
      <c r="AB19" s="2" t="str">
        <f t="shared" si="4"/>
        <v>Clean</v>
      </c>
      <c r="AC19" s="2"/>
    </row>
    <row r="20" spans="1:29">
      <c r="A20" s="1" t="s">
        <v>142</v>
      </c>
      <c r="B20" s="2">
        <v>45853</v>
      </c>
      <c r="C20" s="2" t="str">
        <f t="shared" si="1"/>
        <v>July</v>
      </c>
      <c r="D20" s="1">
        <f t="shared" si="2"/>
        <v>2025</v>
      </c>
      <c r="E20" s="2">
        <v>45855</v>
      </c>
      <c r="F20" s="1" t="s">
        <v>143</v>
      </c>
      <c r="G20" s="1" t="s">
        <v>136</v>
      </c>
      <c r="H20" s="1" t="s">
        <v>103</v>
      </c>
      <c r="I20" s="1" t="s">
        <v>33</v>
      </c>
      <c r="J20" s="1" t="s">
        <v>144</v>
      </c>
      <c r="K20" s="1" t="s">
        <v>145</v>
      </c>
      <c r="L20" s="1" t="s">
        <v>82</v>
      </c>
      <c r="M20" s="1" t="s">
        <v>88</v>
      </c>
      <c r="N20" s="1" t="s">
        <v>146</v>
      </c>
      <c r="O20" s="1" t="s">
        <v>58</v>
      </c>
      <c r="P20" s="1">
        <v>2</v>
      </c>
      <c r="Q20" s="1">
        <v>1997.99</v>
      </c>
      <c r="R20" s="1">
        <v>0</v>
      </c>
      <c r="S20" s="1">
        <v>3995.98</v>
      </c>
      <c r="T20" s="1">
        <f t="shared" si="3"/>
        <v>3995.98</v>
      </c>
      <c r="U20" s="1">
        <v>2633.2</v>
      </c>
      <c r="V20" s="3">
        <f>IF(T20=0,"",X20/T20)</f>
        <v>0.34103774293164635</v>
      </c>
      <c r="W20" s="1">
        <v>1362.78</v>
      </c>
      <c r="X20" s="1">
        <f>T20-U20</f>
        <v>1362.7800000000002</v>
      </c>
      <c r="Y20" s="1" t="s">
        <v>110</v>
      </c>
      <c r="Z20" s="1" t="s">
        <v>76</v>
      </c>
      <c r="AA20" s="1">
        <f t="shared" si="0"/>
        <v>2</v>
      </c>
      <c r="AB20" s="2" t="str">
        <f t="shared" si="4"/>
        <v>Clean</v>
      </c>
      <c r="AC20" s="2"/>
    </row>
    <row r="21" spans="1:29">
      <c r="A21" s="1" t="s">
        <v>147</v>
      </c>
      <c r="B21" s="2">
        <v>45500</v>
      </c>
      <c r="C21" s="2" t="str">
        <f t="shared" si="1"/>
        <v>July</v>
      </c>
      <c r="D21" s="1">
        <f t="shared" si="2"/>
        <v>2024</v>
      </c>
      <c r="E21" s="2">
        <v>45504</v>
      </c>
      <c r="F21" s="1" t="s">
        <v>148</v>
      </c>
      <c r="G21" s="1" t="s">
        <v>149</v>
      </c>
      <c r="H21" s="1" t="s">
        <v>103</v>
      </c>
      <c r="I21" s="1" t="s">
        <v>71</v>
      </c>
      <c r="J21" s="1" t="s">
        <v>80</v>
      </c>
      <c r="K21" s="1" t="s">
        <v>81</v>
      </c>
      <c r="L21" s="1" t="s">
        <v>36</v>
      </c>
      <c r="M21" s="1" t="s">
        <v>132</v>
      </c>
      <c r="N21" s="1" t="s">
        <v>150</v>
      </c>
      <c r="O21" s="1" t="s">
        <v>39</v>
      </c>
      <c r="P21" s="1">
        <v>3</v>
      </c>
      <c r="Q21" s="1">
        <v>3887.94</v>
      </c>
      <c r="R21" s="4">
        <v>-0.19</v>
      </c>
      <c r="S21" s="1">
        <v>9331.06</v>
      </c>
      <c r="T21" s="4">
        <f t="shared" si="3"/>
        <v>13879.9458</v>
      </c>
      <c r="U21" s="1">
        <v>7529.31</v>
      </c>
      <c r="V21" s="3"/>
      <c r="W21" s="1">
        <v>1801.75</v>
      </c>
      <c r="X21" s="1"/>
      <c r="Y21" s="1" t="s">
        <v>40</v>
      </c>
      <c r="Z21" s="1" t="s">
        <v>41</v>
      </c>
      <c r="AA21" s="1">
        <f t="shared" si="0"/>
        <v>4</v>
      </c>
      <c r="AB21" s="2" t="str">
        <f t="shared" si="4"/>
        <v>Invalid</v>
      </c>
      <c r="AC21" s="2"/>
    </row>
    <row r="22" spans="1:29">
      <c r="A22" s="1" t="s">
        <v>151</v>
      </c>
      <c r="B22" s="2">
        <v>45678</v>
      </c>
      <c r="C22" s="2" t="str">
        <f t="shared" si="1"/>
        <v>January</v>
      </c>
      <c r="D22" s="1">
        <f t="shared" si="2"/>
        <v>2025</v>
      </c>
      <c r="E22" s="2">
        <v>45680</v>
      </c>
      <c r="F22" s="1" t="s">
        <v>152</v>
      </c>
      <c r="G22" s="1" t="s">
        <v>97</v>
      </c>
      <c r="H22" s="1" t="s">
        <v>103</v>
      </c>
      <c r="I22" s="1" t="s">
        <v>46</v>
      </c>
      <c r="J22" s="1" t="s">
        <v>153</v>
      </c>
      <c r="K22" s="1" t="s">
        <v>154</v>
      </c>
      <c r="L22" s="1" t="s">
        <v>82</v>
      </c>
      <c r="M22" s="1" t="s">
        <v>88</v>
      </c>
      <c r="N22" s="1" t="s">
        <v>155</v>
      </c>
      <c r="O22" s="1" t="s">
        <v>58</v>
      </c>
      <c r="P22" s="1">
        <v>5</v>
      </c>
      <c r="Q22" s="1">
        <v>4373.0600000000004</v>
      </c>
      <c r="R22" s="1">
        <v>0.25</v>
      </c>
      <c r="S22" s="1">
        <v>16398.98</v>
      </c>
      <c r="T22" s="1">
        <f t="shared" si="3"/>
        <v>16398.975000000002</v>
      </c>
      <c r="U22" s="1">
        <v>9556.52</v>
      </c>
      <c r="V22" s="3">
        <f>IF(T22=0,"",X22/T22)</f>
        <v>0.4172489439126531</v>
      </c>
      <c r="W22" s="1">
        <v>6842.46</v>
      </c>
      <c r="X22" s="1">
        <f>T22-U22</f>
        <v>6842.4550000000017</v>
      </c>
      <c r="Y22" s="1" t="s">
        <v>40</v>
      </c>
      <c r="Z22" s="1" t="s">
        <v>41</v>
      </c>
      <c r="AA22" s="1">
        <f t="shared" si="0"/>
        <v>2</v>
      </c>
      <c r="AB22" s="2" t="str">
        <f t="shared" si="4"/>
        <v>Clean</v>
      </c>
      <c r="AC22" s="2"/>
    </row>
    <row r="23" spans="1:29">
      <c r="A23" s="1" t="s">
        <v>156</v>
      </c>
      <c r="B23" s="2">
        <v>45681</v>
      </c>
      <c r="C23" s="2" t="str">
        <f t="shared" si="1"/>
        <v>January</v>
      </c>
      <c r="D23" s="1">
        <f t="shared" si="2"/>
        <v>2025</v>
      </c>
      <c r="E23" s="2">
        <v>45687</v>
      </c>
      <c r="F23" s="1" t="s">
        <v>157</v>
      </c>
      <c r="G23" s="1" t="s">
        <v>140</v>
      </c>
      <c r="H23" s="1" t="s">
        <v>32</v>
      </c>
      <c r="I23" s="1" t="s">
        <v>71</v>
      </c>
      <c r="J23" s="1" t="s">
        <v>80</v>
      </c>
      <c r="K23" s="1" t="s">
        <v>81</v>
      </c>
      <c r="L23" s="1" t="s">
        <v>49</v>
      </c>
      <c r="M23" s="1" t="s">
        <v>65</v>
      </c>
      <c r="N23" s="1" t="s">
        <v>158</v>
      </c>
      <c r="O23" s="1" t="s">
        <v>39</v>
      </c>
      <c r="P23" s="1">
        <v>4</v>
      </c>
      <c r="Q23" s="1">
        <v>697.69</v>
      </c>
      <c r="R23" s="4">
        <v>-0.23</v>
      </c>
      <c r="S23" s="1">
        <v>2790.76</v>
      </c>
      <c r="T23" s="4">
        <f t="shared" si="3"/>
        <v>3432.6348000000003</v>
      </c>
      <c r="U23" s="1">
        <v>2037.71</v>
      </c>
      <c r="V23" s="3"/>
      <c r="W23" s="1">
        <v>753.05</v>
      </c>
      <c r="X23" s="1"/>
      <c r="Y23" s="1" t="s">
        <v>40</v>
      </c>
      <c r="Z23" s="1" t="s">
        <v>41</v>
      </c>
      <c r="AA23" s="1">
        <f t="shared" si="0"/>
        <v>6</v>
      </c>
      <c r="AB23" s="2" t="str">
        <f t="shared" si="4"/>
        <v>Invalid</v>
      </c>
      <c r="AC23" s="2"/>
    </row>
    <row r="24" spans="1:29">
      <c r="A24" s="1" t="s">
        <v>159</v>
      </c>
      <c r="B24" s="2">
        <v>45676</v>
      </c>
      <c r="C24" s="2" t="str">
        <f t="shared" si="1"/>
        <v>January</v>
      </c>
      <c r="D24" s="1">
        <f t="shared" si="2"/>
        <v>2025</v>
      </c>
      <c r="E24" s="2">
        <v>45678</v>
      </c>
      <c r="F24" s="1" t="s">
        <v>160</v>
      </c>
      <c r="G24" s="1" t="s">
        <v>44</v>
      </c>
      <c r="H24" s="1" t="s">
        <v>32</v>
      </c>
      <c r="I24" s="1" t="s">
        <v>62</v>
      </c>
      <c r="J24" s="1" t="s">
        <v>63</v>
      </c>
      <c r="K24" s="1" t="s">
        <v>64</v>
      </c>
      <c r="L24" s="1" t="s">
        <v>36</v>
      </c>
      <c r="M24" s="1" t="s">
        <v>161</v>
      </c>
      <c r="N24" s="1" t="s">
        <v>162</v>
      </c>
      <c r="O24" s="1" t="s">
        <v>67</v>
      </c>
      <c r="P24" s="1">
        <v>8</v>
      </c>
      <c r="Q24" s="1">
        <v>1219.3399999999999</v>
      </c>
      <c r="R24" s="1">
        <v>0.15</v>
      </c>
      <c r="S24" s="1">
        <v>8291.51</v>
      </c>
      <c r="T24" s="1">
        <f t="shared" si="3"/>
        <v>8291.5119999999988</v>
      </c>
      <c r="U24" s="1">
        <v>6685.03</v>
      </c>
      <c r="V24" s="3">
        <f>IF(T24=0,"",X24/T24)</f>
        <v>0.19375018693816029</v>
      </c>
      <c r="W24" s="1">
        <v>1606.48</v>
      </c>
      <c r="X24" s="1">
        <f>T24-U24</f>
        <v>1606.4819999999991</v>
      </c>
      <c r="Y24" s="1" t="s">
        <v>163</v>
      </c>
      <c r="Z24" s="1" t="s">
        <v>111</v>
      </c>
      <c r="AA24" s="1">
        <f t="shared" si="0"/>
        <v>2</v>
      </c>
      <c r="AB24" s="2" t="str">
        <f t="shared" si="4"/>
        <v>Clean</v>
      </c>
      <c r="AC24" s="2"/>
    </row>
    <row r="25" spans="1:29">
      <c r="A25" s="1" t="s">
        <v>164</v>
      </c>
      <c r="B25" s="2">
        <v>45898</v>
      </c>
      <c r="C25" s="2" t="str">
        <f t="shared" si="1"/>
        <v>August</v>
      </c>
      <c r="D25" s="1">
        <f t="shared" si="2"/>
        <v>2025</v>
      </c>
      <c r="E25" s="2">
        <v>45900</v>
      </c>
      <c r="F25" s="1" t="s">
        <v>165</v>
      </c>
      <c r="G25" s="1" t="s">
        <v>126</v>
      </c>
      <c r="H25" s="1" t="s">
        <v>103</v>
      </c>
      <c r="I25" s="1" t="s">
        <v>46</v>
      </c>
      <c r="J25" s="1" t="s">
        <v>153</v>
      </c>
      <c r="K25" s="1" t="s">
        <v>154</v>
      </c>
      <c r="L25" s="1" t="s">
        <v>49</v>
      </c>
      <c r="M25" s="1" t="s">
        <v>166</v>
      </c>
      <c r="N25" s="1" t="s">
        <v>167</v>
      </c>
      <c r="O25" s="1" t="s">
        <v>58</v>
      </c>
      <c r="P25" s="1">
        <v>4</v>
      </c>
      <c r="Q25" s="1">
        <v>1958.01</v>
      </c>
      <c r="R25" s="1">
        <v>0.2</v>
      </c>
      <c r="S25" s="1">
        <v>6265.63</v>
      </c>
      <c r="T25" s="1">
        <f t="shared" si="3"/>
        <v>6265.6320000000005</v>
      </c>
      <c r="U25" s="1">
        <v>4321.8599999999997</v>
      </c>
      <c r="V25" s="3">
        <f>IF(T25=0,"",X25/T25)</f>
        <v>0.31022760353624351</v>
      </c>
      <c r="W25" s="1">
        <v>1943.77</v>
      </c>
      <c r="X25" s="1">
        <f>T25-U25</f>
        <v>1943.7720000000008</v>
      </c>
      <c r="Y25" s="1" t="s">
        <v>40</v>
      </c>
      <c r="Z25" s="1" t="s">
        <v>41</v>
      </c>
      <c r="AA25" s="1">
        <f t="shared" si="0"/>
        <v>2</v>
      </c>
      <c r="AB25" s="2" t="str">
        <f t="shared" si="4"/>
        <v>Clean</v>
      </c>
      <c r="AC25" s="2"/>
    </row>
    <row r="26" spans="1:29">
      <c r="A26" s="1" t="s">
        <v>168</v>
      </c>
      <c r="B26" s="2">
        <v>45385</v>
      </c>
      <c r="C26" s="2" t="str">
        <f t="shared" si="1"/>
        <v>April</v>
      </c>
      <c r="D26" s="1">
        <f t="shared" si="2"/>
        <v>2024</v>
      </c>
      <c r="E26" s="2">
        <v>45352</v>
      </c>
      <c r="F26" s="1" t="s">
        <v>169</v>
      </c>
      <c r="G26" s="1" t="s">
        <v>170</v>
      </c>
      <c r="H26" s="1" t="s">
        <v>32</v>
      </c>
      <c r="I26" s="1" t="s">
        <v>33</v>
      </c>
      <c r="J26" s="1" t="s">
        <v>130</v>
      </c>
      <c r="K26" s="1" t="s">
        <v>131</v>
      </c>
      <c r="L26" s="1" t="s">
        <v>36</v>
      </c>
      <c r="M26" s="1" t="s">
        <v>56</v>
      </c>
      <c r="N26" s="1" t="s">
        <v>171</v>
      </c>
      <c r="O26" s="1" t="s">
        <v>67</v>
      </c>
      <c r="P26" s="1">
        <v>4</v>
      </c>
      <c r="Q26" s="1">
        <v>4492.9399999999996</v>
      </c>
      <c r="R26" s="1">
        <v>0.25</v>
      </c>
      <c r="S26" s="1">
        <v>13478.82</v>
      </c>
      <c r="T26" s="1">
        <f t="shared" si="3"/>
        <v>13478.82</v>
      </c>
      <c r="U26" s="1">
        <v>10937.35</v>
      </c>
      <c r="V26" s="3">
        <f>IF(T26=0,"",X26/T26)</f>
        <v>0.18855285551702591</v>
      </c>
      <c r="W26" s="1">
        <v>2541.4699999999998</v>
      </c>
      <c r="X26" s="1">
        <f>T26-U26</f>
        <v>2541.4699999999993</v>
      </c>
      <c r="Y26" s="1" t="s">
        <v>119</v>
      </c>
      <c r="Z26" s="1" t="s">
        <v>76</v>
      </c>
      <c r="AA26" s="4">
        <f t="shared" si="0"/>
        <v>-33</v>
      </c>
      <c r="AB26" s="2" t="str">
        <f t="shared" si="4"/>
        <v>Invalid</v>
      </c>
      <c r="AC26" s="2"/>
    </row>
    <row r="27" spans="1:29">
      <c r="A27" s="1" t="s">
        <v>172</v>
      </c>
      <c r="B27" s="2">
        <v>45606</v>
      </c>
      <c r="C27" s="2" t="str">
        <f t="shared" si="1"/>
        <v>November</v>
      </c>
      <c r="D27" s="1">
        <f t="shared" si="2"/>
        <v>2024</v>
      </c>
      <c r="E27" s="2">
        <v>45584</v>
      </c>
      <c r="F27" s="1" t="s">
        <v>173</v>
      </c>
      <c r="G27" s="1" t="s">
        <v>61</v>
      </c>
      <c r="H27" s="1" t="s">
        <v>98</v>
      </c>
      <c r="I27" s="1" t="s">
        <v>46</v>
      </c>
      <c r="J27" s="1" t="s">
        <v>174</v>
      </c>
      <c r="K27" s="1" t="s">
        <v>175</v>
      </c>
      <c r="L27" s="1" t="s">
        <v>82</v>
      </c>
      <c r="M27" s="1" t="s">
        <v>83</v>
      </c>
      <c r="N27" s="1" t="s">
        <v>176</v>
      </c>
      <c r="O27" s="1" t="s">
        <v>58</v>
      </c>
      <c r="P27" s="1">
        <v>2</v>
      </c>
      <c r="Q27" s="1">
        <v>4315.2</v>
      </c>
      <c r="R27" s="1">
        <v>0.15</v>
      </c>
      <c r="S27" s="1">
        <v>7335.84</v>
      </c>
      <c r="T27" s="1">
        <f t="shared" si="3"/>
        <v>7335.8399999999992</v>
      </c>
      <c r="U27" s="1">
        <v>4968.41</v>
      </c>
      <c r="V27" s="3">
        <f>IF(T27=0,"",X27/T27)</f>
        <v>0.32272105171323251</v>
      </c>
      <c r="W27" s="1">
        <v>2367.4299999999998</v>
      </c>
      <c r="X27" s="1">
        <f>T27-U27</f>
        <v>2367.4299999999994</v>
      </c>
      <c r="Y27" s="1" t="s">
        <v>40</v>
      </c>
      <c r="Z27" s="1" t="s">
        <v>41</v>
      </c>
      <c r="AA27" s="4">
        <f t="shared" si="0"/>
        <v>-22</v>
      </c>
      <c r="AB27" s="2" t="str">
        <f t="shared" si="4"/>
        <v>Invalid</v>
      </c>
      <c r="AC27" s="2"/>
    </row>
    <row r="28" spans="1:29">
      <c r="A28" s="1" t="s">
        <v>177</v>
      </c>
      <c r="B28" s="2">
        <v>45619</v>
      </c>
      <c r="C28" s="2" t="str">
        <f t="shared" si="1"/>
        <v>November</v>
      </c>
      <c r="D28" s="1">
        <f t="shared" si="2"/>
        <v>2024</v>
      </c>
      <c r="E28" s="2">
        <v>45619</v>
      </c>
      <c r="F28" s="1" t="s">
        <v>178</v>
      </c>
      <c r="G28" s="1" t="s">
        <v>170</v>
      </c>
      <c r="H28" s="1" t="s">
        <v>98</v>
      </c>
      <c r="I28" s="1" t="s">
        <v>33</v>
      </c>
      <c r="J28" s="1" t="s">
        <v>144</v>
      </c>
      <c r="K28" s="1" t="s">
        <v>145</v>
      </c>
      <c r="L28" s="1" t="s">
        <v>82</v>
      </c>
      <c r="M28" s="1" t="s">
        <v>179</v>
      </c>
      <c r="N28" s="1" t="s">
        <v>180</v>
      </c>
      <c r="O28" s="1" t="s">
        <v>67</v>
      </c>
      <c r="P28" s="1">
        <v>4</v>
      </c>
      <c r="Q28" s="1">
        <v>716.13</v>
      </c>
      <c r="R28" s="1">
        <v>0.1</v>
      </c>
      <c r="S28" s="1">
        <v>2578.0700000000002</v>
      </c>
      <c r="T28" s="1">
        <f t="shared" si="3"/>
        <v>2578.0680000000002</v>
      </c>
      <c r="U28" s="1">
        <v>1527.55</v>
      </c>
      <c r="V28" s="3">
        <f>IF(T28=0,"",X28/T28)</f>
        <v>0.40748265755596835</v>
      </c>
      <c r="W28" s="1">
        <v>1050.52</v>
      </c>
      <c r="X28" s="1">
        <f>T28-U28</f>
        <v>1050.5180000000003</v>
      </c>
      <c r="Y28" s="1" t="s">
        <v>40</v>
      </c>
      <c r="Z28" s="1" t="s">
        <v>111</v>
      </c>
      <c r="AA28" s="1">
        <f t="shared" si="0"/>
        <v>0</v>
      </c>
      <c r="AB28" s="2" t="str">
        <f t="shared" si="4"/>
        <v>Clean</v>
      </c>
      <c r="AC28" s="2"/>
    </row>
    <row r="29" spans="1:29">
      <c r="A29" s="1" t="s">
        <v>181</v>
      </c>
      <c r="B29" s="2">
        <v>45929</v>
      </c>
      <c r="C29" s="2" t="str">
        <f t="shared" si="1"/>
        <v>September</v>
      </c>
      <c r="D29" s="1">
        <f t="shared" si="2"/>
        <v>2025</v>
      </c>
      <c r="E29" s="2">
        <v>45787</v>
      </c>
      <c r="F29" s="1" t="s">
        <v>182</v>
      </c>
      <c r="G29" s="1" t="s">
        <v>61</v>
      </c>
      <c r="H29" s="1" t="s">
        <v>45</v>
      </c>
      <c r="I29" s="1" t="s">
        <v>62</v>
      </c>
      <c r="J29" s="1" t="s">
        <v>183</v>
      </c>
      <c r="K29" s="1" t="s">
        <v>184</v>
      </c>
      <c r="L29" s="1" t="s">
        <v>36</v>
      </c>
      <c r="M29" s="1" t="s">
        <v>37</v>
      </c>
      <c r="N29" s="1" t="s">
        <v>185</v>
      </c>
      <c r="O29" s="1" t="s">
        <v>39</v>
      </c>
      <c r="P29" s="1">
        <v>5</v>
      </c>
      <c r="Q29" s="1">
        <v>1806.51</v>
      </c>
      <c r="R29" s="1">
        <v>0.25</v>
      </c>
      <c r="S29" s="1">
        <v>6774.41</v>
      </c>
      <c r="T29" s="1">
        <f t="shared" si="3"/>
        <v>6774.4124999999995</v>
      </c>
      <c r="U29" s="1">
        <v>4710.3599999999997</v>
      </c>
      <c r="V29" s="3">
        <f>IF(T29=0,"",X29/T29)</f>
        <v>0.30468361647596748</v>
      </c>
      <c r="W29" s="1">
        <v>2064.0500000000002</v>
      </c>
      <c r="X29" s="1">
        <f>T29-U29</f>
        <v>2064.0524999999998</v>
      </c>
      <c r="Y29" s="1" t="s">
        <v>163</v>
      </c>
      <c r="Z29" s="1" t="s">
        <v>111</v>
      </c>
      <c r="AA29" s="4">
        <f t="shared" si="0"/>
        <v>-142</v>
      </c>
      <c r="AB29" s="2" t="str">
        <f t="shared" si="4"/>
        <v>Invalid</v>
      </c>
      <c r="AC29" s="2"/>
    </row>
    <row r="30" spans="1:29">
      <c r="A30" s="1" t="s">
        <v>186</v>
      </c>
      <c r="B30" s="2">
        <v>45606</v>
      </c>
      <c r="C30" s="2" t="str">
        <f t="shared" si="1"/>
        <v>November</v>
      </c>
      <c r="D30" s="1">
        <f t="shared" si="2"/>
        <v>2024</v>
      </c>
      <c r="E30" s="2">
        <v>45583</v>
      </c>
      <c r="F30" s="1" t="s">
        <v>187</v>
      </c>
      <c r="G30" s="1" t="s">
        <v>70</v>
      </c>
      <c r="H30" s="1" t="s">
        <v>103</v>
      </c>
      <c r="I30" s="1" t="s">
        <v>71</v>
      </c>
      <c r="J30" s="1" t="s">
        <v>188</v>
      </c>
      <c r="K30" s="1" t="s">
        <v>189</v>
      </c>
      <c r="L30" s="1" t="s">
        <v>82</v>
      </c>
      <c r="M30" s="1" t="s">
        <v>179</v>
      </c>
      <c r="N30" s="1" t="s">
        <v>190</v>
      </c>
      <c r="O30" s="1" t="s">
        <v>39</v>
      </c>
      <c r="P30" s="1">
        <v>2</v>
      </c>
      <c r="Q30" s="1">
        <v>1942.22</v>
      </c>
      <c r="R30" s="1">
        <v>0.25</v>
      </c>
      <c r="S30" s="1">
        <v>2913.33</v>
      </c>
      <c r="T30" s="1">
        <f t="shared" si="3"/>
        <v>2913.33</v>
      </c>
      <c r="U30" s="1">
        <v>2122.33</v>
      </c>
      <c r="V30" s="3">
        <f>IF(T30=0,"",X30/T30)</f>
        <v>0.27151060813570727</v>
      </c>
      <c r="W30" s="1">
        <v>791</v>
      </c>
      <c r="X30" s="1">
        <f>T30-U30</f>
        <v>791</v>
      </c>
      <c r="Y30" s="1" t="s">
        <v>110</v>
      </c>
      <c r="Z30" s="1" t="s">
        <v>76</v>
      </c>
      <c r="AA30" s="4">
        <f t="shared" si="0"/>
        <v>-23</v>
      </c>
      <c r="AB30" s="2" t="str">
        <f t="shared" si="4"/>
        <v>Invalid</v>
      </c>
      <c r="AC30" s="2"/>
    </row>
    <row r="31" spans="1:29">
      <c r="A31" s="1" t="s">
        <v>191</v>
      </c>
      <c r="B31" s="2">
        <v>45882</v>
      </c>
      <c r="C31" s="2" t="str">
        <f t="shared" si="1"/>
        <v>August</v>
      </c>
      <c r="D31" s="1">
        <f t="shared" si="2"/>
        <v>2025</v>
      </c>
      <c r="E31" s="2">
        <v>45882</v>
      </c>
      <c r="F31" s="1" t="s">
        <v>192</v>
      </c>
      <c r="G31" s="1" t="s">
        <v>149</v>
      </c>
      <c r="H31" s="1" t="s">
        <v>103</v>
      </c>
      <c r="I31" s="1" t="s">
        <v>62</v>
      </c>
      <c r="J31" s="1" t="s">
        <v>193</v>
      </c>
      <c r="K31" s="1" t="s">
        <v>194</v>
      </c>
      <c r="L31" s="1" t="s">
        <v>82</v>
      </c>
      <c r="M31" s="1" t="s">
        <v>179</v>
      </c>
      <c r="N31" s="1" t="s">
        <v>195</v>
      </c>
      <c r="O31" s="1" t="s">
        <v>67</v>
      </c>
      <c r="P31" s="1">
        <v>1</v>
      </c>
      <c r="Q31" s="1">
        <v>256.01</v>
      </c>
      <c r="R31" s="1">
        <v>0.15</v>
      </c>
      <c r="S31" s="1">
        <v>217.61</v>
      </c>
      <c r="T31" s="1">
        <f t="shared" si="3"/>
        <v>217.60849999999999</v>
      </c>
      <c r="U31" s="1">
        <v>119.77</v>
      </c>
      <c r="V31" s="3">
        <f>IF(T31=0,"",X31/T31)</f>
        <v>0.44960789675035673</v>
      </c>
      <c r="W31" s="1">
        <v>97.84</v>
      </c>
      <c r="X31" s="1">
        <f>T31-U31</f>
        <v>97.838499999999996</v>
      </c>
      <c r="Y31" s="1" t="s">
        <v>40</v>
      </c>
      <c r="Z31" s="1" t="s">
        <v>41</v>
      </c>
      <c r="AA31" s="1">
        <f t="shared" si="0"/>
        <v>0</v>
      </c>
      <c r="AB31" s="2" t="str">
        <f t="shared" si="4"/>
        <v>Clean</v>
      </c>
      <c r="AC31" s="2"/>
    </row>
    <row r="32" spans="1:29">
      <c r="A32" s="1" t="s">
        <v>196</v>
      </c>
      <c r="B32" s="2">
        <v>45537</v>
      </c>
      <c r="C32" s="2" t="str">
        <f t="shared" si="1"/>
        <v>September</v>
      </c>
      <c r="D32" s="1">
        <f t="shared" si="2"/>
        <v>2024</v>
      </c>
      <c r="E32" s="2">
        <v>45334</v>
      </c>
      <c r="F32" s="1" t="s">
        <v>197</v>
      </c>
      <c r="G32" s="1" t="s">
        <v>70</v>
      </c>
      <c r="H32" s="1" t="s">
        <v>98</v>
      </c>
      <c r="I32" s="1" t="s">
        <v>71</v>
      </c>
      <c r="J32" s="1" t="s">
        <v>198</v>
      </c>
      <c r="K32" s="1" t="s">
        <v>199</v>
      </c>
      <c r="L32" s="1" t="s">
        <v>36</v>
      </c>
      <c r="M32" s="1" t="s">
        <v>99</v>
      </c>
      <c r="N32" s="1" t="s">
        <v>200</v>
      </c>
      <c r="O32" s="1" t="s">
        <v>58</v>
      </c>
      <c r="P32" s="1">
        <v>1</v>
      </c>
      <c r="Q32" s="1">
        <v>3421.77</v>
      </c>
      <c r="R32" s="1">
        <v>0.1</v>
      </c>
      <c r="S32" s="1">
        <v>3079.59</v>
      </c>
      <c r="T32" s="1">
        <f t="shared" si="3"/>
        <v>3079.5929999999998</v>
      </c>
      <c r="U32" s="1">
        <v>2001.89</v>
      </c>
      <c r="V32" s="3">
        <f>IF(T32=0,"",X32/T32)</f>
        <v>0.34994981479695525</v>
      </c>
      <c r="W32" s="1">
        <v>1077.7</v>
      </c>
      <c r="X32" s="1">
        <f>T32-U32</f>
        <v>1077.7029999999997</v>
      </c>
      <c r="Y32" s="1" t="s">
        <v>40</v>
      </c>
      <c r="Z32" s="1" t="s">
        <v>41</v>
      </c>
      <c r="AA32" s="4">
        <f t="shared" si="0"/>
        <v>-203</v>
      </c>
      <c r="AB32" s="2" t="str">
        <f t="shared" si="4"/>
        <v>Invalid</v>
      </c>
      <c r="AC32" s="2"/>
    </row>
    <row r="33" spans="1:29">
      <c r="A33" s="1" t="s">
        <v>201</v>
      </c>
      <c r="B33" s="2">
        <v>45823</v>
      </c>
      <c r="C33" s="2" t="str">
        <f t="shared" si="1"/>
        <v>June</v>
      </c>
      <c r="D33" s="1">
        <f t="shared" si="2"/>
        <v>2025</v>
      </c>
      <c r="E33" s="2">
        <v>45827</v>
      </c>
      <c r="F33" s="1" t="s">
        <v>202</v>
      </c>
      <c r="G33" s="1" t="s">
        <v>31</v>
      </c>
      <c r="H33" s="1" t="s">
        <v>45</v>
      </c>
      <c r="I33" s="1" t="s">
        <v>71</v>
      </c>
      <c r="J33" s="1" t="s">
        <v>80</v>
      </c>
      <c r="K33" s="1" t="s">
        <v>81</v>
      </c>
      <c r="L33" s="1" t="s">
        <v>36</v>
      </c>
      <c r="M33" s="1" t="s">
        <v>37</v>
      </c>
      <c r="N33" s="1" t="s">
        <v>203</v>
      </c>
      <c r="O33" s="1" t="s">
        <v>39</v>
      </c>
      <c r="P33" s="1">
        <v>9</v>
      </c>
      <c r="Q33" s="1">
        <v>3092.55</v>
      </c>
      <c r="R33" s="1">
        <v>0</v>
      </c>
      <c r="S33" s="1">
        <v>27832.95</v>
      </c>
      <c r="T33" s="1">
        <f t="shared" si="3"/>
        <v>27832.95</v>
      </c>
      <c r="U33" s="1">
        <v>17769.75</v>
      </c>
      <c r="V33" s="3">
        <f>IF(T33=0,"",X33/T33)</f>
        <v>0.36155707533696574</v>
      </c>
      <c r="W33" s="1">
        <v>10063.200000000001</v>
      </c>
      <c r="X33" s="1">
        <f>T33-U33</f>
        <v>10063.200000000001</v>
      </c>
      <c r="Y33" s="1" t="s">
        <v>163</v>
      </c>
      <c r="Z33" s="1" t="s">
        <v>111</v>
      </c>
      <c r="AA33" s="1">
        <f t="shared" si="0"/>
        <v>4</v>
      </c>
      <c r="AB33" s="2" t="str">
        <f t="shared" si="4"/>
        <v>Clean</v>
      </c>
      <c r="AC33" s="2"/>
    </row>
    <row r="34" spans="1:29">
      <c r="A34" s="1" t="s">
        <v>204</v>
      </c>
      <c r="B34" s="2">
        <v>45618</v>
      </c>
      <c r="C34" s="2" t="str">
        <f t="shared" si="1"/>
        <v>November</v>
      </c>
      <c r="D34" s="1">
        <f t="shared" si="2"/>
        <v>2024</v>
      </c>
      <c r="E34" s="2">
        <v>45622</v>
      </c>
      <c r="F34" s="1" t="s">
        <v>205</v>
      </c>
      <c r="G34" s="1" t="s">
        <v>136</v>
      </c>
      <c r="H34" s="1" t="s">
        <v>98</v>
      </c>
      <c r="I34" s="1" t="s">
        <v>62</v>
      </c>
      <c r="J34" s="1" t="s">
        <v>92</v>
      </c>
      <c r="K34" s="1" t="s">
        <v>93</v>
      </c>
      <c r="L34" s="1" t="s">
        <v>82</v>
      </c>
      <c r="M34" s="1" t="s">
        <v>179</v>
      </c>
      <c r="N34" s="1" t="s">
        <v>206</v>
      </c>
      <c r="O34" s="1" t="s">
        <v>39</v>
      </c>
      <c r="P34" s="1">
        <v>3</v>
      </c>
      <c r="Q34" s="1">
        <v>4001.25</v>
      </c>
      <c r="R34" s="1">
        <v>0</v>
      </c>
      <c r="S34" s="1">
        <v>9002.81</v>
      </c>
      <c r="T34" s="1">
        <f t="shared" si="3"/>
        <v>12003.75</v>
      </c>
      <c r="U34" s="1">
        <v>7529.92</v>
      </c>
      <c r="V34" s="3">
        <f>IF(T34=0,"",X34/T34)</f>
        <v>0.37270269707383108</v>
      </c>
      <c r="W34" s="1">
        <v>1472.89</v>
      </c>
      <c r="X34" s="1">
        <f>T34-U34</f>
        <v>4473.83</v>
      </c>
      <c r="Y34" s="1" t="s">
        <v>40</v>
      </c>
      <c r="Z34" s="1" t="s">
        <v>41</v>
      </c>
      <c r="AA34" s="1">
        <f t="shared" si="0"/>
        <v>4</v>
      </c>
      <c r="AB34" s="2" t="str">
        <f t="shared" si="4"/>
        <v>Clean</v>
      </c>
      <c r="AC34" s="2"/>
    </row>
    <row r="35" spans="1:29">
      <c r="A35" s="1" t="s">
        <v>207</v>
      </c>
      <c r="B35" s="2">
        <v>45495</v>
      </c>
      <c r="C35" s="2" t="str">
        <f t="shared" si="1"/>
        <v>July</v>
      </c>
      <c r="D35" s="1">
        <f t="shared" si="2"/>
        <v>2024</v>
      </c>
      <c r="E35" s="2">
        <v>45500</v>
      </c>
      <c r="F35" s="1" t="s">
        <v>208</v>
      </c>
      <c r="G35" s="1" t="s">
        <v>122</v>
      </c>
      <c r="H35" s="1" t="s">
        <v>103</v>
      </c>
      <c r="I35" s="1" t="s">
        <v>71</v>
      </c>
      <c r="J35" s="1" t="s">
        <v>198</v>
      </c>
      <c r="K35" s="1" t="s">
        <v>199</v>
      </c>
      <c r="L35" s="1" t="s">
        <v>49</v>
      </c>
      <c r="M35" s="1" t="s">
        <v>50</v>
      </c>
      <c r="N35" s="1" t="s">
        <v>209</v>
      </c>
      <c r="O35" s="1" t="s">
        <v>52</v>
      </c>
      <c r="P35" s="1">
        <v>7</v>
      </c>
      <c r="Q35" s="1">
        <v>492.41</v>
      </c>
      <c r="R35" s="1">
        <v>0.25</v>
      </c>
      <c r="S35" s="1">
        <v>2585.15</v>
      </c>
      <c r="T35" s="1">
        <f t="shared" si="3"/>
        <v>2585.1525000000001</v>
      </c>
      <c r="U35" s="1">
        <v>2070.73</v>
      </c>
      <c r="V35" s="3">
        <f>IF(T35=0,"",X35/T35)</f>
        <v>0.19899116203009304</v>
      </c>
      <c r="W35" s="1">
        <v>514.41999999999996</v>
      </c>
      <c r="X35" s="1">
        <f>T35-U35</f>
        <v>514.42250000000013</v>
      </c>
      <c r="Y35" s="1" t="s">
        <v>40</v>
      </c>
      <c r="Z35" s="1" t="s">
        <v>41</v>
      </c>
      <c r="AA35" s="1">
        <f t="shared" si="0"/>
        <v>5</v>
      </c>
      <c r="AB35" s="2" t="str">
        <f t="shared" si="4"/>
        <v>Clean</v>
      </c>
      <c r="AC35" s="2"/>
    </row>
    <row r="36" spans="1:29">
      <c r="A36" s="1" t="s">
        <v>210</v>
      </c>
      <c r="B36" s="2">
        <v>45688</v>
      </c>
      <c r="C36" s="2" t="str">
        <f t="shared" si="1"/>
        <v>January</v>
      </c>
      <c r="D36" s="1">
        <f t="shared" si="2"/>
        <v>2025</v>
      </c>
      <c r="E36" s="2">
        <v>45779</v>
      </c>
      <c r="F36" s="1" t="s">
        <v>211</v>
      </c>
      <c r="G36" s="1" t="s">
        <v>122</v>
      </c>
      <c r="H36" s="1" t="s">
        <v>103</v>
      </c>
      <c r="I36" s="1" t="s">
        <v>46</v>
      </c>
      <c r="J36" s="1" t="s">
        <v>107</v>
      </c>
      <c r="K36" s="1" t="s">
        <v>108</v>
      </c>
      <c r="L36" s="1" t="s">
        <v>49</v>
      </c>
      <c r="M36" s="1" t="s">
        <v>74</v>
      </c>
      <c r="N36" s="1" t="s">
        <v>212</v>
      </c>
      <c r="O36" s="1" t="s">
        <v>213</v>
      </c>
      <c r="P36" s="1">
        <v>2</v>
      </c>
      <c r="Q36" s="1">
        <v>4159.6899999999996</v>
      </c>
      <c r="R36" s="1">
        <v>0.2</v>
      </c>
      <c r="S36" s="1">
        <v>6655.5</v>
      </c>
      <c r="T36" s="1">
        <f t="shared" si="3"/>
        <v>6655.5039999999999</v>
      </c>
      <c r="U36" s="1">
        <v>4340.21</v>
      </c>
      <c r="V36" s="3">
        <f>IF(T36=0,"",X36/T36)</f>
        <v>0.34787658455317583</v>
      </c>
      <c r="W36" s="1">
        <v>2607.3200000000002</v>
      </c>
      <c r="X36" s="1">
        <f>T36-U36</f>
        <v>2315.2939999999999</v>
      </c>
      <c r="Y36" s="1" t="s">
        <v>40</v>
      </c>
      <c r="Z36" s="1" t="s">
        <v>41</v>
      </c>
      <c r="AA36" s="1">
        <f t="shared" si="0"/>
        <v>91</v>
      </c>
      <c r="AB36" s="2" t="str">
        <f t="shared" si="4"/>
        <v>Warning</v>
      </c>
      <c r="AC36" s="2"/>
    </row>
    <row r="37" spans="1:29">
      <c r="A37" s="1" t="s">
        <v>214</v>
      </c>
      <c r="B37" s="2">
        <v>45441</v>
      </c>
      <c r="C37" s="2" t="str">
        <f t="shared" si="1"/>
        <v>May</v>
      </c>
      <c r="D37" s="1">
        <f t="shared" si="2"/>
        <v>2024</v>
      </c>
      <c r="E37" s="2">
        <v>45441</v>
      </c>
      <c r="F37" s="1" t="s">
        <v>215</v>
      </c>
      <c r="G37" s="1" t="s">
        <v>140</v>
      </c>
      <c r="H37" s="1" t="s">
        <v>45</v>
      </c>
      <c r="I37" s="1" t="s">
        <v>71</v>
      </c>
      <c r="J37" s="1" t="s">
        <v>188</v>
      </c>
      <c r="K37" s="1" t="s">
        <v>189</v>
      </c>
      <c r="L37" s="1" t="s">
        <v>49</v>
      </c>
      <c r="M37" s="1" t="s">
        <v>166</v>
      </c>
      <c r="N37" s="1" t="s">
        <v>216</v>
      </c>
      <c r="O37" s="1" t="s">
        <v>39</v>
      </c>
      <c r="P37" s="1">
        <v>8</v>
      </c>
      <c r="Q37" s="1">
        <v>2507.12</v>
      </c>
      <c r="R37" s="1">
        <v>0.05</v>
      </c>
      <c r="S37" s="1">
        <v>19054.11</v>
      </c>
      <c r="T37" s="1">
        <f t="shared" si="3"/>
        <v>19054.111999999997</v>
      </c>
      <c r="U37" s="1">
        <v>15313.83</v>
      </c>
      <c r="V37" s="3">
        <f>IF(T37=0,"",X37/T37)</f>
        <v>0.19629789097492437</v>
      </c>
      <c r="W37" s="1">
        <v>3740.28</v>
      </c>
      <c r="X37" s="1">
        <f>T37-U37</f>
        <v>3740.2819999999974</v>
      </c>
      <c r="Y37" s="1" t="s">
        <v>119</v>
      </c>
      <c r="Z37" s="1" t="s">
        <v>111</v>
      </c>
      <c r="AA37" s="1">
        <f t="shared" si="0"/>
        <v>0</v>
      </c>
      <c r="AB37" s="2" t="str">
        <f t="shared" si="4"/>
        <v>Clean</v>
      </c>
      <c r="AC37" s="2"/>
    </row>
    <row r="38" spans="1:29">
      <c r="A38" s="1" t="s">
        <v>217</v>
      </c>
      <c r="B38" s="2">
        <v>45590</v>
      </c>
      <c r="C38" s="2" t="str">
        <f t="shared" si="1"/>
        <v>October</v>
      </c>
      <c r="D38" s="1">
        <f t="shared" si="2"/>
        <v>2024</v>
      </c>
      <c r="E38" s="2">
        <v>45593</v>
      </c>
      <c r="F38" s="1" t="s">
        <v>218</v>
      </c>
      <c r="G38" s="1" t="s">
        <v>149</v>
      </c>
      <c r="H38" s="1" t="s">
        <v>98</v>
      </c>
      <c r="I38" s="1" t="s">
        <v>71</v>
      </c>
      <c r="J38" s="1" t="s">
        <v>72</v>
      </c>
      <c r="K38" s="1" t="s">
        <v>73</v>
      </c>
      <c r="L38" s="1" t="s">
        <v>49</v>
      </c>
      <c r="M38" s="1" t="s">
        <v>166</v>
      </c>
      <c r="N38" s="1" t="s">
        <v>219</v>
      </c>
      <c r="O38" s="1" t="s">
        <v>39</v>
      </c>
      <c r="P38" s="1">
        <v>3</v>
      </c>
      <c r="Q38" s="1">
        <v>3126.47</v>
      </c>
      <c r="R38" s="1">
        <v>0</v>
      </c>
      <c r="S38" s="1">
        <v>9379.41</v>
      </c>
      <c r="T38" s="1">
        <f t="shared" si="3"/>
        <v>9379.41</v>
      </c>
      <c r="U38" s="1">
        <v>6670.85</v>
      </c>
      <c r="V38" s="3">
        <f>IF(T38=0,"",X38/T38)</f>
        <v>0.28877722585962223</v>
      </c>
      <c r="W38" s="1">
        <v>2708.56</v>
      </c>
      <c r="X38" s="1">
        <f>T38-U38</f>
        <v>2708.5599999999995</v>
      </c>
      <c r="Y38" s="1" t="s">
        <v>40</v>
      </c>
      <c r="Z38" s="1" t="s">
        <v>111</v>
      </c>
      <c r="AA38" s="1">
        <f t="shared" si="0"/>
        <v>3</v>
      </c>
      <c r="AB38" s="2" t="str">
        <f t="shared" si="4"/>
        <v>Clean</v>
      </c>
      <c r="AC38" s="2"/>
    </row>
    <row r="39" spans="1:29">
      <c r="A39" s="1" t="s">
        <v>220</v>
      </c>
      <c r="B39" s="2">
        <v>45867</v>
      </c>
      <c r="C39" s="2" t="str">
        <f t="shared" si="1"/>
        <v>July</v>
      </c>
      <c r="D39" s="1">
        <f t="shared" si="2"/>
        <v>2025</v>
      </c>
      <c r="E39" s="2">
        <v>45867</v>
      </c>
      <c r="F39" s="1" t="s">
        <v>221</v>
      </c>
      <c r="G39" s="1" t="s">
        <v>170</v>
      </c>
      <c r="H39" s="1" t="s">
        <v>32</v>
      </c>
      <c r="I39" s="1" t="s">
        <v>71</v>
      </c>
      <c r="J39" s="1" t="s">
        <v>72</v>
      </c>
      <c r="K39" s="1" t="s">
        <v>73</v>
      </c>
      <c r="L39" s="1" t="s">
        <v>82</v>
      </c>
      <c r="M39" s="1" t="s">
        <v>88</v>
      </c>
      <c r="N39" s="1" t="s">
        <v>222</v>
      </c>
      <c r="O39" s="1" t="s">
        <v>67</v>
      </c>
      <c r="P39" s="1">
        <v>4</v>
      </c>
      <c r="Q39" s="1">
        <v>1327.54</v>
      </c>
      <c r="R39" s="1">
        <v>0.2</v>
      </c>
      <c r="S39" s="1">
        <v>4248.13</v>
      </c>
      <c r="T39" s="1">
        <f t="shared" si="3"/>
        <v>4248.1279999999997</v>
      </c>
      <c r="U39" s="1">
        <v>3321.09</v>
      </c>
      <c r="V39" s="3">
        <f>IF(T39=0,"",X39/T39)</f>
        <v>0.21822270892025844</v>
      </c>
      <c r="W39" s="1">
        <v>927.04</v>
      </c>
      <c r="X39" s="1">
        <f>T39-U39</f>
        <v>927.03799999999956</v>
      </c>
      <c r="Y39" s="1" t="s">
        <v>40</v>
      </c>
      <c r="Z39" s="1" t="s">
        <v>41</v>
      </c>
      <c r="AA39" s="1">
        <f t="shared" si="0"/>
        <v>0</v>
      </c>
      <c r="AB39" s="2" t="str">
        <f t="shared" si="4"/>
        <v>Clean</v>
      </c>
      <c r="AC39" s="2"/>
    </row>
    <row r="40" spans="1:29">
      <c r="A40" s="1" t="s">
        <v>223</v>
      </c>
      <c r="B40" s="2">
        <v>45460</v>
      </c>
      <c r="C40" s="2" t="str">
        <f t="shared" si="1"/>
        <v>June</v>
      </c>
      <c r="D40" s="1">
        <f t="shared" si="2"/>
        <v>2024</v>
      </c>
      <c r="E40" s="2">
        <v>45465</v>
      </c>
      <c r="F40" s="1" t="s">
        <v>224</v>
      </c>
      <c r="G40" s="1" t="s">
        <v>136</v>
      </c>
      <c r="H40" s="1" t="s">
        <v>98</v>
      </c>
      <c r="I40" s="1" t="s">
        <v>71</v>
      </c>
      <c r="J40" s="1" t="s">
        <v>188</v>
      </c>
      <c r="K40" s="1" t="s">
        <v>189</v>
      </c>
      <c r="L40" s="1" t="s">
        <v>82</v>
      </c>
      <c r="M40" s="1" t="s">
        <v>179</v>
      </c>
      <c r="N40" s="1" t="s">
        <v>225</v>
      </c>
      <c r="O40" s="1" t="s">
        <v>58</v>
      </c>
      <c r="P40" s="1">
        <v>7</v>
      </c>
      <c r="Q40" s="1">
        <v>2210.6799999999998</v>
      </c>
      <c r="R40" s="1">
        <v>0.1</v>
      </c>
      <c r="S40" s="1">
        <v>13927.28</v>
      </c>
      <c r="T40" s="1">
        <f t="shared" si="3"/>
        <v>13927.284</v>
      </c>
      <c r="U40" s="1">
        <v>10504.87</v>
      </c>
      <c r="V40" s="3">
        <f>IF(T40=0,"",X40/T40)</f>
        <v>0.24573448778670692</v>
      </c>
      <c r="W40" s="1">
        <v>3422.41</v>
      </c>
      <c r="X40" s="1">
        <f>T40-U40</f>
        <v>3422.4139999999989</v>
      </c>
      <c r="Y40" s="1" t="s">
        <v>40</v>
      </c>
      <c r="Z40" s="1" t="s">
        <v>41</v>
      </c>
      <c r="AA40" s="1">
        <f t="shared" si="0"/>
        <v>5</v>
      </c>
      <c r="AB40" s="2" t="str">
        <f t="shared" si="4"/>
        <v>Clean</v>
      </c>
      <c r="AC40" s="2"/>
    </row>
    <row r="41" spans="1:29">
      <c r="A41" s="1" t="s">
        <v>226</v>
      </c>
      <c r="B41" s="2">
        <v>45637</v>
      </c>
      <c r="C41" s="2" t="str">
        <f t="shared" si="1"/>
        <v>December</v>
      </c>
      <c r="D41" s="1">
        <f t="shared" si="2"/>
        <v>2024</v>
      </c>
      <c r="E41" s="2">
        <v>45608</v>
      </c>
      <c r="F41" s="1" t="s">
        <v>227</v>
      </c>
      <c r="G41" s="1" t="s">
        <v>44</v>
      </c>
      <c r="H41" s="1" t="s">
        <v>45</v>
      </c>
      <c r="I41" s="1" t="s">
        <v>71</v>
      </c>
      <c r="J41" s="1" t="s">
        <v>80</v>
      </c>
      <c r="K41" s="1" t="s">
        <v>81</v>
      </c>
      <c r="L41" s="1" t="s">
        <v>82</v>
      </c>
      <c r="M41" s="1" t="s">
        <v>88</v>
      </c>
      <c r="N41" s="1" t="s">
        <v>228</v>
      </c>
      <c r="O41" s="1" t="s">
        <v>58</v>
      </c>
      <c r="P41" s="1">
        <v>4</v>
      </c>
      <c r="Q41" s="1">
        <v>1370.92</v>
      </c>
      <c r="R41" s="1">
        <v>0.1</v>
      </c>
      <c r="S41" s="1">
        <v>4935.3100000000004</v>
      </c>
      <c r="T41" s="1">
        <f t="shared" si="3"/>
        <v>4935.3120000000008</v>
      </c>
      <c r="U41" s="1">
        <v>3374.77</v>
      </c>
      <c r="V41" s="3">
        <f>IF(T41=0,"",X41/T41)</f>
        <v>0.31619925954022776</v>
      </c>
      <c r="W41" s="1">
        <v>1560.54</v>
      </c>
      <c r="X41" s="1">
        <f>T41-U41</f>
        <v>1560.5420000000008</v>
      </c>
      <c r="Y41" s="1" t="s">
        <v>119</v>
      </c>
      <c r="Z41" s="1" t="s">
        <v>111</v>
      </c>
      <c r="AA41" s="4">
        <f t="shared" si="0"/>
        <v>-29</v>
      </c>
      <c r="AB41" s="2" t="str">
        <f t="shared" si="4"/>
        <v>Invalid</v>
      </c>
      <c r="AC41" s="2"/>
    </row>
    <row r="42" spans="1:29">
      <c r="A42" s="1" t="s">
        <v>229</v>
      </c>
      <c r="B42" s="2">
        <v>45575</v>
      </c>
      <c r="C42" s="2" t="str">
        <f t="shared" si="1"/>
        <v>October</v>
      </c>
      <c r="D42" s="1">
        <f t="shared" si="2"/>
        <v>2024</v>
      </c>
      <c r="E42" s="2">
        <v>45581</v>
      </c>
      <c r="F42" s="1" t="s">
        <v>230</v>
      </c>
      <c r="G42" s="1" t="s">
        <v>55</v>
      </c>
      <c r="H42" s="1" t="s">
        <v>103</v>
      </c>
      <c r="I42" s="1" t="s">
        <v>71</v>
      </c>
      <c r="J42" s="1" t="s">
        <v>34</v>
      </c>
      <c r="K42" s="1" t="s">
        <v>117</v>
      </c>
      <c r="L42" s="1" t="s">
        <v>82</v>
      </c>
      <c r="M42" s="1" t="s">
        <v>88</v>
      </c>
      <c r="N42" s="1" t="s">
        <v>231</v>
      </c>
      <c r="O42" s="1" t="s">
        <v>67</v>
      </c>
      <c r="P42" s="1">
        <v>7</v>
      </c>
      <c r="Q42" s="1">
        <v>2509.27</v>
      </c>
      <c r="R42" s="1">
        <v>0.2</v>
      </c>
      <c r="S42" s="1">
        <v>14051.91</v>
      </c>
      <c r="T42" s="1">
        <f t="shared" si="3"/>
        <v>14051.912</v>
      </c>
      <c r="U42" s="1">
        <v>11990.37</v>
      </c>
      <c r="V42" s="3">
        <f>IF(T42=0,"",X42/T42)</f>
        <v>0.14670900301681361</v>
      </c>
      <c r="W42" s="1">
        <v>2061.54</v>
      </c>
      <c r="X42" s="1">
        <f>T42-U42</f>
        <v>2061.5419999999995</v>
      </c>
      <c r="Y42" s="1" t="s">
        <v>40</v>
      </c>
      <c r="Z42" s="1" t="s">
        <v>41</v>
      </c>
      <c r="AA42" s="1">
        <f t="shared" si="0"/>
        <v>6</v>
      </c>
      <c r="AB42" s="2" t="str">
        <f t="shared" si="4"/>
        <v>Clean</v>
      </c>
      <c r="AC42" s="2"/>
    </row>
    <row r="43" spans="1:29">
      <c r="A43" s="1" t="s">
        <v>232</v>
      </c>
      <c r="B43" s="2">
        <v>45363</v>
      </c>
      <c r="C43" s="2" t="str">
        <f t="shared" si="1"/>
        <v>March</v>
      </c>
      <c r="D43" s="1">
        <f t="shared" si="2"/>
        <v>2024</v>
      </c>
      <c r="E43" s="2">
        <v>45368</v>
      </c>
      <c r="F43" s="1" t="s">
        <v>233</v>
      </c>
      <c r="G43" s="1" t="s">
        <v>136</v>
      </c>
      <c r="H43" s="1" t="s">
        <v>45</v>
      </c>
      <c r="I43" s="1" t="s">
        <v>46</v>
      </c>
      <c r="J43" s="1" t="s">
        <v>47</v>
      </c>
      <c r="K43" s="1" t="s">
        <v>48</v>
      </c>
      <c r="L43" s="1" t="s">
        <v>49</v>
      </c>
      <c r="M43" s="1" t="s">
        <v>166</v>
      </c>
      <c r="N43" s="1" t="s">
        <v>234</v>
      </c>
      <c r="O43" s="1" t="s">
        <v>52</v>
      </c>
      <c r="P43" s="1">
        <v>8</v>
      </c>
      <c r="Q43" s="1">
        <v>855.81</v>
      </c>
      <c r="R43" s="1">
        <v>0</v>
      </c>
      <c r="S43" s="1">
        <v>6846.48</v>
      </c>
      <c r="T43" s="1">
        <f t="shared" si="3"/>
        <v>6846.48</v>
      </c>
      <c r="U43" s="1">
        <v>4239.8900000000003</v>
      </c>
      <c r="V43" s="3">
        <f>IF(T43=0,"",X43/T43)</f>
        <v>0.38071972750961069</v>
      </c>
      <c r="W43" s="1">
        <v>2606.59</v>
      </c>
      <c r="X43" s="1">
        <f>T43-U43</f>
        <v>2606.5899999999992</v>
      </c>
      <c r="Y43" s="1" t="s">
        <v>119</v>
      </c>
      <c r="Z43" s="1" t="s">
        <v>76</v>
      </c>
      <c r="AA43" s="1">
        <f t="shared" si="0"/>
        <v>5</v>
      </c>
      <c r="AB43" s="2" t="str">
        <f t="shared" si="4"/>
        <v>Clean</v>
      </c>
      <c r="AC43" s="2"/>
    </row>
    <row r="44" spans="1:29">
      <c r="A44" s="1" t="s">
        <v>235</v>
      </c>
      <c r="B44" s="2">
        <v>45940</v>
      </c>
      <c r="C44" s="2" t="str">
        <f t="shared" si="1"/>
        <v>October</v>
      </c>
      <c r="D44" s="1">
        <f t="shared" si="2"/>
        <v>2025</v>
      </c>
      <c r="E44" s="2">
        <v>45945</v>
      </c>
      <c r="F44" s="1" t="s">
        <v>236</v>
      </c>
      <c r="G44" s="1" t="s">
        <v>61</v>
      </c>
      <c r="H44" s="1" t="s">
        <v>98</v>
      </c>
      <c r="I44" s="1" t="s">
        <v>46</v>
      </c>
      <c r="J44" s="1" t="s">
        <v>237</v>
      </c>
      <c r="K44" s="1" t="s">
        <v>238</v>
      </c>
      <c r="L44" s="1" t="s">
        <v>82</v>
      </c>
      <c r="M44" s="1" t="s">
        <v>179</v>
      </c>
      <c r="N44" s="1" t="s">
        <v>239</v>
      </c>
      <c r="O44" s="1" t="s">
        <v>67</v>
      </c>
      <c r="P44" s="1">
        <v>8</v>
      </c>
      <c r="Q44" s="1">
        <v>979.87</v>
      </c>
      <c r="R44" s="1">
        <v>0.05</v>
      </c>
      <c r="S44" s="1">
        <v>7447.01</v>
      </c>
      <c r="T44" s="1">
        <f t="shared" si="3"/>
        <v>7447.0119999999997</v>
      </c>
      <c r="U44" s="1">
        <v>4496.22</v>
      </c>
      <c r="V44" s="3">
        <f>IF(T44=0,"",X44/T44)</f>
        <v>0.39623838393170302</v>
      </c>
      <c r="W44" s="1">
        <v>2950.79</v>
      </c>
      <c r="X44" s="1">
        <f>T44-U44</f>
        <v>2950.7919999999995</v>
      </c>
      <c r="Y44" s="1" t="s">
        <v>40</v>
      </c>
      <c r="Z44" s="1" t="s">
        <v>41</v>
      </c>
      <c r="AA44" s="1">
        <f t="shared" si="0"/>
        <v>5</v>
      </c>
      <c r="AB44" s="2" t="str">
        <f t="shared" si="4"/>
        <v>Clean</v>
      </c>
      <c r="AC44" s="2"/>
    </row>
    <row r="45" spans="1:29">
      <c r="A45" s="1" t="s">
        <v>240</v>
      </c>
      <c r="B45" s="2">
        <v>45481</v>
      </c>
      <c r="C45" s="2" t="str">
        <f t="shared" si="1"/>
        <v>July</v>
      </c>
      <c r="D45" s="1">
        <f t="shared" si="2"/>
        <v>2024</v>
      </c>
      <c r="E45" s="2">
        <v>45487</v>
      </c>
      <c r="F45" s="1" t="s">
        <v>241</v>
      </c>
      <c r="G45" s="1" t="s">
        <v>122</v>
      </c>
      <c r="H45" s="1" t="s">
        <v>45</v>
      </c>
      <c r="I45" s="1" t="s">
        <v>46</v>
      </c>
      <c r="J45" s="1" t="s">
        <v>47</v>
      </c>
      <c r="K45" s="1" t="s">
        <v>48</v>
      </c>
      <c r="L45" s="1" t="s">
        <v>49</v>
      </c>
      <c r="M45" s="1" t="s">
        <v>65</v>
      </c>
      <c r="N45" s="1" t="s">
        <v>242</v>
      </c>
      <c r="O45" s="1" t="s">
        <v>52</v>
      </c>
      <c r="P45" s="1">
        <v>3</v>
      </c>
      <c r="Q45" s="1">
        <v>1010.23</v>
      </c>
      <c r="R45" s="1">
        <v>0</v>
      </c>
      <c r="S45" s="1">
        <v>3030.69</v>
      </c>
      <c r="T45" s="1">
        <f t="shared" si="3"/>
        <v>3030.69</v>
      </c>
      <c r="U45" s="1">
        <v>1721.08</v>
      </c>
      <c r="V45" s="3">
        <f>IF(T45=0,"",X45/T45)</f>
        <v>0.43211611877163292</v>
      </c>
      <c r="W45" s="1">
        <v>1309.6099999999999</v>
      </c>
      <c r="X45" s="1">
        <f>T45-U45</f>
        <v>1309.6100000000001</v>
      </c>
      <c r="Y45" s="1" t="s">
        <v>40</v>
      </c>
      <c r="Z45" s="1" t="s">
        <v>41</v>
      </c>
      <c r="AA45" s="1">
        <f t="shared" si="0"/>
        <v>6</v>
      </c>
      <c r="AB45" s="2" t="str">
        <f t="shared" si="4"/>
        <v>Clean</v>
      </c>
      <c r="AC45" s="2"/>
    </row>
    <row r="46" spans="1:29">
      <c r="A46" s="1" t="s">
        <v>243</v>
      </c>
      <c r="B46" s="2">
        <v>45465</v>
      </c>
      <c r="C46" s="2" t="str">
        <f t="shared" si="1"/>
        <v>June</v>
      </c>
      <c r="D46" s="1">
        <f t="shared" si="2"/>
        <v>2024</v>
      </c>
      <c r="E46" s="2">
        <v>45468</v>
      </c>
      <c r="F46" s="1" t="s">
        <v>244</v>
      </c>
      <c r="G46" s="1" t="s">
        <v>149</v>
      </c>
      <c r="H46" s="1" t="s">
        <v>45</v>
      </c>
      <c r="I46" s="1" t="s">
        <v>33</v>
      </c>
      <c r="J46" s="1" t="s">
        <v>245</v>
      </c>
      <c r="K46" s="1" t="s">
        <v>246</v>
      </c>
      <c r="L46" s="1" t="s">
        <v>49</v>
      </c>
      <c r="M46" s="1" t="s">
        <v>74</v>
      </c>
      <c r="N46" s="1" t="s">
        <v>247</v>
      </c>
      <c r="O46" s="1" t="s">
        <v>67</v>
      </c>
      <c r="P46" s="1">
        <v>9</v>
      </c>
      <c r="Q46" s="1">
        <v>3329.77</v>
      </c>
      <c r="R46" s="1">
        <v>0.1</v>
      </c>
      <c r="S46" s="1">
        <v>26971.14</v>
      </c>
      <c r="T46" s="1">
        <f t="shared" si="3"/>
        <v>26971.137000000002</v>
      </c>
      <c r="U46" s="1">
        <v>17376.2</v>
      </c>
      <c r="V46" s="3">
        <f>IF(T46=0,"",X46/T46)</f>
        <v>0.35574833200394929</v>
      </c>
      <c r="W46" s="1">
        <v>9594.94</v>
      </c>
      <c r="X46" s="1">
        <f>T46-U46</f>
        <v>9594.9370000000017</v>
      </c>
      <c r="Y46" s="1" t="s">
        <v>40</v>
      </c>
      <c r="Z46" s="1" t="s">
        <v>41</v>
      </c>
      <c r="AA46" s="1">
        <f t="shared" si="0"/>
        <v>3</v>
      </c>
      <c r="AB46" s="2" t="str">
        <f t="shared" si="4"/>
        <v>Clean</v>
      </c>
      <c r="AC46" s="2"/>
    </row>
    <row r="47" spans="1:29">
      <c r="A47" s="1" t="s">
        <v>248</v>
      </c>
      <c r="B47" s="2">
        <v>45309</v>
      </c>
      <c r="C47" s="2" t="str">
        <f t="shared" si="1"/>
        <v>January</v>
      </c>
      <c r="D47" s="1">
        <f t="shared" si="2"/>
        <v>2024</v>
      </c>
      <c r="E47" s="2">
        <v>45315</v>
      </c>
      <c r="F47" s="1" t="s">
        <v>249</v>
      </c>
      <c r="G47" s="1" t="s">
        <v>55</v>
      </c>
      <c r="H47" s="1" t="s">
        <v>103</v>
      </c>
      <c r="I47" s="1" t="s">
        <v>46</v>
      </c>
      <c r="J47" s="1" t="s">
        <v>153</v>
      </c>
      <c r="K47" s="1" t="s">
        <v>154</v>
      </c>
      <c r="L47" s="1" t="s">
        <v>36</v>
      </c>
      <c r="M47" s="1" t="s">
        <v>56</v>
      </c>
      <c r="N47" s="1" t="s">
        <v>250</v>
      </c>
      <c r="O47" s="1" t="s">
        <v>39</v>
      </c>
      <c r="P47" s="1">
        <v>8</v>
      </c>
      <c r="Q47" s="1">
        <v>3927.82</v>
      </c>
      <c r="R47" s="1">
        <v>0.05</v>
      </c>
      <c r="S47" s="1">
        <v>29851.43</v>
      </c>
      <c r="T47" s="1">
        <f t="shared" si="3"/>
        <v>29851.432000000001</v>
      </c>
      <c r="U47" s="1">
        <v>17487.48</v>
      </c>
      <c r="V47" s="3">
        <f>IF(T47=0,"",X47/T47)</f>
        <v>0.41418287739094062</v>
      </c>
      <c r="W47" s="1">
        <v>12363.95</v>
      </c>
      <c r="X47" s="1">
        <f>T47-U47</f>
        <v>12363.952000000001</v>
      </c>
      <c r="Y47" s="1" t="s">
        <v>119</v>
      </c>
      <c r="Z47" s="1" t="s">
        <v>111</v>
      </c>
      <c r="AA47" s="1">
        <f t="shared" si="0"/>
        <v>6</v>
      </c>
      <c r="AB47" s="2" t="str">
        <f t="shared" si="4"/>
        <v>Clean</v>
      </c>
      <c r="AC47" s="2"/>
    </row>
    <row r="48" spans="1:29">
      <c r="A48" s="1" t="s">
        <v>251</v>
      </c>
      <c r="B48" s="2">
        <v>45492</v>
      </c>
      <c r="C48" s="2" t="str">
        <f t="shared" si="1"/>
        <v>July</v>
      </c>
      <c r="D48" s="1">
        <f t="shared" si="2"/>
        <v>2024</v>
      </c>
      <c r="E48" s="2">
        <v>45492</v>
      </c>
      <c r="F48" s="1" t="s">
        <v>252</v>
      </c>
      <c r="G48" s="1" t="s">
        <v>70</v>
      </c>
      <c r="H48" s="1" t="s">
        <v>45</v>
      </c>
      <c r="I48" s="1" t="s">
        <v>62</v>
      </c>
      <c r="J48" s="1" t="s">
        <v>193</v>
      </c>
      <c r="K48" s="1" t="s">
        <v>194</v>
      </c>
      <c r="L48" s="1" t="s">
        <v>49</v>
      </c>
      <c r="M48" s="1" t="s">
        <v>166</v>
      </c>
      <c r="N48" s="1" t="s">
        <v>253</v>
      </c>
      <c r="O48" s="1" t="s">
        <v>67</v>
      </c>
      <c r="P48" s="1">
        <v>9</v>
      </c>
      <c r="Q48" s="1">
        <v>2386.79</v>
      </c>
      <c r="R48" s="1">
        <v>0.25</v>
      </c>
      <c r="S48" s="1">
        <v>16110.83</v>
      </c>
      <c r="T48" s="1">
        <f t="shared" si="3"/>
        <v>16110.8325</v>
      </c>
      <c r="U48" s="1">
        <v>10680.03</v>
      </c>
      <c r="V48" s="3">
        <f>IF(T48=0,"",X48/T48)</f>
        <v>0.33709012243780695</v>
      </c>
      <c r="W48" s="1">
        <v>5430.8</v>
      </c>
      <c r="X48" s="1">
        <f>T48-U48</f>
        <v>5430.8024999999998</v>
      </c>
      <c r="Y48" s="1" t="s">
        <v>110</v>
      </c>
      <c r="Z48" s="1" t="s">
        <v>111</v>
      </c>
      <c r="AA48" s="1">
        <f t="shared" si="0"/>
        <v>0</v>
      </c>
      <c r="AB48" s="2" t="str">
        <f t="shared" si="4"/>
        <v>Clean</v>
      </c>
      <c r="AC48" s="2"/>
    </row>
    <row r="49" spans="1:29">
      <c r="A49" s="1" t="s">
        <v>254</v>
      </c>
      <c r="B49" s="2">
        <v>45634</v>
      </c>
      <c r="C49" s="2" t="str">
        <f t="shared" si="1"/>
        <v>December</v>
      </c>
      <c r="D49" s="1">
        <f t="shared" si="2"/>
        <v>2024</v>
      </c>
      <c r="E49" s="2">
        <v>45634</v>
      </c>
      <c r="F49" s="1" t="s">
        <v>255</v>
      </c>
      <c r="G49" s="1" t="s">
        <v>126</v>
      </c>
      <c r="H49" s="1" t="s">
        <v>98</v>
      </c>
      <c r="I49" s="1" t="s">
        <v>62</v>
      </c>
      <c r="J49" s="1" t="s">
        <v>256</v>
      </c>
      <c r="K49" s="1" t="s">
        <v>257</v>
      </c>
      <c r="L49" s="1" t="s">
        <v>36</v>
      </c>
      <c r="M49" s="1" t="s">
        <v>132</v>
      </c>
      <c r="N49" s="1" t="s">
        <v>258</v>
      </c>
      <c r="O49" s="1" t="s">
        <v>67</v>
      </c>
      <c r="P49" s="1">
        <v>8</v>
      </c>
      <c r="Q49" s="1">
        <v>2445.31</v>
      </c>
      <c r="R49" s="1">
        <v>0.1</v>
      </c>
      <c r="S49" s="1">
        <v>17606.23</v>
      </c>
      <c r="T49" s="1">
        <f t="shared" si="3"/>
        <v>17606.232</v>
      </c>
      <c r="U49" s="1">
        <v>12438.96</v>
      </c>
      <c r="V49" s="3">
        <f>IF(T49=0,"",X49/T49)</f>
        <v>0.29349107747756592</v>
      </c>
      <c r="W49" s="1">
        <v>5167.2700000000004</v>
      </c>
      <c r="X49" s="1">
        <f>T49-U49</f>
        <v>5167.2720000000008</v>
      </c>
      <c r="Y49" s="1" t="s">
        <v>40</v>
      </c>
      <c r="Z49" s="1" t="s">
        <v>41</v>
      </c>
      <c r="AA49" s="1">
        <f t="shared" si="0"/>
        <v>0</v>
      </c>
      <c r="AB49" s="2" t="str">
        <f t="shared" si="4"/>
        <v>Clean</v>
      </c>
      <c r="AC49" s="2"/>
    </row>
    <row r="50" spans="1:29">
      <c r="A50" s="1" t="s">
        <v>259</v>
      </c>
      <c r="B50" s="2">
        <v>45687</v>
      </c>
      <c r="C50" s="2" t="str">
        <f t="shared" si="1"/>
        <v>January</v>
      </c>
      <c r="D50" s="1">
        <f t="shared" si="2"/>
        <v>2025</v>
      </c>
      <c r="E50" s="2">
        <v>45779</v>
      </c>
      <c r="F50" s="1" t="s">
        <v>260</v>
      </c>
      <c r="G50" s="1" t="s">
        <v>87</v>
      </c>
      <c r="H50" s="1" t="s">
        <v>98</v>
      </c>
      <c r="I50" s="1" t="s">
        <v>71</v>
      </c>
      <c r="J50" s="1" t="s">
        <v>72</v>
      </c>
      <c r="K50" s="1" t="s">
        <v>73</v>
      </c>
      <c r="L50" s="1" t="s">
        <v>49</v>
      </c>
      <c r="M50" s="1" t="s">
        <v>74</v>
      </c>
      <c r="N50" s="1" t="s">
        <v>261</v>
      </c>
      <c r="O50" s="1" t="s">
        <v>39</v>
      </c>
      <c r="P50" s="1">
        <v>7</v>
      </c>
      <c r="Q50" s="1">
        <v>4063.66</v>
      </c>
      <c r="R50" s="1">
        <v>0</v>
      </c>
      <c r="S50" s="1">
        <v>28445.62</v>
      </c>
      <c r="T50" s="1">
        <f t="shared" si="3"/>
        <v>28445.62</v>
      </c>
      <c r="U50" s="1">
        <v>20938.59</v>
      </c>
      <c r="V50" s="3">
        <f>IF(T50=0,"",X50/T50)</f>
        <v>0.26390811660986818</v>
      </c>
      <c r="W50" s="1">
        <v>7507.03</v>
      </c>
      <c r="X50" s="1">
        <f>T50-U50</f>
        <v>7507.0299999999988</v>
      </c>
      <c r="Y50" s="1" t="s">
        <v>40</v>
      </c>
      <c r="Z50" s="1" t="s">
        <v>41</v>
      </c>
      <c r="AA50" s="1">
        <f t="shared" si="0"/>
        <v>92</v>
      </c>
      <c r="AB50" s="2" t="str">
        <f t="shared" si="4"/>
        <v>Clean</v>
      </c>
      <c r="AC50" s="2"/>
    </row>
    <row r="51" spans="1:29">
      <c r="A51" s="1" t="s">
        <v>262</v>
      </c>
      <c r="B51" s="2">
        <v>45447</v>
      </c>
      <c r="C51" s="2" t="str">
        <f t="shared" si="1"/>
        <v>June</v>
      </c>
      <c r="D51" s="1">
        <f t="shared" si="2"/>
        <v>2024</v>
      </c>
      <c r="E51" s="2">
        <v>45395</v>
      </c>
      <c r="F51" s="1" t="s">
        <v>263</v>
      </c>
      <c r="G51" s="1" t="s">
        <v>136</v>
      </c>
      <c r="H51" s="1" t="s">
        <v>103</v>
      </c>
      <c r="I51" s="1" t="s">
        <v>33</v>
      </c>
      <c r="J51" s="1" t="s">
        <v>144</v>
      </c>
      <c r="K51" s="1" t="s">
        <v>145</v>
      </c>
      <c r="L51" s="1" t="s">
        <v>82</v>
      </c>
      <c r="M51" s="1" t="s">
        <v>88</v>
      </c>
      <c r="N51" s="1" t="s">
        <v>264</v>
      </c>
      <c r="O51" s="1" t="s">
        <v>39</v>
      </c>
      <c r="P51" s="1">
        <v>9</v>
      </c>
      <c r="Q51" s="1">
        <v>792.11</v>
      </c>
      <c r="R51" s="1">
        <v>0.05</v>
      </c>
      <c r="S51" s="1">
        <v>6772.54</v>
      </c>
      <c r="T51" s="1">
        <f t="shared" si="3"/>
        <v>6772.5404999999992</v>
      </c>
      <c r="U51" s="1">
        <v>5755.46</v>
      </c>
      <c r="V51" s="3">
        <f>IF(T51=0,"",X51/T51)</f>
        <v>0.15017710119267641</v>
      </c>
      <c r="W51" s="1">
        <v>1017.08</v>
      </c>
      <c r="X51" s="1">
        <f>T51-U51</f>
        <v>1017.0804999999991</v>
      </c>
      <c r="Y51" s="1" t="s">
        <v>40</v>
      </c>
      <c r="Z51" s="1" t="s">
        <v>41</v>
      </c>
      <c r="AA51" s="4">
        <f t="shared" si="0"/>
        <v>-52</v>
      </c>
      <c r="AB51" s="2" t="str">
        <f t="shared" si="4"/>
        <v>Invalid</v>
      </c>
      <c r="AC51" s="2"/>
    </row>
    <row r="52" spans="1:29">
      <c r="A52" s="1" t="s">
        <v>265</v>
      </c>
      <c r="B52" s="2">
        <v>45788</v>
      </c>
      <c r="C52" s="2" t="str">
        <f t="shared" si="1"/>
        <v>May</v>
      </c>
      <c r="D52" s="1">
        <f t="shared" si="2"/>
        <v>2025</v>
      </c>
      <c r="E52" s="2">
        <v>45796</v>
      </c>
      <c r="F52" s="1" t="s">
        <v>266</v>
      </c>
      <c r="G52" s="1" t="s">
        <v>140</v>
      </c>
      <c r="H52" s="1" t="s">
        <v>32</v>
      </c>
      <c r="I52" s="1" t="s">
        <v>46</v>
      </c>
      <c r="J52" s="1" t="s">
        <v>107</v>
      </c>
      <c r="K52" s="1" t="s">
        <v>108</v>
      </c>
      <c r="L52" s="1" t="s">
        <v>82</v>
      </c>
      <c r="M52" s="1" t="s">
        <v>88</v>
      </c>
      <c r="N52" s="1" t="s">
        <v>267</v>
      </c>
      <c r="O52" s="1" t="s">
        <v>67</v>
      </c>
      <c r="P52" s="1">
        <v>1</v>
      </c>
      <c r="Q52" s="1">
        <v>2382.8000000000002</v>
      </c>
      <c r="R52" s="1">
        <v>0.15</v>
      </c>
      <c r="S52" s="1">
        <v>2025.38</v>
      </c>
      <c r="T52" s="1">
        <f t="shared" si="3"/>
        <v>2025.38</v>
      </c>
      <c r="U52" s="1">
        <v>1140.6500000000001</v>
      </c>
      <c r="V52" s="3">
        <f>IF(T52=0,"",X52/T52)</f>
        <v>0.43682173221815163</v>
      </c>
      <c r="W52" s="1">
        <v>884.73</v>
      </c>
      <c r="X52" s="1">
        <f>T52-U52</f>
        <v>884.73</v>
      </c>
      <c r="Y52" s="1" t="s">
        <v>40</v>
      </c>
      <c r="Z52" s="1" t="s">
        <v>41</v>
      </c>
      <c r="AA52" s="1">
        <f t="shared" si="0"/>
        <v>8</v>
      </c>
      <c r="AB52" s="2" t="str">
        <f t="shared" si="4"/>
        <v>Clean</v>
      </c>
      <c r="AC52" s="2"/>
    </row>
    <row r="53" spans="1:29">
      <c r="A53" s="1" t="s">
        <v>268</v>
      </c>
      <c r="B53" s="2">
        <v>45406</v>
      </c>
      <c r="C53" s="2" t="str">
        <f t="shared" si="1"/>
        <v>April</v>
      </c>
      <c r="D53" s="1">
        <f t="shared" si="2"/>
        <v>2024</v>
      </c>
      <c r="E53" s="2">
        <v>45411</v>
      </c>
      <c r="F53" s="1" t="s">
        <v>269</v>
      </c>
      <c r="G53" s="1" t="s">
        <v>70</v>
      </c>
      <c r="H53" s="1" t="s">
        <v>98</v>
      </c>
      <c r="I53" s="1" t="s">
        <v>62</v>
      </c>
      <c r="J53" s="1" t="s">
        <v>63</v>
      </c>
      <c r="K53" s="1" t="s">
        <v>64</v>
      </c>
      <c r="L53" s="1" t="s">
        <v>36</v>
      </c>
      <c r="M53" s="1" t="s">
        <v>56</v>
      </c>
      <c r="N53" s="1" t="s">
        <v>270</v>
      </c>
      <c r="O53" s="1" t="s">
        <v>67</v>
      </c>
      <c r="P53" s="1">
        <v>6</v>
      </c>
      <c r="Q53" s="1">
        <v>1528.08</v>
      </c>
      <c r="R53" s="1">
        <v>0</v>
      </c>
      <c r="S53" s="1">
        <v>9168.48</v>
      </c>
      <c r="T53" s="1">
        <f t="shared" si="3"/>
        <v>9168.48</v>
      </c>
      <c r="U53" s="1">
        <v>7439.77</v>
      </c>
      <c r="V53" s="3">
        <f>IF(T53=0,"",X53/T53)</f>
        <v>0.18854924698532355</v>
      </c>
      <c r="W53" s="1">
        <v>1728.71</v>
      </c>
      <c r="X53" s="1">
        <f>T53-U53</f>
        <v>1728.7099999999991</v>
      </c>
      <c r="Y53" s="1" t="s">
        <v>40</v>
      </c>
      <c r="Z53" s="1" t="s">
        <v>41</v>
      </c>
      <c r="AA53" s="1">
        <f t="shared" si="0"/>
        <v>5</v>
      </c>
      <c r="AB53" s="2" t="str">
        <f t="shared" si="4"/>
        <v>Clean</v>
      </c>
      <c r="AC53" s="2"/>
    </row>
    <row r="54" spans="1:29">
      <c r="A54" s="1" t="s">
        <v>271</v>
      </c>
      <c r="B54" s="2">
        <v>45591</v>
      </c>
      <c r="C54" s="2" t="str">
        <f t="shared" si="1"/>
        <v>October</v>
      </c>
      <c r="D54" s="1">
        <f t="shared" si="2"/>
        <v>2024</v>
      </c>
      <c r="E54" s="2">
        <v>45593</v>
      </c>
      <c r="F54" s="1" t="s">
        <v>272</v>
      </c>
      <c r="G54" s="1" t="s">
        <v>273</v>
      </c>
      <c r="H54" s="1" t="s">
        <v>45</v>
      </c>
      <c r="I54" s="1" t="s">
        <v>33</v>
      </c>
      <c r="J54" s="1" t="s">
        <v>34</v>
      </c>
      <c r="K54" s="1" t="s">
        <v>35</v>
      </c>
      <c r="L54" s="1" t="s">
        <v>49</v>
      </c>
      <c r="M54" s="1" t="s">
        <v>74</v>
      </c>
      <c r="N54" s="1" t="s">
        <v>274</v>
      </c>
      <c r="O54" s="1" t="s">
        <v>58</v>
      </c>
      <c r="P54" s="1">
        <v>9</v>
      </c>
      <c r="Q54" s="1">
        <v>1399.63</v>
      </c>
      <c r="R54" s="1">
        <v>0</v>
      </c>
      <c r="S54" s="1">
        <v>12596.67</v>
      </c>
      <c r="T54" s="1">
        <f t="shared" si="3"/>
        <v>12596.670000000002</v>
      </c>
      <c r="U54" s="1">
        <v>10603.29</v>
      </c>
      <c r="V54" s="3">
        <f>IF(T54=0,"",X54/T54)</f>
        <v>0.15824658421630483</v>
      </c>
      <c r="W54" s="1">
        <v>1993.38</v>
      </c>
      <c r="X54" s="1">
        <f>T54-U54</f>
        <v>1993.380000000001</v>
      </c>
      <c r="Y54" s="1" t="s">
        <v>163</v>
      </c>
      <c r="Z54" s="1" t="s">
        <v>76</v>
      </c>
      <c r="AA54" s="1">
        <f t="shared" si="0"/>
        <v>2</v>
      </c>
      <c r="AB54" s="2" t="str">
        <f t="shared" si="4"/>
        <v>Clean</v>
      </c>
      <c r="AC54" s="2"/>
    </row>
    <row r="55" spans="1:29">
      <c r="A55" s="1" t="s">
        <v>275</v>
      </c>
      <c r="B55" s="2">
        <v>45747</v>
      </c>
      <c r="C55" s="2" t="str">
        <f t="shared" si="1"/>
        <v>March</v>
      </c>
      <c r="D55" s="1">
        <f t="shared" si="2"/>
        <v>2025</v>
      </c>
      <c r="E55" s="2">
        <v>45747</v>
      </c>
      <c r="F55" s="1" t="s">
        <v>276</v>
      </c>
      <c r="G55" s="1" t="s">
        <v>273</v>
      </c>
      <c r="H55" s="1" t="s">
        <v>103</v>
      </c>
      <c r="I55" s="1" t="s">
        <v>71</v>
      </c>
      <c r="J55" s="1" t="s">
        <v>188</v>
      </c>
      <c r="K55" s="1" t="s">
        <v>189</v>
      </c>
      <c r="L55" s="1" t="s">
        <v>36</v>
      </c>
      <c r="M55" s="1" t="s">
        <v>132</v>
      </c>
      <c r="N55" s="1" t="s">
        <v>277</v>
      </c>
      <c r="O55" s="1" t="s">
        <v>58</v>
      </c>
      <c r="P55" s="1">
        <v>5</v>
      </c>
      <c r="Q55" s="1">
        <v>1207.47</v>
      </c>
      <c r="R55" s="1">
        <v>0.15</v>
      </c>
      <c r="S55" s="1">
        <v>5131.75</v>
      </c>
      <c r="T55" s="1">
        <f t="shared" si="3"/>
        <v>5131.7475000000004</v>
      </c>
      <c r="U55" s="1">
        <v>2838.68</v>
      </c>
      <c r="V55" s="3">
        <f>IF(T55=0,"",X55/T55)</f>
        <v>0.44683950252813498</v>
      </c>
      <c r="W55" s="1">
        <v>2293.0700000000002</v>
      </c>
      <c r="X55" s="1">
        <f>T55-U55</f>
        <v>2293.0675000000006</v>
      </c>
      <c r="Y55" s="1" t="s">
        <v>40</v>
      </c>
      <c r="Z55" s="1" t="s">
        <v>41</v>
      </c>
      <c r="AA55" s="1">
        <f t="shared" si="0"/>
        <v>0</v>
      </c>
      <c r="AB55" s="2" t="str">
        <f t="shared" si="4"/>
        <v>Clean</v>
      </c>
      <c r="AC55" s="2"/>
    </row>
    <row r="56" spans="1:29">
      <c r="A56" s="1" t="s">
        <v>278</v>
      </c>
      <c r="B56" s="2">
        <v>45807</v>
      </c>
      <c r="C56" s="2" t="str">
        <f t="shared" si="1"/>
        <v>May</v>
      </c>
      <c r="D56" s="1">
        <f t="shared" si="2"/>
        <v>2025</v>
      </c>
      <c r="E56" s="2">
        <v>45694</v>
      </c>
      <c r="F56" s="1" t="s">
        <v>279</v>
      </c>
      <c r="G56" s="1" t="s">
        <v>61</v>
      </c>
      <c r="H56" s="1" t="s">
        <v>98</v>
      </c>
      <c r="I56" s="1" t="s">
        <v>62</v>
      </c>
      <c r="J56" s="1" t="s">
        <v>256</v>
      </c>
      <c r="K56" s="1" t="s">
        <v>257</v>
      </c>
      <c r="L56" s="1" t="s">
        <v>36</v>
      </c>
      <c r="M56" s="1" t="s">
        <v>99</v>
      </c>
      <c r="N56" s="1" t="s">
        <v>280</v>
      </c>
      <c r="O56" s="1" t="s">
        <v>52</v>
      </c>
      <c r="P56" s="1">
        <v>8</v>
      </c>
      <c r="Q56" s="1">
        <v>474.37</v>
      </c>
      <c r="R56" s="1">
        <v>0.1</v>
      </c>
      <c r="S56" s="1">
        <v>3415.46</v>
      </c>
      <c r="T56" s="1">
        <f t="shared" si="3"/>
        <v>3415.4639999999999</v>
      </c>
      <c r="U56" s="1">
        <v>1993.23</v>
      </c>
      <c r="V56" s="3">
        <f>IF(T56=0,"",X56/T56)</f>
        <v>0.4164101861416194</v>
      </c>
      <c r="W56" s="1">
        <v>1422.23</v>
      </c>
      <c r="X56" s="1">
        <f>T56-U56</f>
        <v>1422.2339999999999</v>
      </c>
      <c r="Y56" s="1" t="s">
        <v>163</v>
      </c>
      <c r="Z56" s="1" t="s">
        <v>76</v>
      </c>
      <c r="AA56" s="4">
        <f t="shared" si="0"/>
        <v>-113</v>
      </c>
      <c r="AB56" s="2" t="str">
        <f t="shared" si="4"/>
        <v>Invalid</v>
      </c>
      <c r="AC56" s="2"/>
    </row>
    <row r="57" spans="1:29">
      <c r="A57" s="1" t="s">
        <v>281</v>
      </c>
      <c r="B57" s="2">
        <v>45664</v>
      </c>
      <c r="C57" s="2" t="str">
        <f t="shared" si="1"/>
        <v>January</v>
      </c>
      <c r="D57" s="1">
        <f t="shared" si="2"/>
        <v>2025</v>
      </c>
      <c r="E57" s="2">
        <v>45723</v>
      </c>
      <c r="F57" s="1" t="s">
        <v>282</v>
      </c>
      <c r="G57" s="1" t="s">
        <v>44</v>
      </c>
      <c r="H57" s="1" t="s">
        <v>45</v>
      </c>
      <c r="I57" s="1" t="s">
        <v>62</v>
      </c>
      <c r="J57" s="1" t="s">
        <v>92</v>
      </c>
      <c r="K57" s="1" t="s">
        <v>93</v>
      </c>
      <c r="L57" s="1" t="s">
        <v>82</v>
      </c>
      <c r="M57" s="1" t="s">
        <v>283</v>
      </c>
      <c r="N57" s="1" t="s">
        <v>284</v>
      </c>
      <c r="O57" s="1" t="s">
        <v>52</v>
      </c>
      <c r="P57" s="1">
        <v>3</v>
      </c>
      <c r="Q57" s="1">
        <v>1516.24</v>
      </c>
      <c r="R57" s="1">
        <v>0.25</v>
      </c>
      <c r="S57" s="1">
        <v>3411.54</v>
      </c>
      <c r="T57" s="1">
        <f t="shared" si="3"/>
        <v>3411.54</v>
      </c>
      <c r="U57" s="1">
        <v>2803.13</v>
      </c>
      <c r="V57" s="3">
        <f>IF(T57=0,"",X57/T57)</f>
        <v>0.17833881472883209</v>
      </c>
      <c r="W57" s="1">
        <v>608.41</v>
      </c>
      <c r="X57" s="1">
        <f>T57-U57</f>
        <v>608.40999999999985</v>
      </c>
      <c r="Y57" s="1" t="s">
        <v>40</v>
      </c>
      <c r="Z57" s="1" t="s">
        <v>41</v>
      </c>
      <c r="AA57" s="1">
        <f t="shared" si="0"/>
        <v>59</v>
      </c>
      <c r="AB57" s="2" t="str">
        <f t="shared" si="4"/>
        <v>Clean</v>
      </c>
      <c r="AC57" s="2"/>
    </row>
    <row r="58" spans="1:29">
      <c r="A58" s="1" t="s">
        <v>285</v>
      </c>
      <c r="B58" s="2">
        <v>45778</v>
      </c>
      <c r="C58" s="2" t="str">
        <f t="shared" si="1"/>
        <v>May</v>
      </c>
      <c r="D58" s="1">
        <f t="shared" si="2"/>
        <v>2025</v>
      </c>
      <c r="E58" s="2">
        <v>45809</v>
      </c>
      <c r="F58" s="1" t="s">
        <v>286</v>
      </c>
      <c r="G58" s="1" t="s">
        <v>31</v>
      </c>
      <c r="H58" s="1" t="s">
        <v>32</v>
      </c>
      <c r="I58" s="1" t="s">
        <v>62</v>
      </c>
      <c r="J58" s="1" t="s">
        <v>183</v>
      </c>
      <c r="K58" s="1" t="s">
        <v>184</v>
      </c>
      <c r="L58" s="1" t="s">
        <v>36</v>
      </c>
      <c r="M58" s="1" t="s">
        <v>161</v>
      </c>
      <c r="N58" s="1" t="s">
        <v>287</v>
      </c>
      <c r="O58" s="1" t="s">
        <v>39</v>
      </c>
      <c r="P58" s="1">
        <v>3</v>
      </c>
      <c r="Q58" s="1">
        <v>3155.61</v>
      </c>
      <c r="R58" s="1">
        <v>0</v>
      </c>
      <c r="S58" s="1">
        <v>9466.83</v>
      </c>
      <c r="T58" s="1">
        <f t="shared" si="3"/>
        <v>9466.83</v>
      </c>
      <c r="U58" s="1">
        <v>6557.83</v>
      </c>
      <c r="V58" s="3">
        <f>IF(T58=0,"",X58/T58)</f>
        <v>0.30728343067320318</v>
      </c>
      <c r="W58" s="1">
        <v>2909</v>
      </c>
      <c r="X58" s="1">
        <f>T58-U58</f>
        <v>2909</v>
      </c>
      <c r="Y58" s="1" t="s">
        <v>110</v>
      </c>
      <c r="Z58" s="1" t="s">
        <v>76</v>
      </c>
      <c r="AA58" s="1">
        <f t="shared" si="0"/>
        <v>31</v>
      </c>
      <c r="AB58" s="2" t="str">
        <f t="shared" si="4"/>
        <v>Clean</v>
      </c>
      <c r="AC58" s="2"/>
    </row>
    <row r="59" spans="1:29">
      <c r="A59" s="1" t="s">
        <v>288</v>
      </c>
      <c r="B59" s="2">
        <v>45475</v>
      </c>
      <c r="C59" s="2" t="str">
        <f t="shared" si="1"/>
        <v>July</v>
      </c>
      <c r="D59" s="1">
        <f t="shared" si="2"/>
        <v>2024</v>
      </c>
      <c r="E59" s="2">
        <v>45337</v>
      </c>
      <c r="F59" s="1" t="s">
        <v>289</v>
      </c>
      <c r="G59" s="1" t="s">
        <v>122</v>
      </c>
      <c r="H59" s="1" t="s">
        <v>32</v>
      </c>
      <c r="I59" s="1" t="s">
        <v>71</v>
      </c>
      <c r="J59" s="1" t="s">
        <v>198</v>
      </c>
      <c r="K59" s="1" t="s">
        <v>199</v>
      </c>
      <c r="L59" s="1" t="s">
        <v>49</v>
      </c>
      <c r="M59" s="1" t="s">
        <v>74</v>
      </c>
      <c r="N59" s="1" t="s">
        <v>290</v>
      </c>
      <c r="O59" s="1" t="s">
        <v>52</v>
      </c>
      <c r="P59" s="1">
        <v>5</v>
      </c>
      <c r="Q59" s="1">
        <v>255.87</v>
      </c>
      <c r="R59" s="1">
        <v>0</v>
      </c>
      <c r="S59" s="1">
        <v>1279.3499999999999</v>
      </c>
      <c r="T59" s="1">
        <f t="shared" si="3"/>
        <v>1279.3499999999999</v>
      </c>
      <c r="U59" s="1">
        <v>1091.54</v>
      </c>
      <c r="V59" s="3">
        <f>IF(T59=0,"",X59/T59)</f>
        <v>0.14680110993864068</v>
      </c>
      <c r="W59" s="1">
        <v>187.81</v>
      </c>
      <c r="X59" s="1">
        <f>T59-U59</f>
        <v>187.80999999999995</v>
      </c>
      <c r="Y59" s="1" t="s">
        <v>40</v>
      </c>
      <c r="Z59" s="1" t="s">
        <v>41</v>
      </c>
      <c r="AA59" s="4">
        <f t="shared" si="0"/>
        <v>-138</v>
      </c>
      <c r="AB59" s="2" t="str">
        <f t="shared" si="4"/>
        <v>Invalid</v>
      </c>
      <c r="AC59" s="2"/>
    </row>
    <row r="60" spans="1:29">
      <c r="A60" s="1" t="s">
        <v>291</v>
      </c>
      <c r="B60" s="2">
        <v>45300</v>
      </c>
      <c r="C60" s="2" t="str">
        <f t="shared" si="1"/>
        <v>January</v>
      </c>
      <c r="D60" s="1">
        <f t="shared" si="2"/>
        <v>2024</v>
      </c>
      <c r="E60" s="2">
        <v>45482</v>
      </c>
      <c r="F60" s="1" t="s">
        <v>292</v>
      </c>
      <c r="G60" s="1" t="s">
        <v>55</v>
      </c>
      <c r="H60" s="1" t="s">
        <v>103</v>
      </c>
      <c r="I60" s="1" t="s">
        <v>33</v>
      </c>
      <c r="J60" s="1" t="s">
        <v>34</v>
      </c>
      <c r="K60" s="1" t="s">
        <v>35</v>
      </c>
      <c r="L60" s="1" t="s">
        <v>36</v>
      </c>
      <c r="M60" s="1" t="s">
        <v>132</v>
      </c>
      <c r="N60" s="1" t="s">
        <v>293</v>
      </c>
      <c r="O60" s="1" t="s">
        <v>213</v>
      </c>
      <c r="P60" s="1">
        <v>9</v>
      </c>
      <c r="Q60" s="1">
        <v>1389.48</v>
      </c>
      <c r="R60" s="1">
        <v>0.1</v>
      </c>
      <c r="S60" s="1">
        <v>11254.79</v>
      </c>
      <c r="T60" s="1">
        <f t="shared" si="3"/>
        <v>11254.788</v>
      </c>
      <c r="U60" s="1">
        <v>6578.06</v>
      </c>
      <c r="V60" s="3">
        <f>IF(T60=0,"",X60/T60)</f>
        <v>0.41553230500654476</v>
      </c>
      <c r="W60" s="1">
        <v>4676.7299999999996</v>
      </c>
      <c r="X60" s="1">
        <f>T60-U60</f>
        <v>4676.7280000000001</v>
      </c>
      <c r="Y60" s="1" t="s">
        <v>119</v>
      </c>
      <c r="Z60" s="1" t="s">
        <v>111</v>
      </c>
      <c r="AA60" s="1">
        <f t="shared" si="0"/>
        <v>182</v>
      </c>
      <c r="AB60" s="2" t="str">
        <f t="shared" si="4"/>
        <v>Warning</v>
      </c>
      <c r="AC60" s="2"/>
    </row>
    <row r="61" spans="1:29">
      <c r="A61" s="1" t="s">
        <v>294</v>
      </c>
      <c r="B61" s="2">
        <v>45493</v>
      </c>
      <c r="C61" s="2" t="str">
        <f t="shared" si="1"/>
        <v>July</v>
      </c>
      <c r="D61" s="1">
        <f t="shared" si="2"/>
        <v>2024</v>
      </c>
      <c r="E61" s="2">
        <v>45498</v>
      </c>
      <c r="F61" s="1" t="s">
        <v>295</v>
      </c>
      <c r="G61" s="1" t="s">
        <v>122</v>
      </c>
      <c r="H61" s="1" t="s">
        <v>98</v>
      </c>
      <c r="I61" s="1" t="s">
        <v>46</v>
      </c>
      <c r="J61" s="1" t="s">
        <v>174</v>
      </c>
      <c r="K61" s="1" t="s">
        <v>175</v>
      </c>
      <c r="L61" s="1" t="s">
        <v>36</v>
      </c>
      <c r="M61" s="1" t="s">
        <v>99</v>
      </c>
      <c r="N61" s="1" t="s">
        <v>296</v>
      </c>
      <c r="O61" s="1" t="s">
        <v>52</v>
      </c>
      <c r="P61" s="1">
        <v>5</v>
      </c>
      <c r="Q61" s="1">
        <v>4133.8500000000004</v>
      </c>
      <c r="R61" s="1">
        <v>0.2</v>
      </c>
      <c r="S61" s="1">
        <v>16535.400000000001</v>
      </c>
      <c r="T61" s="1">
        <f t="shared" si="3"/>
        <v>16535.400000000001</v>
      </c>
      <c r="U61" s="1">
        <v>12990.21</v>
      </c>
      <c r="V61" s="3">
        <f>IF(T61=0,"",X61/T61)</f>
        <v>0.21440001451431487</v>
      </c>
      <c r="W61" s="1">
        <v>3545.19</v>
      </c>
      <c r="X61" s="1">
        <f>T61-U61</f>
        <v>3545.1900000000023</v>
      </c>
      <c r="Y61" s="1" t="s">
        <v>40</v>
      </c>
      <c r="Z61" s="1" t="s">
        <v>76</v>
      </c>
      <c r="AA61" s="1">
        <f t="shared" si="0"/>
        <v>5</v>
      </c>
      <c r="AB61" s="2" t="str">
        <f t="shared" si="4"/>
        <v>Clean</v>
      </c>
      <c r="AC61" s="2"/>
    </row>
    <row r="62" spans="1:29">
      <c r="A62" s="1" t="s">
        <v>297</v>
      </c>
      <c r="B62" s="2">
        <v>45486</v>
      </c>
      <c r="C62" s="2" t="str">
        <f t="shared" si="1"/>
        <v>July</v>
      </c>
      <c r="D62" s="1">
        <f t="shared" si="2"/>
        <v>2024</v>
      </c>
      <c r="E62" s="2">
        <v>45492</v>
      </c>
      <c r="F62" s="1" t="s">
        <v>298</v>
      </c>
      <c r="G62" s="1" t="s">
        <v>70</v>
      </c>
      <c r="H62" s="1" t="s">
        <v>98</v>
      </c>
      <c r="I62" s="1" t="s">
        <v>46</v>
      </c>
      <c r="J62" s="1" t="s">
        <v>174</v>
      </c>
      <c r="K62" s="1" t="s">
        <v>175</v>
      </c>
      <c r="L62" s="1" t="s">
        <v>36</v>
      </c>
      <c r="M62" s="1" t="s">
        <v>99</v>
      </c>
      <c r="N62" s="1" t="s">
        <v>299</v>
      </c>
      <c r="O62" s="1" t="s">
        <v>52</v>
      </c>
      <c r="P62" s="1">
        <v>3</v>
      </c>
      <c r="Q62" s="1">
        <v>275.76</v>
      </c>
      <c r="R62" s="1">
        <v>0.2</v>
      </c>
      <c r="S62" s="1">
        <v>661.82</v>
      </c>
      <c r="T62" s="1">
        <f t="shared" si="3"/>
        <v>661.82400000000007</v>
      </c>
      <c r="U62" s="1">
        <v>481.47</v>
      </c>
      <c r="V62" s="3">
        <f>IF(T62=0,"",X62/T62)</f>
        <v>0.27251051639106472</v>
      </c>
      <c r="W62" s="1">
        <v>180.35</v>
      </c>
      <c r="X62" s="1">
        <f>T62-U62</f>
        <v>180.35400000000004</v>
      </c>
      <c r="Y62" s="1" t="s">
        <v>110</v>
      </c>
      <c r="Z62" s="1" t="s">
        <v>76</v>
      </c>
      <c r="AA62" s="1">
        <f t="shared" si="0"/>
        <v>6</v>
      </c>
      <c r="AB62" s="2" t="str">
        <f t="shared" si="4"/>
        <v>Clean</v>
      </c>
      <c r="AC62" s="2"/>
    </row>
    <row r="63" spans="1:29">
      <c r="A63" s="1" t="s">
        <v>300</v>
      </c>
      <c r="B63" s="2">
        <v>45398</v>
      </c>
      <c r="C63" s="2" t="str">
        <f t="shared" si="1"/>
        <v>April</v>
      </c>
      <c r="D63" s="1">
        <f t="shared" si="2"/>
        <v>2024</v>
      </c>
      <c r="E63" s="2">
        <v>45398</v>
      </c>
      <c r="F63" s="1" t="s">
        <v>301</v>
      </c>
      <c r="G63" s="1" t="s">
        <v>79</v>
      </c>
      <c r="H63" s="1" t="s">
        <v>103</v>
      </c>
      <c r="I63" s="1" t="s">
        <v>46</v>
      </c>
      <c r="J63" s="1" t="s">
        <v>153</v>
      </c>
      <c r="K63" s="1" t="s">
        <v>154</v>
      </c>
      <c r="L63" s="1" t="s">
        <v>49</v>
      </c>
      <c r="M63" s="1" t="s">
        <v>166</v>
      </c>
      <c r="N63" s="1" t="s">
        <v>302</v>
      </c>
      <c r="O63" s="1" t="s">
        <v>67</v>
      </c>
      <c r="P63" s="1">
        <v>1</v>
      </c>
      <c r="Q63" s="1">
        <v>949.59</v>
      </c>
      <c r="R63" s="1">
        <v>0</v>
      </c>
      <c r="S63" s="1">
        <v>949.59</v>
      </c>
      <c r="T63" s="1">
        <f t="shared" si="3"/>
        <v>949.59</v>
      </c>
      <c r="U63" s="1">
        <v>751.25</v>
      </c>
      <c r="V63" s="3">
        <f>IF(T63=0,"",X63/T63)</f>
        <v>0.20886909087079689</v>
      </c>
      <c r="W63" s="1">
        <v>198.34</v>
      </c>
      <c r="X63" s="1">
        <f>T63-U63</f>
        <v>198.34000000000003</v>
      </c>
      <c r="Y63" s="1" t="s">
        <v>40</v>
      </c>
      <c r="Z63" s="1" t="s">
        <v>41</v>
      </c>
      <c r="AA63" s="1">
        <f t="shared" si="0"/>
        <v>0</v>
      </c>
      <c r="AB63" s="2" t="str">
        <f t="shared" si="4"/>
        <v>Clean</v>
      </c>
      <c r="AC63" s="2"/>
    </row>
    <row r="64" spans="1:29">
      <c r="A64" s="1" t="s">
        <v>303</v>
      </c>
      <c r="B64" s="2">
        <v>45595</v>
      </c>
      <c r="C64" s="2" t="str">
        <f t="shared" si="1"/>
        <v>October</v>
      </c>
      <c r="D64" s="1">
        <f t="shared" si="2"/>
        <v>2024</v>
      </c>
      <c r="E64" s="2">
        <v>45333</v>
      </c>
      <c r="F64" s="1" t="s">
        <v>304</v>
      </c>
      <c r="G64" s="1" t="s">
        <v>140</v>
      </c>
      <c r="H64" s="1" t="s">
        <v>103</v>
      </c>
      <c r="I64" s="1" t="s">
        <v>33</v>
      </c>
      <c r="J64" s="1" t="s">
        <v>34</v>
      </c>
      <c r="K64" s="1" t="s">
        <v>35</v>
      </c>
      <c r="L64" s="1" t="s">
        <v>82</v>
      </c>
      <c r="M64" s="1" t="s">
        <v>179</v>
      </c>
      <c r="N64" s="1" t="s">
        <v>305</v>
      </c>
      <c r="O64" s="1" t="s">
        <v>67</v>
      </c>
      <c r="P64" s="1">
        <v>9</v>
      </c>
      <c r="Q64" s="1">
        <v>3042.29</v>
      </c>
      <c r="R64" s="1">
        <v>0.2</v>
      </c>
      <c r="S64" s="1">
        <v>21904.49</v>
      </c>
      <c r="T64" s="1">
        <f t="shared" si="3"/>
        <v>21904.488000000001</v>
      </c>
      <c r="U64" s="1">
        <v>13570.55</v>
      </c>
      <c r="V64" s="3">
        <f>IF(T64=0,"",X64/T64)</f>
        <v>0.38046714445003244</v>
      </c>
      <c r="W64" s="1">
        <v>8333.94</v>
      </c>
      <c r="X64" s="1">
        <f>T64-U64</f>
        <v>8333.9380000000019</v>
      </c>
      <c r="Y64" s="1" t="s">
        <v>40</v>
      </c>
      <c r="Z64" s="1" t="s">
        <v>41</v>
      </c>
      <c r="AA64" s="4">
        <f t="shared" si="0"/>
        <v>-262</v>
      </c>
      <c r="AB64" s="2" t="str">
        <f t="shared" si="4"/>
        <v>Invalid</v>
      </c>
      <c r="AC64" s="2"/>
    </row>
    <row r="65" spans="1:29">
      <c r="A65" s="1" t="s">
        <v>306</v>
      </c>
      <c r="B65" s="2">
        <v>45316</v>
      </c>
      <c r="C65" s="2" t="str">
        <f t="shared" si="1"/>
        <v>January</v>
      </c>
      <c r="D65" s="1">
        <f t="shared" si="2"/>
        <v>2024</v>
      </c>
      <c r="E65" s="2">
        <v>45293</v>
      </c>
      <c r="F65" s="1" t="s">
        <v>307</v>
      </c>
      <c r="G65" s="1" t="s">
        <v>140</v>
      </c>
      <c r="H65" s="1" t="s">
        <v>103</v>
      </c>
      <c r="I65" s="1" t="s">
        <v>33</v>
      </c>
      <c r="J65" s="1" t="s">
        <v>245</v>
      </c>
      <c r="K65" s="1" t="s">
        <v>246</v>
      </c>
      <c r="L65" s="1" t="s">
        <v>36</v>
      </c>
      <c r="M65" s="1" t="s">
        <v>161</v>
      </c>
      <c r="N65" s="1" t="s">
        <v>308</v>
      </c>
      <c r="O65" s="1" t="s">
        <v>52</v>
      </c>
      <c r="P65" s="1">
        <v>2</v>
      </c>
      <c r="Q65" s="1">
        <v>2832.77</v>
      </c>
      <c r="R65" s="1">
        <v>0.15</v>
      </c>
      <c r="S65" s="1">
        <v>4815.71</v>
      </c>
      <c r="T65" s="1">
        <f t="shared" si="3"/>
        <v>4815.7089999999998</v>
      </c>
      <c r="U65" s="1">
        <v>3027.75</v>
      </c>
      <c r="V65" s="3">
        <f>IF(T65=0,"",X65/T65)</f>
        <v>0.37127637903369992</v>
      </c>
      <c r="W65" s="1">
        <v>1917.47</v>
      </c>
      <c r="X65" s="1">
        <f>T65-U65</f>
        <v>1787.9589999999998</v>
      </c>
      <c r="Y65" s="1" t="s">
        <v>40</v>
      </c>
      <c r="Z65" s="1" t="s">
        <v>41</v>
      </c>
      <c r="AA65" s="4">
        <f t="shared" si="0"/>
        <v>-23</v>
      </c>
      <c r="AB65" s="2" t="str">
        <f t="shared" si="4"/>
        <v>Invalid</v>
      </c>
      <c r="AC65" s="2"/>
    </row>
    <row r="66" spans="1:29">
      <c r="A66" s="1" t="s">
        <v>309</v>
      </c>
      <c r="B66" s="2">
        <v>45649</v>
      </c>
      <c r="C66" s="2" t="str">
        <f t="shared" si="1"/>
        <v>December</v>
      </c>
      <c r="D66" s="1">
        <f t="shared" si="2"/>
        <v>2024</v>
      </c>
      <c r="E66" s="2">
        <v>45655</v>
      </c>
      <c r="F66" s="1" t="s">
        <v>310</v>
      </c>
      <c r="G66" s="1" t="s">
        <v>136</v>
      </c>
      <c r="H66" s="1" t="s">
        <v>98</v>
      </c>
      <c r="I66" s="1" t="s">
        <v>46</v>
      </c>
      <c r="J66" s="1" t="s">
        <v>237</v>
      </c>
      <c r="K66" s="1" t="s">
        <v>238</v>
      </c>
      <c r="L66" s="1" t="s">
        <v>36</v>
      </c>
      <c r="M66" s="1" t="s">
        <v>37</v>
      </c>
      <c r="N66" s="1" t="s">
        <v>311</v>
      </c>
      <c r="O66" s="1" t="s">
        <v>58</v>
      </c>
      <c r="P66" s="1">
        <v>7</v>
      </c>
      <c r="Q66" s="1">
        <v>447.84</v>
      </c>
      <c r="R66" s="1">
        <v>0</v>
      </c>
      <c r="S66" s="1">
        <v>3134.88</v>
      </c>
      <c r="T66" s="1">
        <f t="shared" si="3"/>
        <v>3134.8799999999997</v>
      </c>
      <c r="U66" s="1">
        <v>2367.63</v>
      </c>
      <c r="V66" s="3">
        <f>IF(T66=0,"",X66/T66)</f>
        <v>0.24474621038125849</v>
      </c>
      <c r="W66" s="1">
        <v>767.25</v>
      </c>
      <c r="X66" s="1">
        <f>T66-U66</f>
        <v>767.24999999999955</v>
      </c>
      <c r="Y66" s="1" t="s">
        <v>110</v>
      </c>
      <c r="Z66" s="1" t="s">
        <v>111</v>
      </c>
      <c r="AA66" s="1">
        <f t="shared" ref="AA66:AA129" si="5">E66-B66</f>
        <v>6</v>
      </c>
      <c r="AB66" s="2" t="str">
        <f t="shared" si="4"/>
        <v>Clean</v>
      </c>
      <c r="AC66" s="2"/>
    </row>
    <row r="67" spans="1:29">
      <c r="A67" s="1" t="s">
        <v>312</v>
      </c>
      <c r="B67" s="2">
        <v>45404</v>
      </c>
      <c r="C67" s="2" t="str">
        <f t="shared" ref="C67:C130" si="6">TEXT(B67,"mmmm")</f>
        <v>April</v>
      </c>
      <c r="D67" s="1">
        <f t="shared" ref="D67:D130" si="7">YEAR(B67)</f>
        <v>2024</v>
      </c>
      <c r="E67" s="2">
        <v>45409</v>
      </c>
      <c r="F67" s="1" t="s">
        <v>313</v>
      </c>
      <c r="G67" s="1" t="s">
        <v>44</v>
      </c>
      <c r="H67" s="1" t="s">
        <v>103</v>
      </c>
      <c r="I67" s="1" t="s">
        <v>71</v>
      </c>
      <c r="J67" s="1" t="s">
        <v>72</v>
      </c>
      <c r="K67" s="1" t="s">
        <v>73</v>
      </c>
      <c r="L67" s="1" t="s">
        <v>36</v>
      </c>
      <c r="M67" s="1" t="s">
        <v>37</v>
      </c>
      <c r="N67" s="1" t="s">
        <v>314</v>
      </c>
      <c r="O67" s="1" t="s">
        <v>39</v>
      </c>
      <c r="P67" s="1">
        <v>1</v>
      </c>
      <c r="Q67" s="1">
        <v>4280.1899999999996</v>
      </c>
      <c r="R67" s="1">
        <v>0.05</v>
      </c>
      <c r="S67" s="1">
        <v>4066.18</v>
      </c>
      <c r="T67" s="1">
        <f t="shared" ref="T67:T130" si="8">P67*Q67*(1-R67)</f>
        <v>4066.1804999999995</v>
      </c>
      <c r="U67" s="1">
        <v>2628.92</v>
      </c>
      <c r="V67" s="3">
        <f>IF(T67=0,"",X67/T67)</f>
        <v>0.35346696980126674</v>
      </c>
      <c r="W67" s="1">
        <v>1437.26</v>
      </c>
      <c r="X67" s="1">
        <f>T67-U67</f>
        <v>1437.2604999999994</v>
      </c>
      <c r="Y67" s="1" t="s">
        <v>40</v>
      </c>
      <c r="Z67" s="1" t="s">
        <v>41</v>
      </c>
      <c r="AA67" s="1">
        <f t="shared" si="5"/>
        <v>5</v>
      </c>
      <c r="AB67" s="2" t="str">
        <f t="shared" ref="AB67:AB130" si="9">IF(OR(AA67&lt;0,R67&lt;0),"Invalid",IF(OR(I67="Unknown",O67="Unknown"),"Warning","Clean"))</f>
        <v>Clean</v>
      </c>
      <c r="AC67" s="2"/>
    </row>
    <row r="68" spans="1:29">
      <c r="A68" s="1" t="s">
        <v>315</v>
      </c>
      <c r="B68" s="2">
        <v>45897</v>
      </c>
      <c r="C68" s="2" t="str">
        <f t="shared" si="6"/>
        <v>August</v>
      </c>
      <c r="D68" s="1">
        <f t="shared" si="7"/>
        <v>2025</v>
      </c>
      <c r="E68" s="2">
        <v>45666</v>
      </c>
      <c r="F68" s="1" t="s">
        <v>316</v>
      </c>
      <c r="G68" s="1" t="s">
        <v>31</v>
      </c>
      <c r="H68" s="1" t="s">
        <v>45</v>
      </c>
      <c r="I68" s="1" t="s">
        <v>62</v>
      </c>
      <c r="J68" s="1" t="s">
        <v>256</v>
      </c>
      <c r="K68" s="1" t="s">
        <v>257</v>
      </c>
      <c r="L68" s="1" t="s">
        <v>82</v>
      </c>
      <c r="M68" s="1" t="s">
        <v>83</v>
      </c>
      <c r="N68" s="1" t="s">
        <v>317</v>
      </c>
      <c r="O68" s="1" t="s">
        <v>52</v>
      </c>
      <c r="P68" s="1">
        <v>7</v>
      </c>
      <c r="Q68" s="1">
        <v>1057.46</v>
      </c>
      <c r="R68" s="1">
        <v>0.05</v>
      </c>
      <c r="S68" s="1">
        <v>7032.11</v>
      </c>
      <c r="T68" s="1">
        <f t="shared" si="8"/>
        <v>7032.1089999999995</v>
      </c>
      <c r="U68" s="1">
        <v>4610.34</v>
      </c>
      <c r="V68" s="3">
        <f>IF(T68=0,"",X68/T68)</f>
        <v>0.34438729547565311</v>
      </c>
      <c r="W68" s="1">
        <v>2421.77</v>
      </c>
      <c r="X68" s="1">
        <f>T68-U68</f>
        <v>2421.7689999999993</v>
      </c>
      <c r="Y68" s="1" t="s">
        <v>40</v>
      </c>
      <c r="Z68" s="1" t="s">
        <v>41</v>
      </c>
      <c r="AA68" s="4">
        <f t="shared" si="5"/>
        <v>-231</v>
      </c>
      <c r="AB68" s="2" t="str">
        <f t="shared" si="9"/>
        <v>Invalid</v>
      </c>
      <c r="AC68" s="2"/>
    </row>
    <row r="69" spans="1:29">
      <c r="A69" s="1" t="s">
        <v>318</v>
      </c>
      <c r="B69" s="2">
        <v>45718</v>
      </c>
      <c r="C69" s="2" t="str">
        <f t="shared" si="6"/>
        <v>March</v>
      </c>
      <c r="D69" s="1">
        <f t="shared" si="7"/>
        <v>2025</v>
      </c>
      <c r="E69" s="2">
        <v>45840</v>
      </c>
      <c r="F69" s="1" t="s">
        <v>319</v>
      </c>
      <c r="G69" s="1" t="s">
        <v>273</v>
      </c>
      <c r="H69" s="1" t="s">
        <v>32</v>
      </c>
      <c r="I69" s="1" t="s">
        <v>33</v>
      </c>
      <c r="J69" s="1" t="s">
        <v>245</v>
      </c>
      <c r="K69" s="1" t="s">
        <v>246</v>
      </c>
      <c r="L69" s="1" t="s">
        <v>36</v>
      </c>
      <c r="M69" s="1" t="s">
        <v>37</v>
      </c>
      <c r="N69" s="1" t="s">
        <v>320</v>
      </c>
      <c r="O69" s="1" t="s">
        <v>58</v>
      </c>
      <c r="P69" s="1">
        <v>7</v>
      </c>
      <c r="Q69" s="1">
        <v>3609.34</v>
      </c>
      <c r="R69" s="1">
        <v>0.05</v>
      </c>
      <c r="S69" s="1">
        <v>24002.11</v>
      </c>
      <c r="T69" s="1">
        <f t="shared" si="8"/>
        <v>24002.111000000001</v>
      </c>
      <c r="U69" s="1">
        <v>18707.57</v>
      </c>
      <c r="V69" s="3">
        <f>IF(T69=0,"",X69/T69)</f>
        <v>0.2205864725815159</v>
      </c>
      <c r="W69" s="1">
        <v>5294.54</v>
      </c>
      <c r="X69" s="1">
        <f>T69-U69</f>
        <v>5294.5410000000011</v>
      </c>
      <c r="Y69" s="1" t="s">
        <v>40</v>
      </c>
      <c r="Z69" s="1" t="s">
        <v>41</v>
      </c>
      <c r="AA69" s="1">
        <f t="shared" si="5"/>
        <v>122</v>
      </c>
      <c r="AB69" s="2" t="str">
        <f t="shared" si="9"/>
        <v>Clean</v>
      </c>
      <c r="AC69" s="2"/>
    </row>
    <row r="70" spans="1:29">
      <c r="A70" s="1" t="s">
        <v>321</v>
      </c>
      <c r="B70" s="2">
        <v>45606</v>
      </c>
      <c r="C70" s="2" t="str">
        <f t="shared" si="6"/>
        <v>November</v>
      </c>
      <c r="D70" s="1">
        <f t="shared" si="7"/>
        <v>2024</v>
      </c>
      <c r="E70" s="2">
        <v>45609</v>
      </c>
      <c r="F70" s="1" t="s">
        <v>322</v>
      </c>
      <c r="G70" s="1" t="s">
        <v>55</v>
      </c>
      <c r="H70" s="1" t="s">
        <v>98</v>
      </c>
      <c r="I70" s="1" t="s">
        <v>46</v>
      </c>
      <c r="J70" s="1" t="s">
        <v>237</v>
      </c>
      <c r="K70" s="1" t="s">
        <v>238</v>
      </c>
      <c r="L70" s="1" t="s">
        <v>36</v>
      </c>
      <c r="M70" s="1" t="s">
        <v>132</v>
      </c>
      <c r="N70" s="1" t="s">
        <v>323</v>
      </c>
      <c r="O70" s="1" t="s">
        <v>39</v>
      </c>
      <c r="P70" s="1">
        <v>9</v>
      </c>
      <c r="Q70" s="1">
        <v>2211.12</v>
      </c>
      <c r="R70" s="1">
        <v>0</v>
      </c>
      <c r="S70" s="1">
        <v>19900.080000000002</v>
      </c>
      <c r="T70" s="1">
        <f t="shared" si="8"/>
        <v>19900.079999999998</v>
      </c>
      <c r="U70" s="1">
        <v>10962.66</v>
      </c>
      <c r="V70" s="3">
        <f>IF(T70=0,"",X70/T70)</f>
        <v>0.44911477742803041</v>
      </c>
      <c r="W70" s="1">
        <v>8937.42</v>
      </c>
      <c r="X70" s="1">
        <f>T70-U70</f>
        <v>8937.4199999999983</v>
      </c>
      <c r="Y70" s="1" t="s">
        <v>163</v>
      </c>
      <c r="Z70" s="1" t="s">
        <v>111</v>
      </c>
      <c r="AA70" s="1">
        <f t="shared" si="5"/>
        <v>3</v>
      </c>
      <c r="AB70" s="2" t="str">
        <f t="shared" si="9"/>
        <v>Clean</v>
      </c>
      <c r="AC70" s="2"/>
    </row>
    <row r="71" spans="1:29">
      <c r="A71" s="1" t="s">
        <v>324</v>
      </c>
      <c r="B71" s="2">
        <v>45539</v>
      </c>
      <c r="C71" s="2" t="str">
        <f t="shared" si="6"/>
        <v>September</v>
      </c>
      <c r="D71" s="1">
        <f t="shared" si="7"/>
        <v>2024</v>
      </c>
      <c r="E71" s="2">
        <v>45396</v>
      </c>
      <c r="F71" s="1" t="s">
        <v>325</v>
      </c>
      <c r="G71" s="1" t="s">
        <v>87</v>
      </c>
      <c r="H71" s="1" t="s">
        <v>45</v>
      </c>
      <c r="I71" s="1" t="s">
        <v>71</v>
      </c>
      <c r="J71" s="1" t="s">
        <v>188</v>
      </c>
      <c r="K71" s="1" t="s">
        <v>189</v>
      </c>
      <c r="L71" s="1" t="s">
        <v>82</v>
      </c>
      <c r="M71" s="1" t="s">
        <v>283</v>
      </c>
      <c r="N71" s="1" t="s">
        <v>326</v>
      </c>
      <c r="O71" s="1" t="s">
        <v>52</v>
      </c>
      <c r="P71" s="1">
        <v>7</v>
      </c>
      <c r="Q71" s="1">
        <v>3417.09</v>
      </c>
      <c r="R71" s="1">
        <v>0.1</v>
      </c>
      <c r="S71" s="1">
        <v>21527.67</v>
      </c>
      <c r="T71" s="1">
        <f t="shared" si="8"/>
        <v>21527.667000000001</v>
      </c>
      <c r="U71" s="1">
        <v>18287.580000000002</v>
      </c>
      <c r="V71" s="3">
        <f>IF(T71=0,"",X71/T71)</f>
        <v>0.15050804158202555</v>
      </c>
      <c r="W71" s="1">
        <v>3240.09</v>
      </c>
      <c r="X71" s="1">
        <f>T71-U71</f>
        <v>3240.0869999999995</v>
      </c>
      <c r="Y71" s="1" t="s">
        <v>110</v>
      </c>
      <c r="Z71" s="1" t="s">
        <v>111</v>
      </c>
      <c r="AA71" s="4">
        <f t="shared" si="5"/>
        <v>-143</v>
      </c>
      <c r="AB71" s="2" t="str">
        <f t="shared" si="9"/>
        <v>Invalid</v>
      </c>
      <c r="AC71" s="2"/>
    </row>
    <row r="72" spans="1:29">
      <c r="A72" s="1" t="s">
        <v>327</v>
      </c>
      <c r="B72" s="2">
        <v>45891</v>
      </c>
      <c r="C72" s="2" t="str">
        <f t="shared" si="6"/>
        <v>August</v>
      </c>
      <c r="D72" s="1">
        <f t="shared" si="7"/>
        <v>2025</v>
      </c>
      <c r="E72" s="2">
        <v>45896</v>
      </c>
      <c r="F72" s="1" t="s">
        <v>328</v>
      </c>
      <c r="G72" s="1" t="s">
        <v>31</v>
      </c>
      <c r="H72" s="1" t="s">
        <v>98</v>
      </c>
      <c r="I72" s="1" t="s">
        <v>62</v>
      </c>
      <c r="J72" s="1" t="s">
        <v>92</v>
      </c>
      <c r="K72" s="1" t="s">
        <v>93</v>
      </c>
      <c r="L72" s="1" t="s">
        <v>82</v>
      </c>
      <c r="M72" s="1" t="s">
        <v>179</v>
      </c>
      <c r="N72" s="1" t="s">
        <v>329</v>
      </c>
      <c r="O72" s="1" t="s">
        <v>58</v>
      </c>
      <c r="P72" s="1">
        <v>2</v>
      </c>
      <c r="Q72" s="1">
        <v>905.87</v>
      </c>
      <c r="R72" s="1">
        <v>0.15</v>
      </c>
      <c r="S72" s="1">
        <v>1539.98</v>
      </c>
      <c r="T72" s="1">
        <f t="shared" si="8"/>
        <v>1539.979</v>
      </c>
      <c r="U72" s="1">
        <v>1070.2</v>
      </c>
      <c r="V72" s="3">
        <f>IF(T72=0,"",X72/T72)</f>
        <v>0.30505545854846072</v>
      </c>
      <c r="W72" s="1">
        <v>469.78</v>
      </c>
      <c r="X72" s="1">
        <f>T72-U72</f>
        <v>469.779</v>
      </c>
      <c r="Y72" s="1" t="s">
        <v>40</v>
      </c>
      <c r="Z72" s="1" t="s">
        <v>41</v>
      </c>
      <c r="AA72" s="1">
        <f t="shared" si="5"/>
        <v>5</v>
      </c>
      <c r="AB72" s="2" t="str">
        <f t="shared" si="9"/>
        <v>Clean</v>
      </c>
      <c r="AC72" s="2"/>
    </row>
    <row r="73" spans="1:29">
      <c r="A73" s="1" t="s">
        <v>330</v>
      </c>
      <c r="B73" s="2">
        <v>45763</v>
      </c>
      <c r="C73" s="2" t="str">
        <f t="shared" si="6"/>
        <v>April</v>
      </c>
      <c r="D73" s="1">
        <f t="shared" si="7"/>
        <v>2025</v>
      </c>
      <c r="E73" s="2">
        <v>45770</v>
      </c>
      <c r="F73" s="1" t="s">
        <v>331</v>
      </c>
      <c r="G73" s="1" t="s">
        <v>44</v>
      </c>
      <c r="H73" s="1" t="s">
        <v>45</v>
      </c>
      <c r="I73" s="1" t="s">
        <v>71</v>
      </c>
      <c r="J73" s="1" t="s">
        <v>198</v>
      </c>
      <c r="K73" s="1" t="s">
        <v>199</v>
      </c>
      <c r="L73" s="1" t="s">
        <v>82</v>
      </c>
      <c r="M73" s="1" t="s">
        <v>283</v>
      </c>
      <c r="N73" s="1" t="s">
        <v>332</v>
      </c>
      <c r="O73" s="1" t="s">
        <v>67</v>
      </c>
      <c r="P73" s="1">
        <v>6</v>
      </c>
      <c r="Q73" s="1">
        <v>2027.32</v>
      </c>
      <c r="R73" s="1">
        <v>0.1</v>
      </c>
      <c r="S73" s="1">
        <v>10947.53</v>
      </c>
      <c r="T73" s="1">
        <f t="shared" si="8"/>
        <v>10947.528</v>
      </c>
      <c r="U73" s="1">
        <v>6447.36</v>
      </c>
      <c r="V73" s="3">
        <f>IF(T73=0,"",X73/T73)</f>
        <v>0.41106704636882413</v>
      </c>
      <c r="W73" s="1">
        <v>4500.17</v>
      </c>
      <c r="X73" s="1">
        <f>T73-U73</f>
        <v>4500.1680000000006</v>
      </c>
      <c r="Y73" s="1" t="s">
        <v>40</v>
      </c>
      <c r="Z73" s="1" t="s">
        <v>41</v>
      </c>
      <c r="AA73" s="1">
        <f t="shared" si="5"/>
        <v>7</v>
      </c>
      <c r="AB73" s="2" t="str">
        <f t="shared" si="9"/>
        <v>Clean</v>
      </c>
      <c r="AC73" s="2"/>
    </row>
    <row r="74" spans="1:29">
      <c r="A74" s="1" t="s">
        <v>333</v>
      </c>
      <c r="B74" s="2">
        <v>45598</v>
      </c>
      <c r="C74" s="2" t="str">
        <f t="shared" si="6"/>
        <v>November</v>
      </c>
      <c r="D74" s="1">
        <f t="shared" si="7"/>
        <v>2024</v>
      </c>
      <c r="E74" s="2">
        <v>45475</v>
      </c>
      <c r="F74" s="1" t="s">
        <v>334</v>
      </c>
      <c r="G74" s="1" t="s">
        <v>31</v>
      </c>
      <c r="H74" s="1" t="s">
        <v>103</v>
      </c>
      <c r="I74" s="1" t="s">
        <v>62</v>
      </c>
      <c r="J74" s="1" t="s">
        <v>256</v>
      </c>
      <c r="K74" s="1" t="s">
        <v>257</v>
      </c>
      <c r="L74" s="1" t="s">
        <v>49</v>
      </c>
      <c r="M74" s="1" t="s">
        <v>50</v>
      </c>
      <c r="N74" s="1" t="s">
        <v>335</v>
      </c>
      <c r="O74" s="1" t="s">
        <v>58</v>
      </c>
      <c r="P74" s="1">
        <v>7</v>
      </c>
      <c r="Q74" s="1">
        <v>2287.4699999999998</v>
      </c>
      <c r="R74" s="1">
        <v>0.15</v>
      </c>
      <c r="S74" s="1">
        <v>13610.45</v>
      </c>
      <c r="T74" s="1">
        <f t="shared" si="8"/>
        <v>13610.446499999998</v>
      </c>
      <c r="U74" s="1">
        <v>10039.049999999999</v>
      </c>
      <c r="V74" s="3">
        <f>IF(T74=0,"",X74/T74)</f>
        <v>0.26240112695788487</v>
      </c>
      <c r="W74" s="1">
        <v>3571.4</v>
      </c>
      <c r="X74" s="1">
        <f>T74-U74</f>
        <v>3571.3964999999989</v>
      </c>
      <c r="Y74" s="1" t="s">
        <v>40</v>
      </c>
      <c r="Z74" s="1" t="s">
        <v>41</v>
      </c>
      <c r="AA74" s="4">
        <f t="shared" si="5"/>
        <v>-123</v>
      </c>
      <c r="AB74" s="2" t="str">
        <f t="shared" si="9"/>
        <v>Invalid</v>
      </c>
      <c r="AC74" s="2"/>
    </row>
    <row r="75" spans="1:29">
      <c r="A75" s="1" t="s">
        <v>336</v>
      </c>
      <c r="B75" s="2">
        <v>45745</v>
      </c>
      <c r="C75" s="2" t="str">
        <f t="shared" si="6"/>
        <v>March</v>
      </c>
      <c r="D75" s="1">
        <f t="shared" si="7"/>
        <v>2025</v>
      </c>
      <c r="E75" s="2">
        <v>45750</v>
      </c>
      <c r="F75" s="1" t="s">
        <v>337</v>
      </c>
      <c r="G75" s="1" t="s">
        <v>140</v>
      </c>
      <c r="H75" s="1" t="s">
        <v>98</v>
      </c>
      <c r="I75" s="1" t="s">
        <v>46</v>
      </c>
      <c r="J75" s="1" t="s">
        <v>107</v>
      </c>
      <c r="K75" s="1" t="s">
        <v>108</v>
      </c>
      <c r="L75" s="1" t="s">
        <v>49</v>
      </c>
      <c r="M75" s="1" t="s">
        <v>166</v>
      </c>
      <c r="N75" s="1" t="s">
        <v>338</v>
      </c>
      <c r="O75" s="1" t="s">
        <v>58</v>
      </c>
      <c r="P75" s="1">
        <v>5</v>
      </c>
      <c r="Q75" s="1">
        <v>1425.74</v>
      </c>
      <c r="R75" s="1">
        <v>0</v>
      </c>
      <c r="S75" s="1">
        <v>7128.7</v>
      </c>
      <c r="T75" s="1">
        <f t="shared" si="8"/>
        <v>7128.7</v>
      </c>
      <c r="U75" s="1">
        <v>4382.1499999999996</v>
      </c>
      <c r="V75" s="3">
        <f>IF(T75=0,"",X75/T75)</f>
        <v>0.38528062620113068</v>
      </c>
      <c r="W75" s="1">
        <v>2746.55</v>
      </c>
      <c r="X75" s="1">
        <f>T75-U75</f>
        <v>2746.55</v>
      </c>
      <c r="Y75" s="1" t="s">
        <v>40</v>
      </c>
      <c r="Z75" s="1" t="s">
        <v>41</v>
      </c>
      <c r="AA75" s="1">
        <f t="shared" si="5"/>
        <v>5</v>
      </c>
      <c r="AB75" s="2" t="str">
        <f t="shared" si="9"/>
        <v>Clean</v>
      </c>
      <c r="AC75" s="2"/>
    </row>
    <row r="76" spans="1:29">
      <c r="A76" s="1" t="s">
        <v>339</v>
      </c>
      <c r="B76" s="2">
        <v>45715</v>
      </c>
      <c r="C76" s="2" t="str">
        <f t="shared" si="6"/>
        <v>February</v>
      </c>
      <c r="D76" s="1">
        <f t="shared" si="7"/>
        <v>2025</v>
      </c>
      <c r="E76" s="2">
        <v>45660</v>
      </c>
      <c r="F76" s="1" t="s">
        <v>340</v>
      </c>
      <c r="G76" s="1" t="s">
        <v>79</v>
      </c>
      <c r="H76" s="1" t="s">
        <v>45</v>
      </c>
      <c r="I76" s="1" t="s">
        <v>46</v>
      </c>
      <c r="J76" s="1" t="s">
        <v>107</v>
      </c>
      <c r="K76" s="1" t="s">
        <v>108</v>
      </c>
      <c r="L76" s="1" t="s">
        <v>49</v>
      </c>
      <c r="M76" s="1" t="s">
        <v>74</v>
      </c>
      <c r="N76" s="1" t="s">
        <v>341</v>
      </c>
      <c r="O76" s="1" t="s">
        <v>67</v>
      </c>
      <c r="P76" s="1">
        <v>6</v>
      </c>
      <c r="Q76" s="1">
        <v>551.64</v>
      </c>
      <c r="R76" s="1">
        <v>0</v>
      </c>
      <c r="S76" s="1">
        <v>3309.84</v>
      </c>
      <c r="T76" s="1">
        <f t="shared" si="8"/>
        <v>3309.84</v>
      </c>
      <c r="U76" s="1">
        <v>2671.08</v>
      </c>
      <c r="V76" s="3">
        <f>IF(T76=0,"",X76/T76)</f>
        <v>0.19298818069755644</v>
      </c>
      <c r="W76" s="1">
        <v>638.76</v>
      </c>
      <c r="X76" s="1">
        <f>T76-U76</f>
        <v>638.76000000000022</v>
      </c>
      <c r="Y76" s="1" t="s">
        <v>40</v>
      </c>
      <c r="Z76" s="1" t="s">
        <v>41</v>
      </c>
      <c r="AA76" s="4">
        <f t="shared" si="5"/>
        <v>-55</v>
      </c>
      <c r="AB76" s="2" t="str">
        <f t="shared" si="9"/>
        <v>Invalid</v>
      </c>
      <c r="AC76" s="2"/>
    </row>
    <row r="77" spans="1:29">
      <c r="A77" s="1" t="s">
        <v>342</v>
      </c>
      <c r="B77" s="2">
        <v>45891</v>
      </c>
      <c r="C77" s="2" t="str">
        <f t="shared" si="6"/>
        <v>August</v>
      </c>
      <c r="D77" s="1">
        <f t="shared" si="7"/>
        <v>2025</v>
      </c>
      <c r="E77" s="2">
        <v>45896</v>
      </c>
      <c r="F77" s="1" t="s">
        <v>343</v>
      </c>
      <c r="G77" s="1" t="s">
        <v>122</v>
      </c>
      <c r="H77" s="1" t="s">
        <v>45</v>
      </c>
      <c r="I77" s="1" t="s">
        <v>46</v>
      </c>
      <c r="J77" s="1" t="s">
        <v>47</v>
      </c>
      <c r="K77" s="1" t="s">
        <v>48</v>
      </c>
      <c r="L77" s="1" t="s">
        <v>36</v>
      </c>
      <c r="M77" s="1" t="s">
        <v>99</v>
      </c>
      <c r="N77" s="1" t="s">
        <v>344</v>
      </c>
      <c r="O77" s="1" t="s">
        <v>58</v>
      </c>
      <c r="P77" s="1">
        <v>3</v>
      </c>
      <c r="Q77" s="1">
        <v>3294.82</v>
      </c>
      <c r="R77" s="1">
        <v>0.2</v>
      </c>
      <c r="S77" s="1">
        <v>7907.57</v>
      </c>
      <c r="T77" s="1">
        <f t="shared" si="8"/>
        <v>7907.5680000000011</v>
      </c>
      <c r="U77" s="1">
        <v>5391.18</v>
      </c>
      <c r="V77" s="3">
        <f>IF(T77=0,"",X77/T77)</f>
        <v>0.31822527482533197</v>
      </c>
      <c r="W77" s="1">
        <v>2516.39</v>
      </c>
      <c r="X77" s="1">
        <f>T77-U77</f>
        <v>2516.3880000000008</v>
      </c>
      <c r="Y77" s="1" t="s">
        <v>40</v>
      </c>
      <c r="Z77" s="1" t="s">
        <v>41</v>
      </c>
      <c r="AA77" s="1">
        <f t="shared" si="5"/>
        <v>5</v>
      </c>
      <c r="AB77" s="2" t="str">
        <f t="shared" si="9"/>
        <v>Clean</v>
      </c>
      <c r="AC77" s="2"/>
    </row>
    <row r="78" spans="1:29">
      <c r="A78" s="1" t="s">
        <v>345</v>
      </c>
      <c r="B78" s="2">
        <v>45362</v>
      </c>
      <c r="C78" s="2" t="str">
        <f t="shared" si="6"/>
        <v>March</v>
      </c>
      <c r="D78" s="1">
        <f t="shared" si="7"/>
        <v>2024</v>
      </c>
      <c r="E78" s="2">
        <v>45607</v>
      </c>
      <c r="F78" s="1" t="s">
        <v>346</v>
      </c>
      <c r="G78" s="1" t="s">
        <v>70</v>
      </c>
      <c r="H78" s="1" t="s">
        <v>98</v>
      </c>
      <c r="I78" s="1" t="s">
        <v>46</v>
      </c>
      <c r="J78" s="1" t="s">
        <v>237</v>
      </c>
      <c r="K78" s="1" t="s">
        <v>238</v>
      </c>
      <c r="L78" s="1" t="s">
        <v>36</v>
      </c>
      <c r="M78" s="1" t="s">
        <v>99</v>
      </c>
      <c r="N78" s="1" t="s">
        <v>347</v>
      </c>
      <c r="O78" s="1" t="s">
        <v>39</v>
      </c>
      <c r="P78" s="1">
        <v>3</v>
      </c>
      <c r="Q78" s="1">
        <v>3406.27</v>
      </c>
      <c r="R78" s="1">
        <v>0</v>
      </c>
      <c r="S78" s="1">
        <v>10218.81</v>
      </c>
      <c r="T78" s="1">
        <f t="shared" si="8"/>
        <v>10218.81</v>
      </c>
      <c r="U78" s="1">
        <v>7616.97</v>
      </c>
      <c r="V78" s="3">
        <f>IF(T78=0,"",X78/T78)</f>
        <v>0.2546128169522674</v>
      </c>
      <c r="W78" s="1">
        <v>2601.84</v>
      </c>
      <c r="X78" s="1">
        <f>T78-U78</f>
        <v>2601.8399999999992</v>
      </c>
      <c r="Y78" s="1" t="s">
        <v>40</v>
      </c>
      <c r="Z78" s="1" t="s">
        <v>41</v>
      </c>
      <c r="AA78" s="1">
        <f t="shared" si="5"/>
        <v>245</v>
      </c>
      <c r="AB78" s="2" t="str">
        <f t="shared" si="9"/>
        <v>Clean</v>
      </c>
      <c r="AC78" s="2"/>
    </row>
    <row r="79" spans="1:29">
      <c r="A79" s="1" t="s">
        <v>348</v>
      </c>
      <c r="B79" s="2">
        <v>45846</v>
      </c>
      <c r="C79" s="2" t="str">
        <f t="shared" si="6"/>
        <v>July</v>
      </c>
      <c r="D79" s="1">
        <f t="shared" si="7"/>
        <v>2025</v>
      </c>
      <c r="E79" s="2">
        <v>45998</v>
      </c>
      <c r="F79" s="1" t="s">
        <v>349</v>
      </c>
      <c r="G79" s="1" t="s">
        <v>149</v>
      </c>
      <c r="H79" s="1" t="s">
        <v>103</v>
      </c>
      <c r="I79" s="1" t="s">
        <v>33</v>
      </c>
      <c r="J79" s="1" t="s">
        <v>144</v>
      </c>
      <c r="K79" s="1" t="s">
        <v>145</v>
      </c>
      <c r="L79" s="1" t="s">
        <v>49</v>
      </c>
      <c r="M79" s="1" t="s">
        <v>65</v>
      </c>
      <c r="N79" s="1" t="s">
        <v>350</v>
      </c>
      <c r="O79" s="1" t="s">
        <v>67</v>
      </c>
      <c r="P79" s="1">
        <v>1</v>
      </c>
      <c r="Q79" s="1">
        <v>2582.1999999999998</v>
      </c>
      <c r="R79" s="1">
        <v>0.15</v>
      </c>
      <c r="S79" s="1">
        <v>2194.87</v>
      </c>
      <c r="T79" s="1">
        <f t="shared" si="8"/>
        <v>2194.87</v>
      </c>
      <c r="U79" s="1">
        <v>1223.17</v>
      </c>
      <c r="V79" s="3">
        <f>IF(T79=0,"",X79/T79)</f>
        <v>0.44271414707932583</v>
      </c>
      <c r="W79" s="1">
        <v>971.7</v>
      </c>
      <c r="X79" s="1">
        <f>T79-U79</f>
        <v>971.69999999999982</v>
      </c>
      <c r="Y79" s="1" t="s">
        <v>110</v>
      </c>
      <c r="Z79" s="1" t="s">
        <v>76</v>
      </c>
      <c r="AA79" s="1">
        <f t="shared" si="5"/>
        <v>152</v>
      </c>
      <c r="AB79" s="2" t="str">
        <f t="shared" si="9"/>
        <v>Clean</v>
      </c>
      <c r="AC79" s="2"/>
    </row>
    <row r="80" spans="1:29">
      <c r="A80" s="1" t="s">
        <v>351</v>
      </c>
      <c r="B80" s="2">
        <v>45854</v>
      </c>
      <c r="C80" s="2" t="str">
        <f t="shared" si="6"/>
        <v>July</v>
      </c>
      <c r="D80" s="1">
        <f t="shared" si="7"/>
        <v>2025</v>
      </c>
      <c r="E80" s="2">
        <v>45859</v>
      </c>
      <c r="F80" s="1" t="s">
        <v>352</v>
      </c>
      <c r="G80" s="1" t="s">
        <v>140</v>
      </c>
      <c r="H80" s="1" t="s">
        <v>98</v>
      </c>
      <c r="I80" s="1" t="s">
        <v>46</v>
      </c>
      <c r="J80" s="1" t="s">
        <v>107</v>
      </c>
      <c r="K80" s="1" t="s">
        <v>108</v>
      </c>
      <c r="L80" s="1" t="s">
        <v>49</v>
      </c>
      <c r="M80" s="1" t="s">
        <v>50</v>
      </c>
      <c r="N80" s="1" t="s">
        <v>353</v>
      </c>
      <c r="O80" s="1" t="s">
        <v>58</v>
      </c>
      <c r="P80" s="1">
        <v>5</v>
      </c>
      <c r="Q80" s="1">
        <v>2129.5100000000002</v>
      </c>
      <c r="R80" s="1">
        <v>0.15</v>
      </c>
      <c r="S80" s="1">
        <v>9050.42</v>
      </c>
      <c r="T80" s="1">
        <f t="shared" si="8"/>
        <v>9050.4175000000014</v>
      </c>
      <c r="U80" s="1">
        <v>6778.85</v>
      </c>
      <c r="V80" s="3">
        <f>IF(T80=0,"",X80/T80)</f>
        <v>0.25099035486484472</v>
      </c>
      <c r="W80" s="1">
        <v>2271.5700000000002</v>
      </c>
      <c r="X80" s="1">
        <f>T80-U80</f>
        <v>2271.567500000001</v>
      </c>
      <c r="Y80" s="1" t="s">
        <v>40</v>
      </c>
      <c r="Z80" s="1" t="s">
        <v>41</v>
      </c>
      <c r="AA80" s="1">
        <f t="shared" si="5"/>
        <v>5</v>
      </c>
      <c r="AB80" s="2" t="str">
        <f t="shared" si="9"/>
        <v>Clean</v>
      </c>
      <c r="AC80" s="2"/>
    </row>
    <row r="81" spans="1:29">
      <c r="A81" s="1" t="s">
        <v>354</v>
      </c>
      <c r="B81" s="2">
        <v>45927</v>
      </c>
      <c r="C81" s="2" t="str">
        <f t="shared" si="6"/>
        <v>September</v>
      </c>
      <c r="D81" s="1">
        <f t="shared" si="7"/>
        <v>2025</v>
      </c>
      <c r="E81" s="2">
        <v>45726</v>
      </c>
      <c r="F81" s="1" t="s">
        <v>355</v>
      </c>
      <c r="G81" s="1" t="s">
        <v>170</v>
      </c>
      <c r="H81" s="1" t="s">
        <v>103</v>
      </c>
      <c r="I81" s="1" t="s">
        <v>62</v>
      </c>
      <c r="J81" s="1" t="s">
        <v>256</v>
      </c>
      <c r="K81" s="1" t="s">
        <v>257</v>
      </c>
      <c r="L81" s="1" t="s">
        <v>49</v>
      </c>
      <c r="M81" s="1" t="s">
        <v>74</v>
      </c>
      <c r="N81" s="1" t="s">
        <v>356</v>
      </c>
      <c r="O81" s="1" t="s">
        <v>52</v>
      </c>
      <c r="P81" s="1">
        <v>9</v>
      </c>
      <c r="Q81" s="1">
        <v>4131.5200000000004</v>
      </c>
      <c r="R81" s="1">
        <v>0.1</v>
      </c>
      <c r="S81" s="1">
        <v>33465.31</v>
      </c>
      <c r="T81" s="1">
        <f t="shared" si="8"/>
        <v>33465.312000000005</v>
      </c>
      <c r="U81" s="1">
        <v>24781.26</v>
      </c>
      <c r="V81" s="3">
        <f>IF(T81=0,"",X81/T81)</f>
        <v>0.25949412932411942</v>
      </c>
      <c r="W81" s="1">
        <v>8684.0499999999993</v>
      </c>
      <c r="X81" s="1">
        <f>T81-U81</f>
        <v>8684.052000000007</v>
      </c>
      <c r="Y81" s="1" t="s">
        <v>40</v>
      </c>
      <c r="Z81" s="1" t="s">
        <v>41</v>
      </c>
      <c r="AA81" s="4">
        <f t="shared" si="5"/>
        <v>-201</v>
      </c>
      <c r="AB81" s="2" t="str">
        <f t="shared" si="9"/>
        <v>Invalid</v>
      </c>
      <c r="AC81" s="2"/>
    </row>
    <row r="82" spans="1:29">
      <c r="A82" s="1" t="s">
        <v>357</v>
      </c>
      <c r="B82" s="2">
        <v>45573</v>
      </c>
      <c r="C82" s="2" t="str">
        <f t="shared" si="6"/>
        <v>October</v>
      </c>
      <c r="D82" s="1">
        <f t="shared" si="7"/>
        <v>2024</v>
      </c>
      <c r="E82" s="2">
        <v>45518</v>
      </c>
      <c r="F82" s="1" t="s">
        <v>358</v>
      </c>
      <c r="G82" s="1" t="s">
        <v>136</v>
      </c>
      <c r="H82" s="1" t="s">
        <v>45</v>
      </c>
      <c r="I82" s="1" t="s">
        <v>33</v>
      </c>
      <c r="J82" s="1" t="s">
        <v>359</v>
      </c>
      <c r="K82" s="1" t="s">
        <v>360</v>
      </c>
      <c r="L82" s="1" t="s">
        <v>36</v>
      </c>
      <c r="M82" s="1" t="s">
        <v>132</v>
      </c>
      <c r="N82" s="1" t="s">
        <v>361</v>
      </c>
      <c r="O82" s="1" t="s">
        <v>39</v>
      </c>
      <c r="P82" s="1">
        <v>4</v>
      </c>
      <c r="Q82" s="1">
        <v>1182.32</v>
      </c>
      <c r="R82" s="1">
        <v>0.1</v>
      </c>
      <c r="S82" s="1">
        <v>4256.3500000000004</v>
      </c>
      <c r="T82" s="1">
        <f t="shared" si="8"/>
        <v>4256.3519999999999</v>
      </c>
      <c r="U82" s="1">
        <v>2495.33</v>
      </c>
      <c r="V82" s="3">
        <f>IF(T82=0,"",X82/T82)</f>
        <v>0.41373974708858663</v>
      </c>
      <c r="W82" s="1">
        <v>1761.02</v>
      </c>
      <c r="X82" s="1">
        <f>T82-U82</f>
        <v>1761.0219999999999</v>
      </c>
      <c r="Y82" s="1" t="s">
        <v>119</v>
      </c>
      <c r="Z82" s="1" t="s">
        <v>111</v>
      </c>
      <c r="AA82" s="4">
        <f t="shared" si="5"/>
        <v>-55</v>
      </c>
      <c r="AB82" s="2" t="str">
        <f t="shared" si="9"/>
        <v>Invalid</v>
      </c>
      <c r="AC82" s="2"/>
    </row>
    <row r="83" spans="1:29">
      <c r="A83" s="1" t="s">
        <v>362</v>
      </c>
      <c r="B83" s="2">
        <v>45732</v>
      </c>
      <c r="C83" s="2" t="str">
        <f t="shared" si="6"/>
        <v>March</v>
      </c>
      <c r="D83" s="1">
        <f t="shared" si="7"/>
        <v>2025</v>
      </c>
      <c r="E83" s="2">
        <v>45733</v>
      </c>
      <c r="F83" s="1" t="s">
        <v>363</v>
      </c>
      <c r="G83" s="1" t="s">
        <v>31</v>
      </c>
      <c r="H83" s="1" t="s">
        <v>103</v>
      </c>
      <c r="I83" s="1" t="s">
        <v>71</v>
      </c>
      <c r="J83" s="1" t="s">
        <v>198</v>
      </c>
      <c r="K83" s="1" t="s">
        <v>199</v>
      </c>
      <c r="L83" s="1" t="s">
        <v>36</v>
      </c>
      <c r="M83" s="1" t="s">
        <v>99</v>
      </c>
      <c r="N83" s="1" t="s">
        <v>364</v>
      </c>
      <c r="O83" s="1" t="s">
        <v>52</v>
      </c>
      <c r="P83" s="1">
        <v>3</v>
      </c>
      <c r="Q83" s="1">
        <v>1841.91</v>
      </c>
      <c r="R83" s="1">
        <v>0</v>
      </c>
      <c r="S83" s="1">
        <v>5525.73</v>
      </c>
      <c r="T83" s="1">
        <f t="shared" si="8"/>
        <v>5525.7300000000005</v>
      </c>
      <c r="U83" s="1">
        <v>3093.42</v>
      </c>
      <c r="V83" s="3">
        <f>IF(T83=0,"",X83/T83)</f>
        <v>0.44017894468242208</v>
      </c>
      <c r="W83" s="1">
        <v>2432.31</v>
      </c>
      <c r="X83" s="1">
        <f>T83-U83</f>
        <v>2432.3100000000004</v>
      </c>
      <c r="Y83" s="1" t="s">
        <v>40</v>
      </c>
      <c r="Z83" s="1" t="s">
        <v>41</v>
      </c>
      <c r="AA83" s="1">
        <f t="shared" si="5"/>
        <v>1</v>
      </c>
      <c r="AB83" s="2" t="str">
        <f t="shared" si="9"/>
        <v>Clean</v>
      </c>
      <c r="AC83" s="2"/>
    </row>
    <row r="84" spans="1:29">
      <c r="A84" s="1" t="s">
        <v>365</v>
      </c>
      <c r="B84" s="2">
        <v>45359</v>
      </c>
      <c r="C84" s="2" t="str">
        <f t="shared" si="6"/>
        <v>March</v>
      </c>
      <c r="D84" s="1">
        <f t="shared" si="7"/>
        <v>2024</v>
      </c>
      <c r="E84" s="2">
        <v>45390</v>
      </c>
      <c r="F84" s="1" t="s">
        <v>366</v>
      </c>
      <c r="G84" s="1" t="s">
        <v>61</v>
      </c>
      <c r="H84" s="1" t="s">
        <v>32</v>
      </c>
      <c r="I84" s="1" t="s">
        <v>33</v>
      </c>
      <c r="J84" s="1" t="s">
        <v>144</v>
      </c>
      <c r="K84" s="1" t="s">
        <v>145</v>
      </c>
      <c r="L84" s="1" t="s">
        <v>82</v>
      </c>
      <c r="M84" s="1" t="s">
        <v>88</v>
      </c>
      <c r="N84" s="1" t="s">
        <v>367</v>
      </c>
      <c r="O84" s="1" t="s">
        <v>39</v>
      </c>
      <c r="P84" s="1">
        <v>6</v>
      </c>
      <c r="Q84" s="1">
        <v>1001.73</v>
      </c>
      <c r="R84" s="1">
        <v>0</v>
      </c>
      <c r="S84" s="1">
        <v>6010.38</v>
      </c>
      <c r="T84" s="1">
        <f t="shared" si="8"/>
        <v>6010.38</v>
      </c>
      <c r="U84" s="1">
        <v>3762.85</v>
      </c>
      <c r="V84" s="3">
        <f>IF(T84=0,"",X84/T84)</f>
        <v>0.37394141468592673</v>
      </c>
      <c r="W84" s="1">
        <v>2247.5300000000002</v>
      </c>
      <c r="X84" s="1">
        <f>T84-U84</f>
        <v>2247.5300000000002</v>
      </c>
      <c r="Y84" s="1" t="s">
        <v>163</v>
      </c>
      <c r="Z84" s="1" t="s">
        <v>111</v>
      </c>
      <c r="AA84" s="1">
        <f t="shared" si="5"/>
        <v>31</v>
      </c>
      <c r="AB84" s="2" t="str">
        <f t="shared" si="9"/>
        <v>Clean</v>
      </c>
      <c r="AC84" s="2"/>
    </row>
    <row r="85" spans="1:29">
      <c r="A85" s="1" t="s">
        <v>368</v>
      </c>
      <c r="B85" s="2">
        <v>45591</v>
      </c>
      <c r="C85" s="2" t="str">
        <f t="shared" si="6"/>
        <v>October</v>
      </c>
      <c r="D85" s="1">
        <f t="shared" si="7"/>
        <v>2024</v>
      </c>
      <c r="E85" s="2">
        <v>45594</v>
      </c>
      <c r="F85" s="1" t="s">
        <v>369</v>
      </c>
      <c r="G85" s="1" t="s">
        <v>97</v>
      </c>
      <c r="H85" s="1" t="s">
        <v>103</v>
      </c>
      <c r="I85" s="1" t="s">
        <v>71</v>
      </c>
      <c r="J85" s="1" t="s">
        <v>72</v>
      </c>
      <c r="K85" s="1" t="s">
        <v>73</v>
      </c>
      <c r="L85" s="1" t="s">
        <v>49</v>
      </c>
      <c r="M85" s="1" t="s">
        <v>50</v>
      </c>
      <c r="N85" s="1" t="s">
        <v>370</v>
      </c>
      <c r="O85" s="1" t="s">
        <v>39</v>
      </c>
      <c r="P85" s="1">
        <v>9</v>
      </c>
      <c r="Q85" s="1">
        <v>131.74</v>
      </c>
      <c r="R85" s="1">
        <v>0.2</v>
      </c>
      <c r="S85" s="1">
        <v>948.53</v>
      </c>
      <c r="T85" s="1">
        <f t="shared" si="8"/>
        <v>948.52800000000013</v>
      </c>
      <c r="U85" s="1">
        <v>674.62</v>
      </c>
      <c r="V85" s="3">
        <f>IF(T85=0,"",X85/T85)</f>
        <v>0.28877165460587362</v>
      </c>
      <c r="W85" s="1">
        <v>273.91000000000003</v>
      </c>
      <c r="X85" s="1">
        <f>T85-U85</f>
        <v>273.90800000000013</v>
      </c>
      <c r="Y85" s="1" t="s">
        <v>40</v>
      </c>
      <c r="Z85" s="1" t="s">
        <v>41</v>
      </c>
      <c r="AA85" s="1">
        <f t="shared" si="5"/>
        <v>3</v>
      </c>
      <c r="AB85" s="2" t="str">
        <f t="shared" si="9"/>
        <v>Clean</v>
      </c>
      <c r="AC85" s="2"/>
    </row>
    <row r="86" spans="1:29">
      <c r="A86" s="1" t="s">
        <v>371</v>
      </c>
      <c r="B86" s="2">
        <v>45301</v>
      </c>
      <c r="C86" s="2" t="str">
        <f t="shared" si="6"/>
        <v>January</v>
      </c>
      <c r="D86" s="1">
        <f t="shared" si="7"/>
        <v>2024</v>
      </c>
      <c r="E86" s="2">
        <v>45361</v>
      </c>
      <c r="F86" s="1" t="s">
        <v>372</v>
      </c>
      <c r="G86" s="1" t="s">
        <v>149</v>
      </c>
      <c r="H86" s="1" t="s">
        <v>98</v>
      </c>
      <c r="I86" s="1" t="s">
        <v>62</v>
      </c>
      <c r="J86" s="1" t="s">
        <v>256</v>
      </c>
      <c r="K86" s="1" t="s">
        <v>257</v>
      </c>
      <c r="L86" s="1" t="s">
        <v>82</v>
      </c>
      <c r="M86" s="1" t="s">
        <v>179</v>
      </c>
      <c r="N86" s="1" t="s">
        <v>373</v>
      </c>
      <c r="O86" s="1" t="s">
        <v>39</v>
      </c>
      <c r="P86" s="1">
        <v>6</v>
      </c>
      <c r="Q86" s="1">
        <v>570.28</v>
      </c>
      <c r="R86" s="1">
        <v>0.2</v>
      </c>
      <c r="S86" s="1">
        <v>2737.34</v>
      </c>
      <c r="T86" s="1">
        <f t="shared" si="8"/>
        <v>2737.3440000000001</v>
      </c>
      <c r="U86" s="1">
        <v>2085.44</v>
      </c>
      <c r="V86" s="3">
        <f>IF(T86=0,"",X86/T86)</f>
        <v>0.23815201889130486</v>
      </c>
      <c r="W86" s="1">
        <v>651.9</v>
      </c>
      <c r="X86" s="1">
        <f>T86-U86</f>
        <v>651.904</v>
      </c>
      <c r="Y86" s="1" t="s">
        <v>40</v>
      </c>
      <c r="Z86" s="1" t="s">
        <v>41</v>
      </c>
      <c r="AA86" s="1">
        <f t="shared" si="5"/>
        <v>60</v>
      </c>
      <c r="AB86" s="2" t="str">
        <f t="shared" si="9"/>
        <v>Clean</v>
      </c>
      <c r="AC86" s="2"/>
    </row>
    <row r="87" spans="1:29">
      <c r="A87" s="1" t="s">
        <v>374</v>
      </c>
      <c r="B87" s="2">
        <v>45503</v>
      </c>
      <c r="C87" s="2" t="str">
        <f t="shared" si="6"/>
        <v>July</v>
      </c>
      <c r="D87" s="1">
        <f t="shared" si="7"/>
        <v>2024</v>
      </c>
      <c r="E87" s="2">
        <v>45509</v>
      </c>
      <c r="F87" s="1" t="s">
        <v>375</v>
      </c>
      <c r="G87" s="1" t="s">
        <v>273</v>
      </c>
      <c r="H87" s="1" t="s">
        <v>98</v>
      </c>
      <c r="I87" s="1" t="s">
        <v>33</v>
      </c>
      <c r="J87" s="1" t="s">
        <v>359</v>
      </c>
      <c r="K87" s="1" t="s">
        <v>360</v>
      </c>
      <c r="L87" s="1" t="s">
        <v>36</v>
      </c>
      <c r="M87" s="1" t="s">
        <v>161</v>
      </c>
      <c r="N87" s="1" t="s">
        <v>376</v>
      </c>
      <c r="O87" s="1" t="s">
        <v>67</v>
      </c>
      <c r="P87" s="1">
        <v>1</v>
      </c>
      <c r="Q87" s="1">
        <v>608.64</v>
      </c>
      <c r="R87" s="1">
        <v>0</v>
      </c>
      <c r="S87" s="1">
        <v>608.64</v>
      </c>
      <c r="T87" s="1">
        <f t="shared" si="8"/>
        <v>608.64</v>
      </c>
      <c r="U87" s="1">
        <v>343.99</v>
      </c>
      <c r="V87" s="3">
        <f>IF(T87=0,"",X87/T87)</f>
        <v>0.43482189800210302</v>
      </c>
      <c r="W87" s="1">
        <v>264.64999999999998</v>
      </c>
      <c r="X87" s="1">
        <f>T87-U87</f>
        <v>264.64999999999998</v>
      </c>
      <c r="Y87" s="1" t="s">
        <v>40</v>
      </c>
      <c r="Z87" s="1" t="s">
        <v>76</v>
      </c>
      <c r="AA87" s="1">
        <f t="shared" si="5"/>
        <v>6</v>
      </c>
      <c r="AB87" s="2" t="str">
        <f t="shared" si="9"/>
        <v>Clean</v>
      </c>
      <c r="AC87" s="2"/>
    </row>
    <row r="88" spans="1:29">
      <c r="A88" s="1" t="s">
        <v>377</v>
      </c>
      <c r="B88" s="2">
        <v>45298</v>
      </c>
      <c r="C88" s="2" t="str">
        <f t="shared" si="6"/>
        <v>January</v>
      </c>
      <c r="D88" s="1">
        <f t="shared" si="7"/>
        <v>2024</v>
      </c>
      <c r="E88" s="2">
        <v>45298</v>
      </c>
      <c r="F88" s="1" t="s">
        <v>378</v>
      </c>
      <c r="G88" s="1" t="s">
        <v>70</v>
      </c>
      <c r="H88" s="1" t="s">
        <v>45</v>
      </c>
      <c r="I88" s="1" t="s">
        <v>33</v>
      </c>
      <c r="J88" s="1" t="s">
        <v>359</v>
      </c>
      <c r="K88" s="1" t="s">
        <v>360</v>
      </c>
      <c r="L88" s="1" t="s">
        <v>82</v>
      </c>
      <c r="M88" s="1" t="s">
        <v>88</v>
      </c>
      <c r="N88" s="1" t="s">
        <v>379</v>
      </c>
      <c r="O88" s="1" t="s">
        <v>39</v>
      </c>
      <c r="P88" s="1">
        <v>3</v>
      </c>
      <c r="Q88" s="1">
        <v>885.28</v>
      </c>
      <c r="R88" s="1">
        <v>0.1</v>
      </c>
      <c r="S88" s="1">
        <v>2390.2600000000002</v>
      </c>
      <c r="T88" s="1">
        <f t="shared" si="8"/>
        <v>2390.2560000000003</v>
      </c>
      <c r="U88" s="1">
        <v>1495.94</v>
      </c>
      <c r="V88" s="3">
        <f>IF(T88=0,"",X88/T88)</f>
        <v>0.37415071858411825</v>
      </c>
      <c r="W88" s="1">
        <v>894.32</v>
      </c>
      <c r="X88" s="1">
        <f>T88-U88</f>
        <v>894.31600000000026</v>
      </c>
      <c r="Y88" s="1" t="s">
        <v>110</v>
      </c>
      <c r="Z88" s="1" t="s">
        <v>76</v>
      </c>
      <c r="AA88" s="1">
        <f t="shared" si="5"/>
        <v>0</v>
      </c>
      <c r="AB88" s="2" t="str">
        <f t="shared" si="9"/>
        <v>Clean</v>
      </c>
      <c r="AC88" s="2"/>
    </row>
    <row r="89" spans="1:29">
      <c r="A89" s="1" t="s">
        <v>380</v>
      </c>
      <c r="B89" s="2">
        <v>45330</v>
      </c>
      <c r="C89" s="2" t="str">
        <f t="shared" si="6"/>
        <v>February</v>
      </c>
      <c r="D89" s="1">
        <f t="shared" si="7"/>
        <v>2024</v>
      </c>
      <c r="E89" s="2">
        <v>45359</v>
      </c>
      <c r="F89" s="1" t="s">
        <v>381</v>
      </c>
      <c r="G89" s="1" t="s">
        <v>79</v>
      </c>
      <c r="H89" s="1" t="s">
        <v>32</v>
      </c>
      <c r="I89" s="1" t="s">
        <v>46</v>
      </c>
      <c r="J89" s="1" t="s">
        <v>174</v>
      </c>
      <c r="K89" s="1" t="s">
        <v>175</v>
      </c>
      <c r="L89" s="1" t="s">
        <v>36</v>
      </c>
      <c r="M89" s="1" t="s">
        <v>161</v>
      </c>
      <c r="N89" s="1" t="s">
        <v>382</v>
      </c>
      <c r="O89" s="1" t="s">
        <v>67</v>
      </c>
      <c r="P89" s="1">
        <v>7</v>
      </c>
      <c r="Q89" s="1">
        <v>3345.22</v>
      </c>
      <c r="R89" s="1">
        <v>0</v>
      </c>
      <c r="S89" s="1">
        <v>23416.54</v>
      </c>
      <c r="T89" s="1">
        <f t="shared" si="8"/>
        <v>23416.539999999997</v>
      </c>
      <c r="U89" s="1">
        <v>15490.89</v>
      </c>
      <c r="V89" s="3">
        <f>IF(T89=0,"",X89/T89)</f>
        <v>0.33846375254414185</v>
      </c>
      <c r="W89" s="1">
        <v>7925.65</v>
      </c>
      <c r="X89" s="1">
        <f>T89-U89</f>
        <v>7925.6499999999978</v>
      </c>
      <c r="Y89" s="1" t="s">
        <v>40</v>
      </c>
      <c r="Z89" s="1" t="s">
        <v>41</v>
      </c>
      <c r="AA89" s="1">
        <f t="shared" si="5"/>
        <v>29</v>
      </c>
      <c r="AB89" s="2" t="str">
        <f t="shared" si="9"/>
        <v>Clean</v>
      </c>
      <c r="AC89" s="2"/>
    </row>
    <row r="90" spans="1:29">
      <c r="A90" s="1" t="s">
        <v>383</v>
      </c>
      <c r="B90" s="2">
        <v>45375</v>
      </c>
      <c r="C90" s="2" t="str">
        <f t="shared" si="6"/>
        <v>March</v>
      </c>
      <c r="D90" s="1">
        <f t="shared" si="7"/>
        <v>2024</v>
      </c>
      <c r="E90" s="2">
        <v>45378</v>
      </c>
      <c r="F90" s="1" t="s">
        <v>384</v>
      </c>
      <c r="G90" s="1" t="s">
        <v>149</v>
      </c>
      <c r="H90" s="1" t="s">
        <v>45</v>
      </c>
      <c r="I90" s="1" t="s">
        <v>71</v>
      </c>
      <c r="J90" s="1" t="s">
        <v>72</v>
      </c>
      <c r="K90" s="1" t="s">
        <v>73</v>
      </c>
      <c r="L90" s="1" t="s">
        <v>49</v>
      </c>
      <c r="M90" s="1" t="s">
        <v>166</v>
      </c>
      <c r="N90" s="1" t="s">
        <v>385</v>
      </c>
      <c r="O90" s="1" t="s">
        <v>67</v>
      </c>
      <c r="P90" s="1">
        <v>2</v>
      </c>
      <c r="Q90" s="1">
        <v>3284.75</v>
      </c>
      <c r="R90" s="1">
        <v>0.05</v>
      </c>
      <c r="S90" s="1">
        <v>6241.02</v>
      </c>
      <c r="T90" s="1">
        <f t="shared" si="8"/>
        <v>6241.0249999999996</v>
      </c>
      <c r="U90" s="1">
        <v>5345.88</v>
      </c>
      <c r="V90" s="3">
        <f>IF(T90=0,"",X90/T90)</f>
        <v>0.14342916427990587</v>
      </c>
      <c r="W90" s="1">
        <v>895.14</v>
      </c>
      <c r="X90" s="1">
        <f>T90-U90</f>
        <v>895.14499999999953</v>
      </c>
      <c r="Y90" s="1" t="s">
        <v>40</v>
      </c>
      <c r="Z90" s="1" t="s">
        <v>41</v>
      </c>
      <c r="AA90" s="1">
        <f t="shared" si="5"/>
        <v>3</v>
      </c>
      <c r="AB90" s="2" t="str">
        <f t="shared" si="9"/>
        <v>Clean</v>
      </c>
      <c r="AC90" s="2"/>
    </row>
    <row r="91" spans="1:29">
      <c r="A91" s="1" t="s">
        <v>386</v>
      </c>
      <c r="B91" s="2">
        <v>45421</v>
      </c>
      <c r="C91" s="2" t="str">
        <f t="shared" si="6"/>
        <v>May</v>
      </c>
      <c r="D91" s="1">
        <f t="shared" si="7"/>
        <v>2024</v>
      </c>
      <c r="E91" s="2">
        <v>45421</v>
      </c>
      <c r="F91" s="1" t="s">
        <v>387</v>
      </c>
      <c r="G91" s="1" t="s">
        <v>273</v>
      </c>
      <c r="H91" s="1" t="s">
        <v>32</v>
      </c>
      <c r="I91" s="1" t="s">
        <v>62</v>
      </c>
      <c r="J91" s="1" t="s">
        <v>92</v>
      </c>
      <c r="K91" s="1" t="s">
        <v>93</v>
      </c>
      <c r="L91" s="1" t="s">
        <v>49</v>
      </c>
      <c r="M91" s="1" t="s">
        <v>166</v>
      </c>
      <c r="N91" s="1" t="s">
        <v>388</v>
      </c>
      <c r="O91" s="1" t="s">
        <v>67</v>
      </c>
      <c r="P91" s="1">
        <v>7</v>
      </c>
      <c r="Q91" s="1">
        <v>3761.09</v>
      </c>
      <c r="R91" s="1">
        <v>0.2</v>
      </c>
      <c r="S91" s="1">
        <v>21062.1</v>
      </c>
      <c r="T91" s="1">
        <f t="shared" si="8"/>
        <v>21062.104000000003</v>
      </c>
      <c r="U91" s="1">
        <v>12057.13</v>
      </c>
      <c r="V91" s="3">
        <f>IF(T91=0,"",X91/T91)</f>
        <v>0.42754389589947911</v>
      </c>
      <c r="W91" s="1">
        <v>9004.9699999999993</v>
      </c>
      <c r="X91" s="1">
        <f>T91-U91</f>
        <v>9004.9740000000038</v>
      </c>
      <c r="Y91" s="1" t="s">
        <v>119</v>
      </c>
      <c r="Z91" s="1" t="s">
        <v>76</v>
      </c>
      <c r="AA91" s="1">
        <f t="shared" si="5"/>
        <v>0</v>
      </c>
      <c r="AB91" s="2" t="str">
        <f t="shared" si="9"/>
        <v>Clean</v>
      </c>
      <c r="AC91" s="2"/>
    </row>
    <row r="92" spans="1:29">
      <c r="A92" s="1" t="s">
        <v>389</v>
      </c>
      <c r="B92" s="2">
        <v>45436</v>
      </c>
      <c r="C92" s="2" t="str">
        <f t="shared" si="6"/>
        <v>May</v>
      </c>
      <c r="D92" s="1">
        <f t="shared" si="7"/>
        <v>2024</v>
      </c>
      <c r="E92" s="2">
        <v>45437</v>
      </c>
      <c r="F92" s="1" t="s">
        <v>390</v>
      </c>
      <c r="G92" s="1" t="s">
        <v>140</v>
      </c>
      <c r="H92" s="1" t="s">
        <v>45</v>
      </c>
      <c r="I92" s="1" t="s">
        <v>33</v>
      </c>
      <c r="J92" s="1" t="s">
        <v>130</v>
      </c>
      <c r="K92" s="1" t="s">
        <v>131</v>
      </c>
      <c r="L92" s="1" t="s">
        <v>82</v>
      </c>
      <c r="M92" s="1" t="s">
        <v>88</v>
      </c>
      <c r="N92" s="1" t="s">
        <v>391</v>
      </c>
      <c r="O92" s="1" t="s">
        <v>52</v>
      </c>
      <c r="P92" s="1">
        <v>1</v>
      </c>
      <c r="Q92" s="1">
        <v>634.13</v>
      </c>
      <c r="R92" s="1">
        <v>0</v>
      </c>
      <c r="S92" s="1">
        <v>634.13</v>
      </c>
      <c r="T92" s="1">
        <f t="shared" si="8"/>
        <v>634.13</v>
      </c>
      <c r="U92" s="1">
        <v>453.35</v>
      </c>
      <c r="V92" s="3">
        <f>IF(T92=0,"",X92/T92)</f>
        <v>0.28508350022865969</v>
      </c>
      <c r="W92" s="1">
        <v>180.78</v>
      </c>
      <c r="X92" s="1">
        <f>T92-U92</f>
        <v>180.77999999999997</v>
      </c>
      <c r="Y92" s="1" t="s">
        <v>110</v>
      </c>
      <c r="Z92" s="1" t="s">
        <v>76</v>
      </c>
      <c r="AA92" s="1">
        <f t="shared" si="5"/>
        <v>1</v>
      </c>
      <c r="AB92" s="2" t="str">
        <f t="shared" si="9"/>
        <v>Clean</v>
      </c>
      <c r="AC92" s="2" t="s">
        <v>392</v>
      </c>
    </row>
    <row r="93" spans="1:29">
      <c r="A93" s="1" t="s">
        <v>393</v>
      </c>
      <c r="B93" s="2">
        <v>45691</v>
      </c>
      <c r="C93" s="2" t="str">
        <f t="shared" si="6"/>
        <v>February</v>
      </c>
      <c r="D93" s="1">
        <f t="shared" si="7"/>
        <v>2025</v>
      </c>
      <c r="E93" s="2">
        <v>45724</v>
      </c>
      <c r="F93" s="1" t="s">
        <v>394</v>
      </c>
      <c r="G93" s="1" t="s">
        <v>140</v>
      </c>
      <c r="H93" s="1" t="s">
        <v>98</v>
      </c>
      <c r="I93" s="1" t="s">
        <v>71</v>
      </c>
      <c r="J93" s="1" t="s">
        <v>80</v>
      </c>
      <c r="K93" s="1" t="s">
        <v>81</v>
      </c>
      <c r="L93" s="1" t="s">
        <v>82</v>
      </c>
      <c r="M93" s="1" t="s">
        <v>88</v>
      </c>
      <c r="N93" s="1" t="s">
        <v>395</v>
      </c>
      <c r="O93" s="1" t="s">
        <v>39</v>
      </c>
      <c r="P93" s="1">
        <v>9</v>
      </c>
      <c r="Q93" s="1">
        <v>269.68</v>
      </c>
      <c r="R93" s="1">
        <v>0</v>
      </c>
      <c r="S93" s="1">
        <v>2427.12</v>
      </c>
      <c r="T93" s="1">
        <f t="shared" si="8"/>
        <v>2427.12</v>
      </c>
      <c r="U93" s="1">
        <v>1538.35</v>
      </c>
      <c r="V93" s="3">
        <f>IF(T93=0,"",X93/T93)</f>
        <v>0.36618296581957216</v>
      </c>
      <c r="W93" s="1">
        <v>804.53</v>
      </c>
      <c r="X93" s="1">
        <f>T93-U93</f>
        <v>888.77</v>
      </c>
      <c r="Y93" s="1" t="s">
        <v>40</v>
      </c>
      <c r="Z93" s="1" t="s">
        <v>41</v>
      </c>
      <c r="AA93" s="1">
        <f t="shared" si="5"/>
        <v>33</v>
      </c>
      <c r="AB93" s="2" t="str">
        <f t="shared" si="9"/>
        <v>Clean</v>
      </c>
      <c r="AC93" s="2"/>
    </row>
    <row r="94" spans="1:29">
      <c r="A94" s="1" t="s">
        <v>396</v>
      </c>
      <c r="B94" s="2">
        <v>45680</v>
      </c>
      <c r="C94" s="2" t="str">
        <f t="shared" si="6"/>
        <v>January</v>
      </c>
      <c r="D94" s="1">
        <f t="shared" si="7"/>
        <v>2025</v>
      </c>
      <c r="E94" s="2">
        <v>45683</v>
      </c>
      <c r="F94" s="1" t="s">
        <v>397</v>
      </c>
      <c r="G94" s="1" t="s">
        <v>136</v>
      </c>
      <c r="H94" s="1" t="s">
        <v>32</v>
      </c>
      <c r="I94" s="1" t="s">
        <v>71</v>
      </c>
      <c r="J94" s="1" t="s">
        <v>80</v>
      </c>
      <c r="K94" s="1" t="s">
        <v>81</v>
      </c>
      <c r="L94" s="1" t="s">
        <v>36</v>
      </c>
      <c r="M94" s="1" t="s">
        <v>37</v>
      </c>
      <c r="N94" s="1" t="s">
        <v>398</v>
      </c>
      <c r="O94" s="1" t="s">
        <v>67</v>
      </c>
      <c r="P94" s="1">
        <v>9</v>
      </c>
      <c r="Q94" s="1">
        <v>4458.26</v>
      </c>
      <c r="R94" s="1">
        <v>0.1</v>
      </c>
      <c r="S94" s="1">
        <v>36111.910000000003</v>
      </c>
      <c r="T94" s="1">
        <f t="shared" si="8"/>
        <v>36111.906000000003</v>
      </c>
      <c r="U94" s="1">
        <v>29194.5</v>
      </c>
      <c r="V94" s="3">
        <f>IF(T94=0,"",X94/T94)</f>
        <v>0.19155471882320479</v>
      </c>
      <c r="W94" s="1">
        <v>6917.41</v>
      </c>
      <c r="X94" s="1">
        <f>T94-U94</f>
        <v>6917.4060000000027</v>
      </c>
      <c r="Y94" s="1" t="s">
        <v>40</v>
      </c>
      <c r="Z94" s="1" t="s">
        <v>41</v>
      </c>
      <c r="AA94" s="1">
        <f t="shared" si="5"/>
        <v>3</v>
      </c>
      <c r="AB94" s="2" t="str">
        <f t="shared" si="9"/>
        <v>Clean</v>
      </c>
      <c r="AC94" s="2"/>
    </row>
    <row r="95" spans="1:29">
      <c r="A95" s="1" t="s">
        <v>399</v>
      </c>
      <c r="B95" s="2">
        <v>45298</v>
      </c>
      <c r="C95" s="2" t="str">
        <f t="shared" si="6"/>
        <v>January</v>
      </c>
      <c r="D95" s="1">
        <f t="shared" si="7"/>
        <v>2024</v>
      </c>
      <c r="E95" s="2">
        <v>45304</v>
      </c>
      <c r="F95" s="1" t="s">
        <v>400</v>
      </c>
      <c r="G95" s="1" t="s">
        <v>149</v>
      </c>
      <c r="H95" s="1" t="s">
        <v>98</v>
      </c>
      <c r="I95" s="1" t="s">
        <v>33</v>
      </c>
      <c r="J95" s="1" t="s">
        <v>144</v>
      </c>
      <c r="K95" s="1" t="s">
        <v>145</v>
      </c>
      <c r="L95" s="1" t="s">
        <v>36</v>
      </c>
      <c r="M95" s="1" t="s">
        <v>161</v>
      </c>
      <c r="N95" s="1" t="s">
        <v>401</v>
      </c>
      <c r="O95" s="1" t="s">
        <v>67</v>
      </c>
      <c r="P95" s="1">
        <v>7</v>
      </c>
      <c r="Q95" s="1">
        <v>2788.97</v>
      </c>
      <c r="R95" s="4">
        <v>-0.09</v>
      </c>
      <c r="S95" s="1">
        <v>19522.79</v>
      </c>
      <c r="T95" s="4">
        <f t="shared" si="8"/>
        <v>21279.841099999998</v>
      </c>
      <c r="U95" s="1">
        <v>12455.78</v>
      </c>
      <c r="V95" s="3"/>
      <c r="W95" s="1">
        <v>7067.01</v>
      </c>
      <c r="X95" s="1"/>
      <c r="Y95" s="1" t="s">
        <v>40</v>
      </c>
      <c r="Z95" s="1" t="s">
        <v>41</v>
      </c>
      <c r="AA95" s="1">
        <f t="shared" si="5"/>
        <v>6</v>
      </c>
      <c r="AB95" s="2" t="str">
        <f t="shared" si="9"/>
        <v>Invalid</v>
      </c>
      <c r="AC95" s="2"/>
    </row>
    <row r="96" spans="1:29">
      <c r="A96" s="1" t="s">
        <v>402</v>
      </c>
      <c r="B96" s="2">
        <v>45541</v>
      </c>
      <c r="C96" s="2" t="str">
        <f t="shared" si="6"/>
        <v>September</v>
      </c>
      <c r="D96" s="1">
        <f t="shared" si="7"/>
        <v>2024</v>
      </c>
      <c r="E96" s="2">
        <v>45544</v>
      </c>
      <c r="F96" s="1" t="s">
        <v>403</v>
      </c>
      <c r="G96" s="1" t="s">
        <v>170</v>
      </c>
      <c r="H96" s="1" t="s">
        <v>32</v>
      </c>
      <c r="I96" s="1" t="s">
        <v>33</v>
      </c>
      <c r="J96" s="1" t="s">
        <v>245</v>
      </c>
      <c r="K96" s="1" t="s">
        <v>246</v>
      </c>
      <c r="L96" s="1" t="s">
        <v>82</v>
      </c>
      <c r="M96" s="1" t="s">
        <v>179</v>
      </c>
      <c r="N96" s="1" t="s">
        <v>404</v>
      </c>
      <c r="O96" s="1" t="s">
        <v>39</v>
      </c>
      <c r="P96" s="1">
        <v>7</v>
      </c>
      <c r="Q96" s="1">
        <v>3781.53</v>
      </c>
      <c r="R96" s="1">
        <v>0</v>
      </c>
      <c r="S96" s="1">
        <v>26470.71</v>
      </c>
      <c r="T96" s="1">
        <f t="shared" si="8"/>
        <v>26470.710000000003</v>
      </c>
      <c r="U96" s="1">
        <v>21367.599999999999</v>
      </c>
      <c r="V96" s="3">
        <f>IF(T96=0,"",X96/T96)</f>
        <v>0.19278326875251944</v>
      </c>
      <c r="W96" s="1">
        <v>5103.1099999999997</v>
      </c>
      <c r="X96" s="1">
        <f>T96-U96</f>
        <v>5103.1100000000042</v>
      </c>
      <c r="Y96" s="1" t="s">
        <v>119</v>
      </c>
      <c r="Z96" s="1" t="s">
        <v>76</v>
      </c>
      <c r="AA96" s="1">
        <f t="shared" si="5"/>
        <v>3</v>
      </c>
      <c r="AB96" s="2" t="str">
        <f t="shared" si="9"/>
        <v>Clean</v>
      </c>
      <c r="AC96" s="2"/>
    </row>
    <row r="97" spans="1:29">
      <c r="A97" s="1" t="s">
        <v>405</v>
      </c>
      <c r="B97" s="2">
        <v>45786</v>
      </c>
      <c r="C97" s="2" t="str">
        <f t="shared" si="6"/>
        <v>May</v>
      </c>
      <c r="D97" s="1">
        <f t="shared" si="7"/>
        <v>2025</v>
      </c>
      <c r="E97" s="2">
        <v>45910</v>
      </c>
      <c r="F97" s="1" t="s">
        <v>406</v>
      </c>
      <c r="G97" s="1" t="s">
        <v>140</v>
      </c>
      <c r="H97" s="1" t="s">
        <v>98</v>
      </c>
      <c r="I97" s="1" t="s">
        <v>71</v>
      </c>
      <c r="J97" s="1" t="s">
        <v>198</v>
      </c>
      <c r="K97" s="1" t="s">
        <v>199</v>
      </c>
      <c r="L97" s="1" t="s">
        <v>49</v>
      </c>
      <c r="M97" s="1" t="s">
        <v>166</v>
      </c>
      <c r="N97" s="1" t="s">
        <v>407</v>
      </c>
      <c r="O97" s="1" t="s">
        <v>52</v>
      </c>
      <c r="P97" s="1">
        <v>6</v>
      </c>
      <c r="Q97" s="1">
        <v>1754.13</v>
      </c>
      <c r="R97" s="1">
        <v>0</v>
      </c>
      <c r="S97" s="1">
        <v>10524.78</v>
      </c>
      <c r="T97" s="1">
        <f t="shared" si="8"/>
        <v>10524.78</v>
      </c>
      <c r="U97" s="1">
        <v>8841.0499999999993</v>
      </c>
      <c r="V97" s="3">
        <f>IF(T97=0,"",X97/T97)</f>
        <v>0.15997769074507984</v>
      </c>
      <c r="W97" s="1">
        <v>1683.73</v>
      </c>
      <c r="X97" s="1">
        <f>T97-U97</f>
        <v>1683.7300000000014</v>
      </c>
      <c r="Y97" s="1" t="s">
        <v>40</v>
      </c>
      <c r="Z97" s="1" t="s">
        <v>41</v>
      </c>
      <c r="AA97" s="1">
        <f t="shared" si="5"/>
        <v>124</v>
      </c>
      <c r="AB97" s="2" t="str">
        <f t="shared" si="9"/>
        <v>Clean</v>
      </c>
      <c r="AC97" s="2"/>
    </row>
    <row r="98" spans="1:29">
      <c r="A98" s="1" t="s">
        <v>408</v>
      </c>
      <c r="B98" s="2">
        <v>45418</v>
      </c>
      <c r="C98" s="2" t="str">
        <f t="shared" si="6"/>
        <v>May</v>
      </c>
      <c r="D98" s="1">
        <f t="shared" si="7"/>
        <v>2024</v>
      </c>
      <c r="E98" s="2">
        <v>45479</v>
      </c>
      <c r="F98" s="1" t="s">
        <v>409</v>
      </c>
      <c r="G98" s="1" t="s">
        <v>126</v>
      </c>
      <c r="H98" s="1" t="s">
        <v>103</v>
      </c>
      <c r="I98" s="1" t="s">
        <v>46</v>
      </c>
      <c r="J98" s="1" t="s">
        <v>47</v>
      </c>
      <c r="K98" s="1" t="s">
        <v>48</v>
      </c>
      <c r="L98" s="1" t="s">
        <v>82</v>
      </c>
      <c r="M98" s="1" t="s">
        <v>88</v>
      </c>
      <c r="N98" s="1" t="s">
        <v>410</v>
      </c>
      <c r="O98" s="1" t="s">
        <v>39</v>
      </c>
      <c r="P98" s="1">
        <v>2</v>
      </c>
      <c r="Q98" s="1">
        <v>2259.2399999999998</v>
      </c>
      <c r="R98" s="1">
        <v>0.15</v>
      </c>
      <c r="S98" s="1">
        <v>3840.71</v>
      </c>
      <c r="T98" s="1">
        <f t="shared" si="8"/>
        <v>3840.7079999999996</v>
      </c>
      <c r="U98" s="1">
        <v>2516.29</v>
      </c>
      <c r="V98" s="3">
        <f>IF(T98=0,"",X98/T98)</f>
        <v>0.34483694152224009</v>
      </c>
      <c r="W98" s="1">
        <v>1324.42</v>
      </c>
      <c r="X98" s="1">
        <f>T98-U98</f>
        <v>1324.4179999999997</v>
      </c>
      <c r="Y98" s="1" t="s">
        <v>40</v>
      </c>
      <c r="Z98" s="1" t="s">
        <v>41</v>
      </c>
      <c r="AA98" s="1">
        <f t="shared" si="5"/>
        <v>61</v>
      </c>
      <c r="AB98" s="2" t="str">
        <f t="shared" si="9"/>
        <v>Clean</v>
      </c>
      <c r="AC98" s="2"/>
    </row>
    <row r="99" spans="1:29">
      <c r="A99" s="1" t="s">
        <v>411</v>
      </c>
      <c r="B99" s="2">
        <v>45877</v>
      </c>
      <c r="C99" s="2" t="str">
        <f t="shared" si="6"/>
        <v>August</v>
      </c>
      <c r="D99" s="1">
        <f t="shared" si="7"/>
        <v>2025</v>
      </c>
      <c r="E99" s="2">
        <v>45969</v>
      </c>
      <c r="F99" s="1" t="s">
        <v>412</v>
      </c>
      <c r="G99" s="1" t="s">
        <v>170</v>
      </c>
      <c r="H99" s="1" t="s">
        <v>45</v>
      </c>
      <c r="I99" s="1" t="s">
        <v>71</v>
      </c>
      <c r="J99" s="1" t="s">
        <v>188</v>
      </c>
      <c r="K99" s="1" t="s">
        <v>189</v>
      </c>
      <c r="L99" s="1" t="s">
        <v>36</v>
      </c>
      <c r="M99" s="1" t="s">
        <v>132</v>
      </c>
      <c r="N99" s="1" t="s">
        <v>413</v>
      </c>
      <c r="O99" s="1" t="s">
        <v>52</v>
      </c>
      <c r="P99" s="1">
        <v>5</v>
      </c>
      <c r="Q99" s="1">
        <v>3602.36</v>
      </c>
      <c r="R99" s="1">
        <v>0.2</v>
      </c>
      <c r="S99" s="1">
        <v>14409.44</v>
      </c>
      <c r="T99" s="1">
        <f t="shared" si="8"/>
        <v>14409.44</v>
      </c>
      <c r="U99" s="1">
        <v>8809.9699999999993</v>
      </c>
      <c r="V99" s="3">
        <f>IF(T99=0,"",X99/T99)</f>
        <v>0.38859733619071951</v>
      </c>
      <c r="W99" s="1">
        <v>5599.47</v>
      </c>
      <c r="X99" s="1">
        <f>T99-U99</f>
        <v>5599.4700000000012</v>
      </c>
      <c r="Y99" s="1" t="s">
        <v>119</v>
      </c>
      <c r="Z99" s="1" t="s">
        <v>111</v>
      </c>
      <c r="AA99" s="1">
        <f t="shared" si="5"/>
        <v>92</v>
      </c>
      <c r="AB99" s="2" t="str">
        <f t="shared" si="9"/>
        <v>Clean</v>
      </c>
      <c r="AC99" s="2"/>
    </row>
    <row r="100" spans="1:29">
      <c r="A100" s="1" t="s">
        <v>414</v>
      </c>
      <c r="B100" s="2">
        <v>45317</v>
      </c>
      <c r="C100" s="2" t="str">
        <f t="shared" si="6"/>
        <v>January</v>
      </c>
      <c r="D100" s="1">
        <f t="shared" si="7"/>
        <v>2024</v>
      </c>
      <c r="E100" s="2">
        <v>45323</v>
      </c>
      <c r="F100" s="1" t="s">
        <v>415</v>
      </c>
      <c r="G100" s="1" t="s">
        <v>149</v>
      </c>
      <c r="H100" s="1" t="s">
        <v>103</v>
      </c>
      <c r="I100" s="1" t="s">
        <v>62</v>
      </c>
      <c r="J100" s="1" t="s">
        <v>193</v>
      </c>
      <c r="K100" s="1" t="s">
        <v>194</v>
      </c>
      <c r="L100" s="1" t="s">
        <v>82</v>
      </c>
      <c r="M100" s="1" t="s">
        <v>88</v>
      </c>
      <c r="N100" s="1" t="s">
        <v>416</v>
      </c>
      <c r="O100" s="1" t="s">
        <v>213</v>
      </c>
      <c r="P100" s="1">
        <v>8</v>
      </c>
      <c r="Q100" s="1">
        <v>2108.9299999999998</v>
      </c>
      <c r="R100" s="1">
        <v>0.1</v>
      </c>
      <c r="S100" s="1">
        <v>15184.3</v>
      </c>
      <c r="T100" s="1">
        <f t="shared" si="8"/>
        <v>15184.295999999998</v>
      </c>
      <c r="U100" s="1">
        <v>11270.74</v>
      </c>
      <c r="V100" s="3">
        <f>IF(T100=0,"",X100/T100)</f>
        <v>0.25773707256497103</v>
      </c>
      <c r="W100" s="1">
        <v>3913.56</v>
      </c>
      <c r="X100" s="1">
        <f>T100-U100</f>
        <v>3913.5559999999987</v>
      </c>
      <c r="Y100" s="1" t="s">
        <v>40</v>
      </c>
      <c r="Z100" s="1" t="s">
        <v>41</v>
      </c>
      <c r="AA100" s="1">
        <f t="shared" si="5"/>
        <v>6</v>
      </c>
      <c r="AB100" s="2" t="str">
        <f t="shared" si="9"/>
        <v>Warning</v>
      </c>
      <c r="AC100" s="2"/>
    </row>
    <row r="101" spans="1:29">
      <c r="A101" s="1" t="s">
        <v>417</v>
      </c>
      <c r="B101" s="2">
        <v>45962</v>
      </c>
      <c r="C101" s="2" t="str">
        <f t="shared" si="6"/>
        <v>November</v>
      </c>
      <c r="D101" s="1">
        <f t="shared" si="7"/>
        <v>2025</v>
      </c>
      <c r="E101" s="2">
        <v>45962</v>
      </c>
      <c r="F101" s="1" t="s">
        <v>418</v>
      </c>
      <c r="G101" s="1" t="s">
        <v>97</v>
      </c>
      <c r="H101" s="1" t="s">
        <v>45</v>
      </c>
      <c r="I101" s="1" t="s">
        <v>71</v>
      </c>
      <c r="J101" s="1" t="s">
        <v>34</v>
      </c>
      <c r="K101" s="1" t="s">
        <v>117</v>
      </c>
      <c r="L101" s="1" t="s">
        <v>82</v>
      </c>
      <c r="M101" s="1" t="s">
        <v>83</v>
      </c>
      <c r="N101" s="1" t="s">
        <v>419</v>
      </c>
      <c r="O101" s="1" t="s">
        <v>52</v>
      </c>
      <c r="P101" s="1">
        <v>3</v>
      </c>
      <c r="Q101" s="1">
        <v>2165.29</v>
      </c>
      <c r="R101" s="1">
        <v>0</v>
      </c>
      <c r="S101" s="1">
        <v>6495.87</v>
      </c>
      <c r="T101" s="1">
        <f t="shared" si="8"/>
        <v>6495.87</v>
      </c>
      <c r="U101" s="1">
        <v>4700.8900000000003</v>
      </c>
      <c r="V101" s="3">
        <f>IF(T101=0,"",X101/T101)</f>
        <v>0.27632634273777024</v>
      </c>
      <c r="W101" s="1">
        <v>1794.98</v>
      </c>
      <c r="X101" s="1">
        <f>T101-U101</f>
        <v>1794.9799999999996</v>
      </c>
      <c r="Y101" s="1" t="s">
        <v>40</v>
      </c>
      <c r="Z101" s="1" t="s">
        <v>41</v>
      </c>
      <c r="AA101" s="1">
        <f t="shared" si="5"/>
        <v>0</v>
      </c>
      <c r="AB101" s="2" t="str">
        <f t="shared" si="9"/>
        <v>Clean</v>
      </c>
      <c r="AC101" s="2"/>
    </row>
    <row r="102" spans="1:29">
      <c r="A102" s="1" t="s">
        <v>420</v>
      </c>
      <c r="B102" s="2">
        <v>46000</v>
      </c>
      <c r="C102" s="2" t="str">
        <f t="shared" si="6"/>
        <v>December</v>
      </c>
      <c r="D102" s="1">
        <f t="shared" si="7"/>
        <v>2025</v>
      </c>
      <c r="E102" s="2">
        <v>45918</v>
      </c>
      <c r="F102" s="1" t="s">
        <v>421</v>
      </c>
      <c r="G102" s="1" t="s">
        <v>136</v>
      </c>
      <c r="H102" s="1" t="s">
        <v>103</v>
      </c>
      <c r="I102" s="1" t="s">
        <v>62</v>
      </c>
      <c r="J102" s="1" t="s">
        <v>193</v>
      </c>
      <c r="K102" s="1" t="s">
        <v>194</v>
      </c>
      <c r="L102" s="1" t="s">
        <v>36</v>
      </c>
      <c r="M102" s="1" t="s">
        <v>132</v>
      </c>
      <c r="N102" s="1" t="s">
        <v>422</v>
      </c>
      <c r="O102" s="1" t="s">
        <v>67</v>
      </c>
      <c r="P102" s="1">
        <v>6</v>
      </c>
      <c r="Q102" s="1">
        <v>1673.8</v>
      </c>
      <c r="R102" s="1">
        <v>0.05</v>
      </c>
      <c r="S102" s="1">
        <v>9540.66</v>
      </c>
      <c r="T102" s="1">
        <f t="shared" si="8"/>
        <v>9540.659999999998</v>
      </c>
      <c r="U102" s="1">
        <v>5561.49</v>
      </c>
      <c r="V102" s="3">
        <f>IF(T102=0,"",X102/T102)</f>
        <v>0.41707491934520241</v>
      </c>
      <c r="W102" s="1">
        <v>3979.17</v>
      </c>
      <c r="X102" s="1">
        <f>T102-U102</f>
        <v>3979.1699999999983</v>
      </c>
      <c r="Y102" s="1" t="s">
        <v>40</v>
      </c>
      <c r="Z102" s="1" t="s">
        <v>41</v>
      </c>
      <c r="AA102" s="4">
        <f t="shared" si="5"/>
        <v>-82</v>
      </c>
      <c r="AB102" s="2" t="str">
        <f t="shared" si="9"/>
        <v>Invalid</v>
      </c>
      <c r="AC102" s="2"/>
    </row>
    <row r="103" spans="1:29">
      <c r="A103" s="1" t="s">
        <v>423</v>
      </c>
      <c r="B103" s="2">
        <v>45465</v>
      </c>
      <c r="C103" s="2" t="str">
        <f t="shared" si="6"/>
        <v>June</v>
      </c>
      <c r="D103" s="1">
        <f t="shared" si="7"/>
        <v>2024</v>
      </c>
      <c r="E103" s="2">
        <v>45469</v>
      </c>
      <c r="F103" s="1" t="s">
        <v>424</v>
      </c>
      <c r="G103" s="1" t="s">
        <v>149</v>
      </c>
      <c r="H103" s="1" t="s">
        <v>103</v>
      </c>
      <c r="I103" s="1" t="s">
        <v>46</v>
      </c>
      <c r="J103" s="1" t="s">
        <v>153</v>
      </c>
      <c r="K103" s="1" t="s">
        <v>154</v>
      </c>
      <c r="L103" s="1" t="s">
        <v>49</v>
      </c>
      <c r="M103" s="1" t="s">
        <v>65</v>
      </c>
      <c r="N103" s="1" t="s">
        <v>425</v>
      </c>
      <c r="O103" s="1" t="s">
        <v>58</v>
      </c>
      <c r="P103" s="1">
        <v>5</v>
      </c>
      <c r="Q103" s="1">
        <v>4396.5200000000004</v>
      </c>
      <c r="R103" s="1">
        <v>0.25</v>
      </c>
      <c r="S103" s="1">
        <v>16486.95</v>
      </c>
      <c r="T103" s="1">
        <f t="shared" si="8"/>
        <v>16486.95</v>
      </c>
      <c r="U103" s="1">
        <v>12054.14</v>
      </c>
      <c r="V103" s="3">
        <f>IF(T103=0,"",X103/T103)</f>
        <v>0.26886780150361356</v>
      </c>
      <c r="W103" s="1">
        <v>4432.8100000000004</v>
      </c>
      <c r="X103" s="1">
        <f>T103-U103</f>
        <v>4432.8100000000013</v>
      </c>
      <c r="Y103" s="1" t="s">
        <v>40</v>
      </c>
      <c r="Z103" s="1" t="s">
        <v>41</v>
      </c>
      <c r="AA103" s="1">
        <f t="shared" si="5"/>
        <v>4</v>
      </c>
      <c r="AB103" s="2" t="str">
        <f t="shared" si="9"/>
        <v>Clean</v>
      </c>
      <c r="AC103" s="2"/>
    </row>
    <row r="104" spans="1:29">
      <c r="A104" s="1" t="s">
        <v>426</v>
      </c>
      <c r="B104" s="2">
        <v>45998</v>
      </c>
      <c r="C104" s="2" t="str">
        <f t="shared" si="6"/>
        <v>December</v>
      </c>
      <c r="D104" s="1">
        <f t="shared" si="7"/>
        <v>2025</v>
      </c>
      <c r="E104" s="2">
        <v>45854</v>
      </c>
      <c r="F104" s="1" t="s">
        <v>427</v>
      </c>
      <c r="G104" s="1" t="s">
        <v>79</v>
      </c>
      <c r="H104" s="1" t="s">
        <v>32</v>
      </c>
      <c r="I104" s="1" t="s">
        <v>62</v>
      </c>
      <c r="J104" s="1" t="s">
        <v>183</v>
      </c>
      <c r="K104" s="1" t="s">
        <v>184</v>
      </c>
      <c r="L104" s="1" t="s">
        <v>49</v>
      </c>
      <c r="M104" s="1" t="s">
        <v>74</v>
      </c>
      <c r="N104" s="1" t="s">
        <v>428</v>
      </c>
      <c r="O104" s="1" t="s">
        <v>58</v>
      </c>
      <c r="P104" s="1">
        <v>4</v>
      </c>
      <c r="Q104" s="1">
        <v>2865.71</v>
      </c>
      <c r="R104" s="1">
        <v>0</v>
      </c>
      <c r="S104" s="1">
        <v>11462.84</v>
      </c>
      <c r="T104" s="1">
        <f t="shared" si="8"/>
        <v>11462.84</v>
      </c>
      <c r="U104" s="1">
        <v>8979.7800000000007</v>
      </c>
      <c r="V104" s="3">
        <f>IF(T104=0,"",X104/T104)</f>
        <v>0.21661822026653077</v>
      </c>
      <c r="W104" s="1">
        <v>2483.06</v>
      </c>
      <c r="X104" s="1">
        <f>T104-U104</f>
        <v>2483.0599999999995</v>
      </c>
      <c r="Y104" s="1" t="s">
        <v>110</v>
      </c>
      <c r="Z104" s="1" t="s">
        <v>76</v>
      </c>
      <c r="AA104" s="4">
        <f t="shared" si="5"/>
        <v>-144</v>
      </c>
      <c r="AB104" s="2" t="str">
        <f t="shared" si="9"/>
        <v>Invalid</v>
      </c>
      <c r="AC104" s="2"/>
    </row>
    <row r="105" spans="1:29">
      <c r="A105" s="1" t="s">
        <v>429</v>
      </c>
      <c r="B105" s="2">
        <v>45779</v>
      </c>
      <c r="C105" s="2" t="str">
        <f t="shared" si="6"/>
        <v>May</v>
      </c>
      <c r="D105" s="1">
        <f t="shared" si="7"/>
        <v>2025</v>
      </c>
      <c r="E105" s="2">
        <v>45787</v>
      </c>
      <c r="F105" s="1" t="s">
        <v>430</v>
      </c>
      <c r="G105" s="1" t="s">
        <v>273</v>
      </c>
      <c r="H105" s="1" t="s">
        <v>98</v>
      </c>
      <c r="I105" s="1" t="s">
        <v>71</v>
      </c>
      <c r="J105" s="1" t="s">
        <v>72</v>
      </c>
      <c r="K105" s="1" t="s">
        <v>73</v>
      </c>
      <c r="L105" s="1" t="s">
        <v>49</v>
      </c>
      <c r="M105" s="1" t="s">
        <v>50</v>
      </c>
      <c r="N105" s="1" t="s">
        <v>431</v>
      </c>
      <c r="O105" s="1" t="s">
        <v>58</v>
      </c>
      <c r="P105" s="1">
        <v>4</v>
      </c>
      <c r="Q105" s="1">
        <v>2440.34</v>
      </c>
      <c r="R105" s="1">
        <v>0.2</v>
      </c>
      <c r="S105" s="1">
        <v>7809.09</v>
      </c>
      <c r="T105" s="1">
        <f t="shared" si="8"/>
        <v>7809.0880000000006</v>
      </c>
      <c r="U105" s="1">
        <v>6657.75</v>
      </c>
      <c r="V105" s="3">
        <f>IF(T105=0,"",X105/T105)</f>
        <v>0.14743565445798543</v>
      </c>
      <c r="W105" s="1">
        <v>1151.3399999999999</v>
      </c>
      <c r="X105" s="1">
        <f>T105-U105</f>
        <v>1151.3380000000006</v>
      </c>
      <c r="Y105" s="1" t="s">
        <v>40</v>
      </c>
      <c r="Z105" s="1" t="s">
        <v>41</v>
      </c>
      <c r="AA105" s="1">
        <f t="shared" si="5"/>
        <v>8</v>
      </c>
      <c r="AB105" s="2" t="str">
        <f t="shared" si="9"/>
        <v>Clean</v>
      </c>
      <c r="AC105" s="2"/>
    </row>
    <row r="106" spans="1:29">
      <c r="A106" s="1" t="s">
        <v>432</v>
      </c>
      <c r="B106" s="2">
        <v>45659</v>
      </c>
      <c r="C106" s="2" t="str">
        <f t="shared" si="6"/>
        <v>January</v>
      </c>
      <c r="D106" s="1">
        <f t="shared" si="7"/>
        <v>2025</v>
      </c>
      <c r="E106" s="2">
        <v>45696</v>
      </c>
      <c r="F106" s="1" t="s">
        <v>433</v>
      </c>
      <c r="G106" s="1" t="s">
        <v>70</v>
      </c>
      <c r="H106" s="1" t="s">
        <v>32</v>
      </c>
      <c r="I106" s="1" t="s">
        <v>62</v>
      </c>
      <c r="J106" s="1" t="s">
        <v>183</v>
      </c>
      <c r="K106" s="1" t="s">
        <v>184</v>
      </c>
      <c r="L106" s="1" t="s">
        <v>36</v>
      </c>
      <c r="M106" s="1" t="s">
        <v>99</v>
      </c>
      <c r="N106" s="1" t="s">
        <v>434</v>
      </c>
      <c r="O106" s="1" t="s">
        <v>52</v>
      </c>
      <c r="P106" s="1">
        <v>5</v>
      </c>
      <c r="Q106" s="1">
        <v>2112.54</v>
      </c>
      <c r="R106" s="1">
        <v>0.25</v>
      </c>
      <c r="S106" s="1">
        <v>8260.4599999999991</v>
      </c>
      <c r="T106" s="1">
        <f t="shared" si="8"/>
        <v>7922.0250000000005</v>
      </c>
      <c r="U106" s="1">
        <v>5619.95</v>
      </c>
      <c r="V106" s="3">
        <f>IF(T106=0,"",X106/T106)</f>
        <v>0.29059173633004193</v>
      </c>
      <c r="W106" s="1">
        <v>2302.08</v>
      </c>
      <c r="X106" s="1">
        <f>T106-U106</f>
        <v>2302.0750000000007</v>
      </c>
      <c r="Y106" s="1" t="s">
        <v>40</v>
      </c>
      <c r="Z106" s="1" t="s">
        <v>76</v>
      </c>
      <c r="AA106" s="1">
        <f t="shared" si="5"/>
        <v>37</v>
      </c>
      <c r="AB106" s="2" t="str">
        <f t="shared" si="9"/>
        <v>Clean</v>
      </c>
      <c r="AC106" s="2"/>
    </row>
    <row r="107" spans="1:29">
      <c r="A107" s="1" t="s">
        <v>435</v>
      </c>
      <c r="B107" s="2">
        <v>45467</v>
      </c>
      <c r="C107" s="2" t="str">
        <f t="shared" si="6"/>
        <v>June</v>
      </c>
      <c r="D107" s="1">
        <f t="shared" si="7"/>
        <v>2024</v>
      </c>
      <c r="E107" s="2">
        <v>45472</v>
      </c>
      <c r="F107" s="1" t="s">
        <v>436</v>
      </c>
      <c r="G107" s="1" t="s">
        <v>44</v>
      </c>
      <c r="H107" s="1" t="s">
        <v>103</v>
      </c>
      <c r="I107" s="1" t="s">
        <v>46</v>
      </c>
      <c r="J107" s="1" t="s">
        <v>107</v>
      </c>
      <c r="K107" s="1" t="s">
        <v>108</v>
      </c>
      <c r="L107" s="1" t="s">
        <v>49</v>
      </c>
      <c r="M107" s="1" t="s">
        <v>50</v>
      </c>
      <c r="N107" s="1" t="s">
        <v>437</v>
      </c>
      <c r="O107" s="1" t="s">
        <v>39</v>
      </c>
      <c r="P107" s="1">
        <v>2</v>
      </c>
      <c r="Q107" s="1">
        <v>685</v>
      </c>
      <c r="R107" s="1">
        <v>0.1</v>
      </c>
      <c r="S107" s="1">
        <v>1233</v>
      </c>
      <c r="T107" s="1">
        <f t="shared" si="8"/>
        <v>1233</v>
      </c>
      <c r="U107" s="1">
        <v>1006.9</v>
      </c>
      <c r="V107" s="3">
        <f>IF(T107=0,"",X107/T107)</f>
        <v>0.18337388483373887</v>
      </c>
      <c r="W107" s="1">
        <v>226.1</v>
      </c>
      <c r="X107" s="1">
        <f>T107-U107</f>
        <v>226.10000000000002</v>
      </c>
      <c r="Y107" s="1" t="s">
        <v>40</v>
      </c>
      <c r="Z107" s="1" t="s">
        <v>41</v>
      </c>
      <c r="AA107" s="1">
        <f t="shared" si="5"/>
        <v>5</v>
      </c>
      <c r="AB107" s="2" t="str">
        <f t="shared" si="9"/>
        <v>Clean</v>
      </c>
      <c r="AC107" s="2"/>
    </row>
    <row r="108" spans="1:29">
      <c r="A108" s="1" t="s">
        <v>438</v>
      </c>
      <c r="B108" s="2">
        <v>45342</v>
      </c>
      <c r="C108" s="2" t="str">
        <f t="shared" si="6"/>
        <v>February</v>
      </c>
      <c r="D108" s="1">
        <f t="shared" si="7"/>
        <v>2024</v>
      </c>
      <c r="E108" s="2">
        <v>45350</v>
      </c>
      <c r="F108" s="1" t="s">
        <v>439</v>
      </c>
      <c r="G108" s="1" t="s">
        <v>61</v>
      </c>
      <c r="H108" s="1" t="s">
        <v>103</v>
      </c>
      <c r="I108" s="1" t="s">
        <v>46</v>
      </c>
      <c r="J108" s="1" t="s">
        <v>107</v>
      </c>
      <c r="K108" s="1" t="s">
        <v>108</v>
      </c>
      <c r="L108" s="1" t="s">
        <v>36</v>
      </c>
      <c r="M108" s="1" t="s">
        <v>37</v>
      </c>
      <c r="N108" s="1" t="s">
        <v>440</v>
      </c>
      <c r="O108" s="1" t="s">
        <v>67</v>
      </c>
      <c r="P108" s="1">
        <v>2</v>
      </c>
      <c r="Q108" s="1">
        <v>4004.04</v>
      </c>
      <c r="R108" s="1">
        <v>0</v>
      </c>
      <c r="S108" s="1">
        <v>7207.27</v>
      </c>
      <c r="T108" s="1">
        <f t="shared" si="8"/>
        <v>8008.08</v>
      </c>
      <c r="U108" s="1">
        <v>5709.39</v>
      </c>
      <c r="V108" s="3">
        <f>IF(T108=0,"",X108/T108)</f>
        <v>0.28704633320346445</v>
      </c>
      <c r="W108" s="1">
        <v>1497.88</v>
      </c>
      <c r="X108" s="1">
        <f>T108-U108</f>
        <v>2298.6899999999996</v>
      </c>
      <c r="Y108" s="1" t="s">
        <v>40</v>
      </c>
      <c r="Z108" s="1" t="s">
        <v>76</v>
      </c>
      <c r="AA108" s="1">
        <f t="shared" si="5"/>
        <v>8</v>
      </c>
      <c r="AB108" s="2" t="str">
        <f t="shared" si="9"/>
        <v>Clean</v>
      </c>
      <c r="AC108" s="2"/>
    </row>
    <row r="109" spans="1:29">
      <c r="A109" s="1" t="s">
        <v>441</v>
      </c>
      <c r="B109" s="2">
        <v>45594</v>
      </c>
      <c r="C109" s="2" t="str">
        <f t="shared" si="6"/>
        <v>October</v>
      </c>
      <c r="D109" s="1">
        <f t="shared" si="7"/>
        <v>2024</v>
      </c>
      <c r="E109" s="2">
        <v>45393</v>
      </c>
      <c r="F109" s="1" t="s">
        <v>442</v>
      </c>
      <c r="G109" s="1" t="s">
        <v>149</v>
      </c>
      <c r="H109" s="1" t="s">
        <v>103</v>
      </c>
      <c r="I109" s="1" t="s">
        <v>46</v>
      </c>
      <c r="J109" s="1" t="s">
        <v>107</v>
      </c>
      <c r="K109" s="1" t="s">
        <v>108</v>
      </c>
      <c r="L109" s="1" t="s">
        <v>49</v>
      </c>
      <c r="M109" s="1" t="s">
        <v>65</v>
      </c>
      <c r="N109" s="1" t="s">
        <v>443</v>
      </c>
      <c r="O109" s="1" t="s">
        <v>58</v>
      </c>
      <c r="P109" s="1">
        <v>3</v>
      </c>
      <c r="Q109" s="1">
        <v>4302.8900000000003</v>
      </c>
      <c r="R109" s="1">
        <v>0.05</v>
      </c>
      <c r="S109" s="1">
        <v>12263.24</v>
      </c>
      <c r="T109" s="1">
        <f t="shared" si="8"/>
        <v>12263.236500000001</v>
      </c>
      <c r="U109" s="1">
        <v>8925.57</v>
      </c>
      <c r="V109" s="3">
        <f>IF(T109=0,"",X109/T109)</f>
        <v>0.27216848504878799</v>
      </c>
      <c r="W109" s="1">
        <v>3337.67</v>
      </c>
      <c r="X109" s="1">
        <f>T109-U109</f>
        <v>3337.6665000000012</v>
      </c>
      <c r="Y109" s="1" t="s">
        <v>40</v>
      </c>
      <c r="Z109" s="1" t="s">
        <v>41</v>
      </c>
      <c r="AA109" s="4">
        <f t="shared" si="5"/>
        <v>-201</v>
      </c>
      <c r="AB109" s="2" t="str">
        <f t="shared" si="9"/>
        <v>Invalid</v>
      </c>
      <c r="AC109" s="2"/>
    </row>
    <row r="110" spans="1:29">
      <c r="A110" s="1" t="s">
        <v>444</v>
      </c>
      <c r="B110" s="2">
        <v>45519</v>
      </c>
      <c r="C110" s="2" t="str">
        <f t="shared" si="6"/>
        <v>August</v>
      </c>
      <c r="D110" s="1">
        <f t="shared" si="7"/>
        <v>2024</v>
      </c>
      <c r="E110" s="2">
        <v>45527</v>
      </c>
      <c r="F110" s="1" t="s">
        <v>445</v>
      </c>
      <c r="G110" s="1" t="s">
        <v>97</v>
      </c>
      <c r="H110" s="1" t="s">
        <v>45</v>
      </c>
      <c r="I110" s="1" t="s">
        <v>46</v>
      </c>
      <c r="J110" s="1" t="s">
        <v>47</v>
      </c>
      <c r="K110" s="1" t="s">
        <v>48</v>
      </c>
      <c r="L110" s="1" t="s">
        <v>49</v>
      </c>
      <c r="M110" s="1" t="s">
        <v>166</v>
      </c>
      <c r="N110" s="1" t="s">
        <v>446</v>
      </c>
      <c r="O110" s="1" t="s">
        <v>52</v>
      </c>
      <c r="P110" s="1">
        <v>2</v>
      </c>
      <c r="Q110" s="1">
        <v>537.54</v>
      </c>
      <c r="R110" s="1">
        <v>0.25</v>
      </c>
      <c r="S110" s="1">
        <v>806.31</v>
      </c>
      <c r="T110" s="1">
        <f t="shared" si="8"/>
        <v>806.31</v>
      </c>
      <c r="U110" s="1">
        <v>498.5</v>
      </c>
      <c r="V110" s="3">
        <f>IF(T110=0,"",X110/T110)</f>
        <v>0.38175143555208291</v>
      </c>
      <c r="W110" s="1">
        <v>307.81</v>
      </c>
      <c r="X110" s="1">
        <f>T110-U110</f>
        <v>307.80999999999995</v>
      </c>
      <c r="Y110" s="1" t="s">
        <v>40</v>
      </c>
      <c r="Z110" s="1" t="s">
        <v>41</v>
      </c>
      <c r="AA110" s="1">
        <f t="shared" si="5"/>
        <v>8</v>
      </c>
      <c r="AB110" s="2" t="str">
        <f t="shared" si="9"/>
        <v>Clean</v>
      </c>
      <c r="AC110" s="2"/>
    </row>
    <row r="111" spans="1:29">
      <c r="A111" s="1" t="s">
        <v>447</v>
      </c>
      <c r="B111" s="2">
        <v>45892</v>
      </c>
      <c r="C111" s="2" t="str">
        <f t="shared" si="6"/>
        <v>August</v>
      </c>
      <c r="D111" s="1">
        <f t="shared" si="7"/>
        <v>2025</v>
      </c>
      <c r="E111" s="2">
        <v>45896</v>
      </c>
      <c r="F111" s="1" t="s">
        <v>448</v>
      </c>
      <c r="G111" s="1" t="s">
        <v>140</v>
      </c>
      <c r="H111" s="1" t="s">
        <v>32</v>
      </c>
      <c r="I111" s="1" t="s">
        <v>33</v>
      </c>
      <c r="J111" s="1" t="s">
        <v>359</v>
      </c>
      <c r="K111" s="1" t="s">
        <v>360</v>
      </c>
      <c r="L111" s="1" t="s">
        <v>36</v>
      </c>
      <c r="M111" s="1" t="s">
        <v>161</v>
      </c>
      <c r="N111" s="1" t="s">
        <v>449</v>
      </c>
      <c r="O111" s="1" t="s">
        <v>39</v>
      </c>
      <c r="P111" s="1">
        <v>1</v>
      </c>
      <c r="Q111" s="1">
        <v>2788.62</v>
      </c>
      <c r="R111" s="1">
        <v>0.25</v>
      </c>
      <c r="S111" s="1">
        <v>2091.4699999999998</v>
      </c>
      <c r="T111" s="1">
        <f t="shared" si="8"/>
        <v>2091.4650000000001</v>
      </c>
      <c r="U111" s="1">
        <v>1317.22</v>
      </c>
      <c r="V111" s="3">
        <f>IF(T111=0,"",X111/T111)</f>
        <v>0.37019266399389905</v>
      </c>
      <c r="W111" s="1">
        <v>774.25</v>
      </c>
      <c r="X111" s="1">
        <f>T111-U111</f>
        <v>774.24500000000012</v>
      </c>
      <c r="Y111" s="1" t="s">
        <v>40</v>
      </c>
      <c r="Z111" s="1" t="s">
        <v>41</v>
      </c>
      <c r="AA111" s="1">
        <f t="shared" si="5"/>
        <v>4</v>
      </c>
      <c r="AB111" s="2" t="str">
        <f t="shared" si="9"/>
        <v>Clean</v>
      </c>
      <c r="AC111" s="2"/>
    </row>
    <row r="112" spans="1:29">
      <c r="A112" s="1" t="s">
        <v>450</v>
      </c>
      <c r="B112" s="2">
        <v>45583</v>
      </c>
      <c r="C112" s="2" t="str">
        <f t="shared" si="6"/>
        <v>October</v>
      </c>
      <c r="D112" s="1">
        <f t="shared" si="7"/>
        <v>2024</v>
      </c>
      <c r="E112" s="2">
        <v>45589</v>
      </c>
      <c r="F112" s="1" t="s">
        <v>451</v>
      </c>
      <c r="G112" s="1" t="s">
        <v>79</v>
      </c>
      <c r="H112" s="1" t="s">
        <v>98</v>
      </c>
      <c r="I112" s="1" t="s">
        <v>62</v>
      </c>
      <c r="J112" s="1" t="s">
        <v>193</v>
      </c>
      <c r="K112" s="1" t="s">
        <v>194</v>
      </c>
      <c r="L112" s="1" t="s">
        <v>36</v>
      </c>
      <c r="M112" s="1" t="s">
        <v>99</v>
      </c>
      <c r="N112" s="1" t="s">
        <v>452</v>
      </c>
      <c r="O112" s="1" t="s">
        <v>58</v>
      </c>
      <c r="P112" s="1">
        <v>2</v>
      </c>
      <c r="Q112" s="1">
        <v>2250.4699999999998</v>
      </c>
      <c r="R112" s="1">
        <v>0</v>
      </c>
      <c r="S112" s="1">
        <v>4500.9399999999996</v>
      </c>
      <c r="T112" s="1">
        <f t="shared" si="8"/>
        <v>4500.9399999999996</v>
      </c>
      <c r="U112" s="1">
        <v>2607.73</v>
      </c>
      <c r="V112" s="3">
        <f>IF(T112=0,"",X112/T112)</f>
        <v>0.42062546934640316</v>
      </c>
      <c r="W112" s="1">
        <v>1893.21</v>
      </c>
      <c r="X112" s="1">
        <f>T112-U112</f>
        <v>1893.2099999999996</v>
      </c>
      <c r="Y112" s="1" t="s">
        <v>110</v>
      </c>
      <c r="Z112" s="1" t="s">
        <v>76</v>
      </c>
      <c r="AA112" s="1">
        <f t="shared" si="5"/>
        <v>6</v>
      </c>
      <c r="AB112" s="2" t="str">
        <f t="shared" si="9"/>
        <v>Clean</v>
      </c>
      <c r="AC112" s="2"/>
    </row>
    <row r="113" spans="1:29">
      <c r="A113" s="1" t="s">
        <v>453</v>
      </c>
      <c r="B113" s="2">
        <v>45835</v>
      </c>
      <c r="C113" s="2" t="str">
        <f t="shared" si="6"/>
        <v>June</v>
      </c>
      <c r="D113" s="1">
        <f t="shared" si="7"/>
        <v>2025</v>
      </c>
      <c r="E113" s="2">
        <v>45838</v>
      </c>
      <c r="F113" s="1" t="s">
        <v>454</v>
      </c>
      <c r="G113" s="1" t="s">
        <v>87</v>
      </c>
      <c r="H113" s="1" t="s">
        <v>98</v>
      </c>
      <c r="I113" s="1" t="s">
        <v>46</v>
      </c>
      <c r="J113" s="1" t="s">
        <v>153</v>
      </c>
      <c r="K113" s="1" t="s">
        <v>154</v>
      </c>
      <c r="L113" s="1" t="s">
        <v>82</v>
      </c>
      <c r="M113" s="1" t="s">
        <v>83</v>
      </c>
      <c r="N113" s="1" t="s">
        <v>455</v>
      </c>
      <c r="O113" s="1" t="s">
        <v>58</v>
      </c>
      <c r="P113" s="1">
        <v>1</v>
      </c>
      <c r="Q113" s="1">
        <v>1708.44</v>
      </c>
      <c r="R113" s="1">
        <v>0.05</v>
      </c>
      <c r="S113" s="1">
        <v>1623.02</v>
      </c>
      <c r="T113" s="1">
        <f t="shared" si="8"/>
        <v>1623.018</v>
      </c>
      <c r="U113" s="1">
        <v>1077.46</v>
      </c>
      <c r="V113" s="3">
        <f>IF(T113=0,"",X113/T113)</f>
        <v>0.3361379849145234</v>
      </c>
      <c r="W113" s="1">
        <v>545.55999999999995</v>
      </c>
      <c r="X113" s="1">
        <f>T113-U113</f>
        <v>545.55799999999999</v>
      </c>
      <c r="Y113" s="1" t="s">
        <v>119</v>
      </c>
      <c r="Z113" s="1" t="s">
        <v>76</v>
      </c>
      <c r="AA113" s="1">
        <f t="shared" si="5"/>
        <v>3</v>
      </c>
      <c r="AB113" s="2" t="str">
        <f t="shared" si="9"/>
        <v>Clean</v>
      </c>
      <c r="AC113" s="2"/>
    </row>
    <row r="114" spans="1:29">
      <c r="A114" s="1" t="s">
        <v>456</v>
      </c>
      <c r="B114" s="2">
        <v>45566</v>
      </c>
      <c r="C114" s="2" t="str">
        <f t="shared" si="6"/>
        <v>October</v>
      </c>
      <c r="D114" s="1">
        <f t="shared" si="7"/>
        <v>2024</v>
      </c>
      <c r="E114" s="2">
        <v>45305</v>
      </c>
      <c r="F114" s="1" t="s">
        <v>457</v>
      </c>
      <c r="G114" s="1" t="s">
        <v>140</v>
      </c>
      <c r="H114" s="1" t="s">
        <v>32</v>
      </c>
      <c r="I114" s="1" t="s">
        <v>213</v>
      </c>
      <c r="J114" s="1" t="s">
        <v>188</v>
      </c>
      <c r="K114" s="1" t="s">
        <v>189</v>
      </c>
      <c r="L114" s="1" t="s">
        <v>82</v>
      </c>
      <c r="M114" s="1" t="s">
        <v>83</v>
      </c>
      <c r="N114" s="1" t="s">
        <v>458</v>
      </c>
      <c r="O114" s="1" t="s">
        <v>67</v>
      </c>
      <c r="P114" s="1">
        <v>3</v>
      </c>
      <c r="Q114" s="1">
        <v>3829.48</v>
      </c>
      <c r="R114" s="1">
        <v>0.05</v>
      </c>
      <c r="S114" s="1">
        <v>10914.02</v>
      </c>
      <c r="T114" s="1">
        <f t="shared" si="8"/>
        <v>10914.018</v>
      </c>
      <c r="U114" s="1">
        <v>6548.74</v>
      </c>
      <c r="V114" s="3">
        <f>IF(T114=0,"",X114/T114)</f>
        <v>0.39996983695647198</v>
      </c>
      <c r="W114" s="1">
        <v>4365.28</v>
      </c>
      <c r="X114" s="1">
        <f>T114-U114</f>
        <v>4365.2780000000002</v>
      </c>
      <c r="Y114" s="1" t="s">
        <v>40</v>
      </c>
      <c r="Z114" s="1" t="s">
        <v>41</v>
      </c>
      <c r="AA114" s="4">
        <f t="shared" si="5"/>
        <v>-261</v>
      </c>
      <c r="AB114" s="2" t="s">
        <v>459</v>
      </c>
      <c r="AC114" s="2"/>
    </row>
    <row r="115" spans="1:29">
      <c r="A115" s="1" t="s">
        <v>460</v>
      </c>
      <c r="B115" s="2">
        <v>45628</v>
      </c>
      <c r="C115" s="2" t="str">
        <f t="shared" si="6"/>
        <v>December</v>
      </c>
      <c r="D115" s="1">
        <f t="shared" si="7"/>
        <v>2024</v>
      </c>
      <c r="E115" s="2">
        <v>45628</v>
      </c>
      <c r="F115" s="1" t="s">
        <v>369</v>
      </c>
      <c r="G115" s="1" t="s">
        <v>55</v>
      </c>
      <c r="H115" s="1" t="s">
        <v>103</v>
      </c>
      <c r="I115" s="1" t="s">
        <v>62</v>
      </c>
      <c r="J115" s="1" t="s">
        <v>256</v>
      </c>
      <c r="K115" s="1" t="s">
        <v>257</v>
      </c>
      <c r="L115" s="1" t="s">
        <v>49</v>
      </c>
      <c r="M115" s="1" t="s">
        <v>50</v>
      </c>
      <c r="N115" s="1" t="s">
        <v>461</v>
      </c>
      <c r="O115" s="1" t="s">
        <v>67</v>
      </c>
      <c r="P115" s="1">
        <v>3</v>
      </c>
      <c r="Q115" s="1">
        <v>1089.1500000000001</v>
      </c>
      <c r="R115" s="1">
        <v>0.25</v>
      </c>
      <c r="S115" s="1">
        <v>2450.59</v>
      </c>
      <c r="T115" s="1">
        <f t="shared" si="8"/>
        <v>2450.5875000000001</v>
      </c>
      <c r="U115" s="1">
        <v>1639.89</v>
      </c>
      <c r="V115" s="3">
        <f>IF(T115=0,"",X115/T115)</f>
        <v>0.33081761006289306</v>
      </c>
      <c r="W115" s="1">
        <v>810.7</v>
      </c>
      <c r="X115" s="1">
        <f>T115-U115</f>
        <v>810.69749999999999</v>
      </c>
      <c r="Y115" s="1" t="s">
        <v>40</v>
      </c>
      <c r="Z115" s="1" t="s">
        <v>41</v>
      </c>
      <c r="AA115" s="1">
        <f t="shared" si="5"/>
        <v>0</v>
      </c>
      <c r="AB115" s="2" t="str">
        <f t="shared" si="9"/>
        <v>Clean</v>
      </c>
      <c r="AC115" s="2"/>
    </row>
    <row r="116" spans="1:29">
      <c r="A116" s="1" t="s">
        <v>462</v>
      </c>
      <c r="B116" s="2">
        <v>45560</v>
      </c>
      <c r="C116" s="2" t="str">
        <f t="shared" si="6"/>
        <v>September</v>
      </c>
      <c r="D116" s="1">
        <f t="shared" si="7"/>
        <v>2024</v>
      </c>
      <c r="E116" s="2">
        <v>45565</v>
      </c>
      <c r="F116" s="1" t="s">
        <v>463</v>
      </c>
      <c r="G116" s="1" t="s">
        <v>87</v>
      </c>
      <c r="H116" s="1" t="s">
        <v>45</v>
      </c>
      <c r="I116" s="1" t="s">
        <v>33</v>
      </c>
      <c r="J116" s="1" t="s">
        <v>34</v>
      </c>
      <c r="K116" s="1" t="s">
        <v>35</v>
      </c>
      <c r="L116" s="1" t="s">
        <v>82</v>
      </c>
      <c r="M116" s="1" t="s">
        <v>83</v>
      </c>
      <c r="N116" s="1" t="s">
        <v>464</v>
      </c>
      <c r="O116" s="1" t="s">
        <v>39</v>
      </c>
      <c r="P116" s="1">
        <v>1</v>
      </c>
      <c r="Q116" s="1">
        <v>4388.3999999999996</v>
      </c>
      <c r="R116" s="1">
        <v>0.1</v>
      </c>
      <c r="S116" s="1">
        <v>3949.56</v>
      </c>
      <c r="T116" s="1">
        <f t="shared" si="8"/>
        <v>3949.56</v>
      </c>
      <c r="U116" s="1">
        <v>3186.73</v>
      </c>
      <c r="V116" s="3">
        <f>IF(T116=0,"",X116/T116)</f>
        <v>0.19314303365438173</v>
      </c>
      <c r="W116" s="1">
        <v>762.83</v>
      </c>
      <c r="X116" s="1">
        <f>T116-U116</f>
        <v>762.82999999999993</v>
      </c>
      <c r="Y116" s="1" t="s">
        <v>119</v>
      </c>
      <c r="Z116" s="1" t="s">
        <v>76</v>
      </c>
      <c r="AA116" s="1">
        <f t="shared" si="5"/>
        <v>5</v>
      </c>
      <c r="AB116" s="2" t="str">
        <f t="shared" si="9"/>
        <v>Clean</v>
      </c>
      <c r="AC116" s="2"/>
    </row>
    <row r="117" spans="1:29">
      <c r="A117" s="1" t="s">
        <v>465</v>
      </c>
      <c r="B117" s="2">
        <v>45653</v>
      </c>
      <c r="C117" s="2" t="str">
        <f t="shared" si="6"/>
        <v>December</v>
      </c>
      <c r="D117" s="1">
        <f t="shared" si="7"/>
        <v>2024</v>
      </c>
      <c r="E117" s="2">
        <v>45658</v>
      </c>
      <c r="F117" s="1" t="s">
        <v>466</v>
      </c>
      <c r="G117" s="1" t="s">
        <v>273</v>
      </c>
      <c r="H117" s="1" t="s">
        <v>98</v>
      </c>
      <c r="I117" s="1" t="s">
        <v>62</v>
      </c>
      <c r="J117" s="1" t="s">
        <v>256</v>
      </c>
      <c r="K117" s="1" t="s">
        <v>257</v>
      </c>
      <c r="L117" s="1" t="s">
        <v>36</v>
      </c>
      <c r="M117" s="1" t="s">
        <v>161</v>
      </c>
      <c r="N117" s="1" t="s">
        <v>467</v>
      </c>
      <c r="O117" s="1" t="s">
        <v>52</v>
      </c>
      <c r="P117" s="1">
        <v>2</v>
      </c>
      <c r="Q117" s="1">
        <v>446.34</v>
      </c>
      <c r="R117" s="1">
        <v>0.15</v>
      </c>
      <c r="S117" s="1">
        <v>758.78</v>
      </c>
      <c r="T117" s="1">
        <f t="shared" si="8"/>
        <v>758.77799999999991</v>
      </c>
      <c r="U117" s="1">
        <v>490.74</v>
      </c>
      <c r="V117" s="3">
        <f>IF(T117=0,"",X117/T117)</f>
        <v>0.35324956706704719</v>
      </c>
      <c r="W117" s="1">
        <v>268.04000000000002</v>
      </c>
      <c r="X117" s="1">
        <f>T117-U117</f>
        <v>268.0379999999999</v>
      </c>
      <c r="Y117" s="1" t="s">
        <v>40</v>
      </c>
      <c r="Z117" s="1" t="s">
        <v>76</v>
      </c>
      <c r="AA117" s="1">
        <f t="shared" si="5"/>
        <v>5</v>
      </c>
      <c r="AB117" s="2" t="str">
        <f t="shared" si="9"/>
        <v>Clean</v>
      </c>
      <c r="AC117" s="2"/>
    </row>
    <row r="118" spans="1:29">
      <c r="A118" s="1" t="s">
        <v>468</v>
      </c>
      <c r="B118" s="2">
        <v>45703</v>
      </c>
      <c r="C118" s="2" t="str">
        <f t="shared" si="6"/>
        <v>February</v>
      </c>
      <c r="D118" s="1">
        <f t="shared" si="7"/>
        <v>2025</v>
      </c>
      <c r="E118" s="2">
        <v>45707</v>
      </c>
      <c r="F118" s="1" t="s">
        <v>469</v>
      </c>
      <c r="G118" s="1" t="s">
        <v>70</v>
      </c>
      <c r="H118" s="1" t="s">
        <v>45</v>
      </c>
      <c r="I118" s="1" t="s">
        <v>213</v>
      </c>
      <c r="J118" s="1" t="s">
        <v>80</v>
      </c>
      <c r="K118" s="1" t="s">
        <v>81</v>
      </c>
      <c r="L118" s="1" t="s">
        <v>36</v>
      </c>
      <c r="M118" s="1" t="s">
        <v>161</v>
      </c>
      <c r="N118" s="1" t="s">
        <v>470</v>
      </c>
      <c r="O118" s="1" t="s">
        <v>58</v>
      </c>
      <c r="P118" s="1">
        <v>9</v>
      </c>
      <c r="Q118" s="1">
        <v>531.99</v>
      </c>
      <c r="R118" s="1">
        <v>0.25</v>
      </c>
      <c r="S118" s="1">
        <v>3590.93</v>
      </c>
      <c r="T118" s="1">
        <f t="shared" si="8"/>
        <v>3590.9324999999999</v>
      </c>
      <c r="U118" s="1">
        <v>3061.39</v>
      </c>
      <c r="V118" s="3">
        <f>IF(T118=0,"",X118/T118)</f>
        <v>0.14746657031286442</v>
      </c>
      <c r="W118" s="1">
        <v>529.54</v>
      </c>
      <c r="X118" s="1">
        <f>T118-U118</f>
        <v>529.54250000000002</v>
      </c>
      <c r="Y118" s="1" t="s">
        <v>163</v>
      </c>
      <c r="Z118" s="1" t="s">
        <v>76</v>
      </c>
      <c r="AA118" s="1">
        <f t="shared" si="5"/>
        <v>4</v>
      </c>
      <c r="AB118" s="2" t="str">
        <f t="shared" si="9"/>
        <v>Warning</v>
      </c>
      <c r="AC118" s="2"/>
    </row>
    <row r="119" spans="1:29">
      <c r="A119" s="1" t="s">
        <v>471</v>
      </c>
      <c r="B119" s="2">
        <v>45337</v>
      </c>
      <c r="C119" s="2" t="str">
        <f t="shared" si="6"/>
        <v>February</v>
      </c>
      <c r="D119" s="1">
        <f t="shared" si="7"/>
        <v>2024</v>
      </c>
      <c r="E119" s="2">
        <v>45339</v>
      </c>
      <c r="F119" s="1" t="s">
        <v>472</v>
      </c>
      <c r="G119" s="1" t="s">
        <v>44</v>
      </c>
      <c r="H119" s="1" t="s">
        <v>103</v>
      </c>
      <c r="I119" s="1" t="s">
        <v>62</v>
      </c>
      <c r="J119" s="1" t="s">
        <v>256</v>
      </c>
      <c r="K119" s="1" t="s">
        <v>257</v>
      </c>
      <c r="L119" s="1" t="s">
        <v>82</v>
      </c>
      <c r="M119" s="1" t="s">
        <v>283</v>
      </c>
      <c r="N119" s="1" t="s">
        <v>473</v>
      </c>
      <c r="O119" s="1" t="s">
        <v>67</v>
      </c>
      <c r="P119" s="1">
        <v>9</v>
      </c>
      <c r="Q119" s="1">
        <v>3324.55</v>
      </c>
      <c r="R119" s="1">
        <v>0.7</v>
      </c>
      <c r="S119" s="1">
        <v>25432.81</v>
      </c>
      <c r="T119" s="1">
        <f t="shared" si="8"/>
        <v>8976.2850000000017</v>
      </c>
      <c r="U119" s="1">
        <v>20370.16</v>
      </c>
      <c r="V119" s="3">
        <f>IF(T119=0,"",X119/T119)</f>
        <v>-1.2693307977632167</v>
      </c>
      <c r="W119" s="1">
        <v>5062.6499999999996</v>
      </c>
      <c r="X119" s="1">
        <f>T119-U119</f>
        <v>-11393.874999999998</v>
      </c>
      <c r="Y119" s="1" t="s">
        <v>40</v>
      </c>
      <c r="Z119" s="1" t="s">
        <v>41</v>
      </c>
      <c r="AA119" s="1">
        <f t="shared" si="5"/>
        <v>2</v>
      </c>
      <c r="AB119" s="2" t="str">
        <f t="shared" si="9"/>
        <v>Clean</v>
      </c>
      <c r="AC119" s="2"/>
    </row>
    <row r="120" spans="1:29">
      <c r="A120" s="1" t="s">
        <v>474</v>
      </c>
      <c r="B120" s="2">
        <v>45453</v>
      </c>
      <c r="C120" s="2" t="str">
        <f t="shared" si="6"/>
        <v>June</v>
      </c>
      <c r="D120" s="1">
        <f t="shared" si="7"/>
        <v>2024</v>
      </c>
      <c r="E120" s="2">
        <v>45461</v>
      </c>
      <c r="F120" s="1" t="s">
        <v>475</v>
      </c>
      <c r="G120" s="1" t="s">
        <v>79</v>
      </c>
      <c r="H120" s="1" t="s">
        <v>103</v>
      </c>
      <c r="I120" s="1" t="s">
        <v>62</v>
      </c>
      <c r="J120" s="1" t="s">
        <v>92</v>
      </c>
      <c r="K120" s="1" t="s">
        <v>93</v>
      </c>
      <c r="L120" s="1" t="s">
        <v>82</v>
      </c>
      <c r="M120" s="1" t="s">
        <v>88</v>
      </c>
      <c r="N120" s="1" t="s">
        <v>476</v>
      </c>
      <c r="O120" s="1" t="s">
        <v>52</v>
      </c>
      <c r="P120" s="1">
        <v>5</v>
      </c>
      <c r="Q120" s="1">
        <v>1580.27</v>
      </c>
      <c r="R120" s="1">
        <v>0.2</v>
      </c>
      <c r="S120" s="1">
        <v>6321.08</v>
      </c>
      <c r="T120" s="1">
        <f t="shared" si="8"/>
        <v>6321.0800000000008</v>
      </c>
      <c r="U120" s="1">
        <v>4407.22</v>
      </c>
      <c r="V120" s="3">
        <f>IF(T120=0,"",X120/T120)</f>
        <v>0.30277420947053357</v>
      </c>
      <c r="W120" s="1">
        <v>1913.86</v>
      </c>
      <c r="X120" s="1">
        <f>T120-U120</f>
        <v>1913.8600000000006</v>
      </c>
      <c r="Y120" s="1" t="s">
        <v>40</v>
      </c>
      <c r="Z120" s="1" t="s">
        <v>41</v>
      </c>
      <c r="AA120" s="1">
        <f t="shared" si="5"/>
        <v>8</v>
      </c>
      <c r="AB120" s="2" t="str">
        <f t="shared" si="9"/>
        <v>Clean</v>
      </c>
      <c r="AC120" s="2"/>
    </row>
    <row r="121" spans="1:29">
      <c r="A121" s="1" t="s">
        <v>477</v>
      </c>
      <c r="B121" s="2">
        <v>45632</v>
      </c>
      <c r="C121" s="2" t="str">
        <f t="shared" si="6"/>
        <v>December</v>
      </c>
      <c r="D121" s="1">
        <f t="shared" si="7"/>
        <v>2024</v>
      </c>
      <c r="E121" s="2">
        <v>45462</v>
      </c>
      <c r="F121" s="1" t="s">
        <v>478</v>
      </c>
      <c r="G121" s="1" t="s">
        <v>97</v>
      </c>
      <c r="H121" s="1" t="s">
        <v>45</v>
      </c>
      <c r="I121" s="1" t="s">
        <v>62</v>
      </c>
      <c r="J121" s="1" t="s">
        <v>193</v>
      </c>
      <c r="K121" s="1" t="s">
        <v>194</v>
      </c>
      <c r="L121" s="1" t="s">
        <v>49</v>
      </c>
      <c r="M121" s="1" t="s">
        <v>74</v>
      </c>
      <c r="N121" s="1" t="s">
        <v>479</v>
      </c>
      <c r="O121" s="1" t="s">
        <v>67</v>
      </c>
      <c r="P121" s="1">
        <v>8</v>
      </c>
      <c r="Q121" s="1">
        <v>314.05</v>
      </c>
      <c r="R121" s="1">
        <v>0.25</v>
      </c>
      <c r="S121" s="1">
        <v>1884.3</v>
      </c>
      <c r="T121" s="1">
        <f t="shared" si="8"/>
        <v>1884.3000000000002</v>
      </c>
      <c r="U121" s="1">
        <v>1517.69</v>
      </c>
      <c r="V121" s="3">
        <f>IF(T121=0,"",X121/T121)</f>
        <v>0.19456031417502526</v>
      </c>
      <c r="W121" s="1">
        <v>366.61</v>
      </c>
      <c r="X121" s="1">
        <f>T121-U121</f>
        <v>366.61000000000013</v>
      </c>
      <c r="Y121" s="1" t="s">
        <v>110</v>
      </c>
      <c r="Z121" s="1" t="s">
        <v>111</v>
      </c>
      <c r="AA121" s="4">
        <f t="shared" si="5"/>
        <v>-170</v>
      </c>
      <c r="AB121" s="2" t="str">
        <f t="shared" si="9"/>
        <v>Invalid</v>
      </c>
      <c r="AC121" s="2"/>
    </row>
    <row r="122" spans="1:29">
      <c r="A122" s="1" t="s">
        <v>480</v>
      </c>
      <c r="B122" s="2">
        <v>45573</v>
      </c>
      <c r="C122" s="2" t="str">
        <f t="shared" si="6"/>
        <v>October</v>
      </c>
      <c r="D122" s="1">
        <f t="shared" si="7"/>
        <v>2024</v>
      </c>
      <c r="E122" s="2">
        <v>45522</v>
      </c>
      <c r="F122" s="1" t="s">
        <v>481</v>
      </c>
      <c r="G122" s="1" t="s">
        <v>140</v>
      </c>
      <c r="H122" s="1" t="s">
        <v>45</v>
      </c>
      <c r="I122" s="1" t="s">
        <v>46</v>
      </c>
      <c r="J122" s="1" t="s">
        <v>153</v>
      </c>
      <c r="K122" s="1" t="s">
        <v>154</v>
      </c>
      <c r="L122" s="1" t="s">
        <v>82</v>
      </c>
      <c r="M122" s="1" t="s">
        <v>179</v>
      </c>
      <c r="N122" s="1" t="s">
        <v>482</v>
      </c>
      <c r="O122" s="1" t="s">
        <v>67</v>
      </c>
      <c r="P122" s="1">
        <v>1</v>
      </c>
      <c r="Q122" s="1">
        <v>1823.67</v>
      </c>
      <c r="R122" s="1">
        <v>0.2</v>
      </c>
      <c r="S122" s="1">
        <v>1458.94</v>
      </c>
      <c r="T122" s="1">
        <f t="shared" si="8"/>
        <v>1458.9360000000001</v>
      </c>
      <c r="U122" s="1">
        <v>893.2</v>
      </c>
      <c r="V122" s="3">
        <f>IF(T122=0,"",X122/T122)</f>
        <v>0.38777300717783375</v>
      </c>
      <c r="W122" s="1">
        <v>565.74</v>
      </c>
      <c r="X122" s="1">
        <f>T122-U122</f>
        <v>565.7360000000001</v>
      </c>
      <c r="Y122" s="1" t="s">
        <v>40</v>
      </c>
      <c r="Z122" s="1" t="s">
        <v>111</v>
      </c>
      <c r="AA122" s="4">
        <f t="shared" si="5"/>
        <v>-51</v>
      </c>
      <c r="AB122" s="2" t="str">
        <f t="shared" si="9"/>
        <v>Invalid</v>
      </c>
      <c r="AC122" s="2"/>
    </row>
    <row r="123" spans="1:29">
      <c r="A123" s="1" t="s">
        <v>483</v>
      </c>
      <c r="B123" s="2">
        <v>45891</v>
      </c>
      <c r="C123" s="2" t="str">
        <f t="shared" si="6"/>
        <v>August</v>
      </c>
      <c r="D123" s="1">
        <f t="shared" si="7"/>
        <v>2025</v>
      </c>
      <c r="E123" s="2">
        <v>45895</v>
      </c>
      <c r="F123" s="1" t="s">
        <v>484</v>
      </c>
      <c r="G123" s="1" t="s">
        <v>273</v>
      </c>
      <c r="H123" s="1" t="s">
        <v>45</v>
      </c>
      <c r="I123" s="1" t="s">
        <v>62</v>
      </c>
      <c r="J123" s="1" t="s">
        <v>92</v>
      </c>
      <c r="K123" s="1" t="s">
        <v>93</v>
      </c>
      <c r="L123" s="1" t="s">
        <v>82</v>
      </c>
      <c r="M123" s="1" t="s">
        <v>283</v>
      </c>
      <c r="N123" s="1" t="s">
        <v>485</v>
      </c>
      <c r="O123" s="1" t="s">
        <v>39</v>
      </c>
      <c r="P123" s="1">
        <v>5</v>
      </c>
      <c r="Q123" s="1">
        <v>3482.92</v>
      </c>
      <c r="R123" s="1">
        <v>0</v>
      </c>
      <c r="S123" s="1">
        <v>17414.599999999999</v>
      </c>
      <c r="T123" s="1">
        <f t="shared" si="8"/>
        <v>17414.599999999999</v>
      </c>
      <c r="U123" s="1">
        <v>11760.91</v>
      </c>
      <c r="V123" s="3">
        <f>IF(T123=0,"",X123/T123)</f>
        <v>0.3246523032398102</v>
      </c>
      <c r="W123" s="1">
        <v>5653.69</v>
      </c>
      <c r="X123" s="1">
        <f>T123-U123</f>
        <v>5653.6899999999987</v>
      </c>
      <c r="Y123" s="1" t="s">
        <v>110</v>
      </c>
      <c r="Z123" s="1" t="s">
        <v>76</v>
      </c>
      <c r="AA123" s="1">
        <f t="shared" si="5"/>
        <v>4</v>
      </c>
      <c r="AB123" s="2" t="str">
        <f t="shared" si="9"/>
        <v>Clean</v>
      </c>
      <c r="AC123" s="2"/>
    </row>
    <row r="124" spans="1:29">
      <c r="A124" s="1" t="s">
        <v>486</v>
      </c>
      <c r="B124" s="2">
        <v>45626</v>
      </c>
      <c r="C124" s="2" t="str">
        <f t="shared" si="6"/>
        <v>November</v>
      </c>
      <c r="D124" s="1">
        <f t="shared" si="7"/>
        <v>2024</v>
      </c>
      <c r="E124" s="2">
        <v>45394</v>
      </c>
      <c r="F124" s="1" t="s">
        <v>487</v>
      </c>
      <c r="G124" s="1" t="s">
        <v>70</v>
      </c>
      <c r="H124" s="1" t="s">
        <v>45</v>
      </c>
      <c r="I124" s="1" t="s">
        <v>46</v>
      </c>
      <c r="J124" s="1" t="s">
        <v>174</v>
      </c>
      <c r="K124" s="1" t="s">
        <v>175</v>
      </c>
      <c r="L124" s="1" t="s">
        <v>49</v>
      </c>
      <c r="M124" s="1" t="s">
        <v>74</v>
      </c>
      <c r="N124" s="1" t="s">
        <v>488</v>
      </c>
      <c r="O124" s="1" t="s">
        <v>39</v>
      </c>
      <c r="P124" s="1">
        <v>3</v>
      </c>
      <c r="Q124" s="1">
        <v>170.35</v>
      </c>
      <c r="R124" s="1">
        <v>0</v>
      </c>
      <c r="S124" s="1">
        <v>511.05</v>
      </c>
      <c r="T124" s="1">
        <f t="shared" si="8"/>
        <v>511.04999999999995</v>
      </c>
      <c r="U124" s="1">
        <v>367.18</v>
      </c>
      <c r="V124" s="3">
        <f>IF(T124=0,"",X124/T124)</f>
        <v>0.28151844242246349</v>
      </c>
      <c r="W124" s="1">
        <v>143.87</v>
      </c>
      <c r="X124" s="1">
        <f>T124-U124</f>
        <v>143.86999999999995</v>
      </c>
      <c r="Y124" s="1" t="s">
        <v>40</v>
      </c>
      <c r="Z124" s="1" t="s">
        <v>41</v>
      </c>
      <c r="AA124" s="4">
        <f t="shared" si="5"/>
        <v>-232</v>
      </c>
      <c r="AB124" s="2" t="str">
        <f t="shared" si="9"/>
        <v>Invalid</v>
      </c>
      <c r="AC124" s="2"/>
    </row>
    <row r="125" spans="1:29">
      <c r="A125" s="1" t="s">
        <v>389</v>
      </c>
      <c r="B125" s="2">
        <v>45436</v>
      </c>
      <c r="C125" s="2" t="str">
        <f t="shared" si="6"/>
        <v>May</v>
      </c>
      <c r="D125" s="1">
        <f t="shared" si="7"/>
        <v>2024</v>
      </c>
      <c r="E125" s="2">
        <v>45437</v>
      </c>
      <c r="F125" s="1" t="s">
        <v>390</v>
      </c>
      <c r="G125" s="1" t="s">
        <v>140</v>
      </c>
      <c r="H125" s="1" t="s">
        <v>45</v>
      </c>
      <c r="I125" s="1" t="s">
        <v>33</v>
      </c>
      <c r="J125" s="1" t="s">
        <v>130</v>
      </c>
      <c r="K125" s="1" t="s">
        <v>131</v>
      </c>
      <c r="L125" s="1" t="s">
        <v>82</v>
      </c>
      <c r="M125" s="1" t="s">
        <v>88</v>
      </c>
      <c r="N125" s="1" t="s">
        <v>391</v>
      </c>
      <c r="O125" s="1" t="s">
        <v>52</v>
      </c>
      <c r="P125" s="1">
        <v>1</v>
      </c>
      <c r="Q125" s="1">
        <v>634.13</v>
      </c>
      <c r="R125" s="1">
        <v>0</v>
      </c>
      <c r="S125" s="1">
        <v>808.67</v>
      </c>
      <c r="T125" s="1">
        <f t="shared" si="8"/>
        <v>634.13</v>
      </c>
      <c r="U125" s="1">
        <v>453.35</v>
      </c>
      <c r="V125" s="3">
        <f>IF(T125=0,"",X125/T125)</f>
        <v>0.28508350022865969</v>
      </c>
      <c r="W125" s="1">
        <v>180.78</v>
      </c>
      <c r="X125" s="1">
        <f>T125-U125</f>
        <v>180.77999999999997</v>
      </c>
      <c r="Y125" s="1" t="s">
        <v>110</v>
      </c>
      <c r="Z125" s="1" t="s">
        <v>111</v>
      </c>
      <c r="AA125" s="1">
        <f t="shared" si="5"/>
        <v>1</v>
      </c>
      <c r="AB125" s="2" t="str">
        <f t="shared" si="9"/>
        <v>Clean</v>
      </c>
      <c r="AC125" s="2" t="s">
        <v>392</v>
      </c>
    </row>
    <row r="126" spans="1:29">
      <c r="A126" s="1" t="s">
        <v>489</v>
      </c>
      <c r="B126" s="2">
        <v>45494</v>
      </c>
      <c r="C126" s="2" t="str">
        <f t="shared" si="6"/>
        <v>July</v>
      </c>
      <c r="D126" s="1">
        <f t="shared" si="7"/>
        <v>2024</v>
      </c>
      <c r="E126" s="2">
        <v>45497</v>
      </c>
      <c r="F126" s="1" t="s">
        <v>490</v>
      </c>
      <c r="G126" s="1" t="s">
        <v>55</v>
      </c>
      <c r="H126" s="1" t="s">
        <v>98</v>
      </c>
      <c r="I126" s="1" t="s">
        <v>62</v>
      </c>
      <c r="J126" s="1" t="s">
        <v>183</v>
      </c>
      <c r="K126" s="1" t="s">
        <v>184</v>
      </c>
      <c r="L126" s="1" t="s">
        <v>82</v>
      </c>
      <c r="M126" s="1" t="s">
        <v>88</v>
      </c>
      <c r="N126" s="1" t="s">
        <v>491</v>
      </c>
      <c r="O126" s="1" t="s">
        <v>67</v>
      </c>
      <c r="P126" s="1">
        <v>9</v>
      </c>
      <c r="Q126" s="1">
        <v>465.06</v>
      </c>
      <c r="R126" s="4">
        <v>-0.15</v>
      </c>
      <c r="S126" s="1">
        <v>4185.54</v>
      </c>
      <c r="T126" s="4">
        <f t="shared" si="8"/>
        <v>4813.3709999999992</v>
      </c>
      <c r="U126" s="1">
        <v>3443.74</v>
      </c>
      <c r="V126" s="3"/>
      <c r="W126" s="1">
        <v>741.8</v>
      </c>
      <c r="X126" s="1"/>
      <c r="Y126" s="1" t="s">
        <v>40</v>
      </c>
      <c r="Z126" s="1" t="s">
        <v>41</v>
      </c>
      <c r="AA126" s="1">
        <f t="shared" si="5"/>
        <v>3</v>
      </c>
      <c r="AB126" s="2" t="str">
        <f t="shared" si="9"/>
        <v>Invalid</v>
      </c>
      <c r="AC126" s="2"/>
    </row>
    <row r="127" spans="1:29">
      <c r="A127" s="1" t="s">
        <v>492</v>
      </c>
      <c r="B127" s="2">
        <v>45855</v>
      </c>
      <c r="C127" s="2" t="str">
        <f t="shared" si="6"/>
        <v>July</v>
      </c>
      <c r="D127" s="1">
        <f t="shared" si="7"/>
        <v>2025</v>
      </c>
      <c r="E127" s="2">
        <v>45856</v>
      </c>
      <c r="F127" s="1" t="s">
        <v>493</v>
      </c>
      <c r="G127" s="1" t="s">
        <v>87</v>
      </c>
      <c r="H127" s="1" t="s">
        <v>45</v>
      </c>
      <c r="I127" s="1" t="s">
        <v>71</v>
      </c>
      <c r="J127" s="1" t="s">
        <v>34</v>
      </c>
      <c r="K127" s="1" t="s">
        <v>117</v>
      </c>
      <c r="L127" s="1" t="s">
        <v>49</v>
      </c>
      <c r="M127" s="1" t="s">
        <v>50</v>
      </c>
      <c r="N127" s="1" t="s">
        <v>494</v>
      </c>
      <c r="O127" s="1" t="s">
        <v>52</v>
      </c>
      <c r="P127" s="1">
        <v>6</v>
      </c>
      <c r="Q127" s="1">
        <v>3235.27</v>
      </c>
      <c r="R127" s="1">
        <v>0.25</v>
      </c>
      <c r="S127" s="1">
        <v>14558.72</v>
      </c>
      <c r="T127" s="1">
        <f t="shared" si="8"/>
        <v>14558.715</v>
      </c>
      <c r="U127" s="1">
        <v>9591.48</v>
      </c>
      <c r="V127" s="3">
        <f>IF(T127=0,"",X127/T127)</f>
        <v>0.34118636157105903</v>
      </c>
      <c r="W127" s="1">
        <v>4967.24</v>
      </c>
      <c r="X127" s="1">
        <f>T127-U127</f>
        <v>4967.2350000000006</v>
      </c>
      <c r="Y127" s="1" t="s">
        <v>110</v>
      </c>
      <c r="Z127" s="1" t="s">
        <v>111</v>
      </c>
      <c r="AA127" s="1">
        <f t="shared" si="5"/>
        <v>1</v>
      </c>
      <c r="AB127" s="2" t="str">
        <f t="shared" si="9"/>
        <v>Clean</v>
      </c>
      <c r="AC127" s="2"/>
    </row>
    <row r="128" spans="1:29">
      <c r="A128" s="1" t="s">
        <v>495</v>
      </c>
      <c r="B128" s="2">
        <v>45924</v>
      </c>
      <c r="C128" s="2" t="str">
        <f t="shared" si="6"/>
        <v>September</v>
      </c>
      <c r="D128" s="1">
        <f t="shared" si="7"/>
        <v>2025</v>
      </c>
      <c r="E128" s="2">
        <v>45926</v>
      </c>
      <c r="F128" s="1" t="s">
        <v>496</v>
      </c>
      <c r="G128" s="1" t="s">
        <v>122</v>
      </c>
      <c r="H128" s="1" t="s">
        <v>98</v>
      </c>
      <c r="I128" s="1" t="s">
        <v>33</v>
      </c>
      <c r="J128" s="1" t="s">
        <v>359</v>
      </c>
      <c r="K128" s="1" t="s">
        <v>360</v>
      </c>
      <c r="L128" s="1" t="s">
        <v>82</v>
      </c>
      <c r="M128" s="1" t="s">
        <v>88</v>
      </c>
      <c r="N128" s="1" t="s">
        <v>497</v>
      </c>
      <c r="O128" s="1" t="s">
        <v>67</v>
      </c>
      <c r="P128" s="1">
        <v>3</v>
      </c>
      <c r="Q128" s="1">
        <v>1593.86</v>
      </c>
      <c r="R128" s="1">
        <v>0.1</v>
      </c>
      <c r="S128" s="1">
        <v>4303.42</v>
      </c>
      <c r="T128" s="1">
        <f t="shared" si="8"/>
        <v>4303.4220000000005</v>
      </c>
      <c r="U128" s="1">
        <v>2568.5700000000002</v>
      </c>
      <c r="V128" s="3">
        <f>IF(T128=0,"",X128/T128)</f>
        <v>0.40313313451481175</v>
      </c>
      <c r="W128" s="1">
        <v>1734.85</v>
      </c>
      <c r="X128" s="1">
        <f>T128-U128</f>
        <v>1734.8520000000003</v>
      </c>
      <c r="Y128" s="1" t="s">
        <v>40</v>
      </c>
      <c r="Z128" s="1" t="s">
        <v>41</v>
      </c>
      <c r="AA128" s="1">
        <f t="shared" si="5"/>
        <v>2</v>
      </c>
      <c r="AB128" s="2" t="str">
        <f t="shared" si="9"/>
        <v>Clean</v>
      </c>
      <c r="AC128" s="2"/>
    </row>
    <row r="129" spans="1:29">
      <c r="A129" s="1" t="s">
        <v>498</v>
      </c>
      <c r="B129" s="2">
        <v>45687</v>
      </c>
      <c r="C129" s="2" t="str">
        <f t="shared" si="6"/>
        <v>January</v>
      </c>
      <c r="D129" s="1">
        <f t="shared" si="7"/>
        <v>2025</v>
      </c>
      <c r="E129" s="2">
        <v>45683</v>
      </c>
      <c r="F129" s="1" t="s">
        <v>499</v>
      </c>
      <c r="G129" s="1" t="s">
        <v>122</v>
      </c>
      <c r="H129" s="1" t="s">
        <v>98</v>
      </c>
      <c r="I129" s="1" t="s">
        <v>71</v>
      </c>
      <c r="J129" s="1" t="s">
        <v>80</v>
      </c>
      <c r="K129" s="1" t="s">
        <v>81</v>
      </c>
      <c r="L129" s="1" t="s">
        <v>36</v>
      </c>
      <c r="M129" s="1" t="s">
        <v>132</v>
      </c>
      <c r="N129" s="1" t="s">
        <v>500</v>
      </c>
      <c r="O129" s="1" t="s">
        <v>39</v>
      </c>
      <c r="P129" s="1">
        <v>2</v>
      </c>
      <c r="Q129" s="1">
        <v>3039.3</v>
      </c>
      <c r="R129" s="1">
        <v>0.05</v>
      </c>
      <c r="S129" s="1">
        <v>5774.67</v>
      </c>
      <c r="T129" s="1">
        <f t="shared" si="8"/>
        <v>5774.67</v>
      </c>
      <c r="U129" s="1">
        <v>3518.36</v>
      </c>
      <c r="V129" s="3">
        <f>IF(T129=0,"",X129/T129)</f>
        <v>0.39072535746631409</v>
      </c>
      <c r="W129" s="1">
        <v>2256.31</v>
      </c>
      <c r="X129" s="1">
        <f>T129-U129</f>
        <v>2256.31</v>
      </c>
      <c r="Y129" s="1" t="s">
        <v>40</v>
      </c>
      <c r="Z129" s="1" t="s">
        <v>41</v>
      </c>
      <c r="AA129" s="4">
        <f t="shared" si="5"/>
        <v>-4</v>
      </c>
      <c r="AB129" s="2" t="str">
        <f t="shared" si="9"/>
        <v>Invalid</v>
      </c>
      <c r="AC129" s="2"/>
    </row>
    <row r="130" spans="1:29">
      <c r="A130" s="1" t="s">
        <v>501</v>
      </c>
      <c r="B130" s="2">
        <v>45639</v>
      </c>
      <c r="C130" s="2" t="str">
        <f t="shared" si="6"/>
        <v>December</v>
      </c>
      <c r="D130" s="1">
        <f t="shared" si="7"/>
        <v>2024</v>
      </c>
      <c r="E130" s="2">
        <v>45642</v>
      </c>
      <c r="F130" s="1" t="s">
        <v>502</v>
      </c>
      <c r="G130" s="1" t="s">
        <v>87</v>
      </c>
      <c r="H130" s="1" t="s">
        <v>45</v>
      </c>
      <c r="I130" s="1" t="s">
        <v>46</v>
      </c>
      <c r="J130" s="1" t="s">
        <v>47</v>
      </c>
      <c r="K130" s="1" t="s">
        <v>48</v>
      </c>
      <c r="L130" s="1" t="s">
        <v>49</v>
      </c>
      <c r="M130" s="1" t="s">
        <v>65</v>
      </c>
      <c r="N130" s="1" t="s">
        <v>503</v>
      </c>
      <c r="O130" s="1" t="s">
        <v>67</v>
      </c>
      <c r="P130" s="1">
        <v>5</v>
      </c>
      <c r="Q130" s="1">
        <v>923.45</v>
      </c>
      <c r="R130" s="1">
        <v>0.05</v>
      </c>
      <c r="S130" s="1">
        <v>4386.3900000000003</v>
      </c>
      <c r="T130" s="1">
        <f t="shared" si="8"/>
        <v>4386.3874999999998</v>
      </c>
      <c r="U130" s="1">
        <v>3366.88</v>
      </c>
      <c r="V130" s="3">
        <f>IF(T130=0,"",X130/T130)</f>
        <v>0.2324253158208206</v>
      </c>
      <c r="W130" s="1">
        <v>1019.51</v>
      </c>
      <c r="X130" s="1">
        <f>T130-U130</f>
        <v>1019.5074999999997</v>
      </c>
      <c r="Y130" s="1" t="s">
        <v>40</v>
      </c>
      <c r="Z130" s="1" t="s">
        <v>111</v>
      </c>
      <c r="AA130" s="1">
        <f t="shared" ref="AA130:AA193" si="10">E130-B130</f>
        <v>3</v>
      </c>
      <c r="AB130" s="2" t="str">
        <f t="shared" si="9"/>
        <v>Clean</v>
      </c>
      <c r="AC130" s="2"/>
    </row>
    <row r="131" spans="1:29">
      <c r="A131" s="1" t="s">
        <v>504</v>
      </c>
      <c r="B131" s="2">
        <v>45492</v>
      </c>
      <c r="C131" s="2" t="str">
        <f t="shared" ref="C131:C194" si="11">TEXT(B131,"mmmm")</f>
        <v>July</v>
      </c>
      <c r="D131" s="1">
        <f t="shared" ref="D131:D194" si="12">YEAR(B131)</f>
        <v>2024</v>
      </c>
      <c r="E131" s="2">
        <v>45498</v>
      </c>
      <c r="F131" s="1" t="s">
        <v>505</v>
      </c>
      <c r="G131" s="1" t="s">
        <v>55</v>
      </c>
      <c r="H131" s="1" t="s">
        <v>45</v>
      </c>
      <c r="I131" s="1" t="s">
        <v>71</v>
      </c>
      <c r="J131" s="1" t="s">
        <v>198</v>
      </c>
      <c r="K131" s="1" t="s">
        <v>199</v>
      </c>
      <c r="L131" s="1" t="s">
        <v>36</v>
      </c>
      <c r="M131" s="1" t="s">
        <v>161</v>
      </c>
      <c r="N131" s="1" t="s">
        <v>506</v>
      </c>
      <c r="O131" s="1" t="s">
        <v>67</v>
      </c>
      <c r="P131" s="1">
        <v>7</v>
      </c>
      <c r="Q131" s="1">
        <v>2741.29</v>
      </c>
      <c r="R131" s="1">
        <v>0.05</v>
      </c>
      <c r="S131" s="1">
        <v>18229.580000000002</v>
      </c>
      <c r="T131" s="1">
        <f t="shared" ref="T131:T194" si="13">P131*Q131*(1-R131)</f>
        <v>18229.5785</v>
      </c>
      <c r="U131" s="1">
        <v>15139.15</v>
      </c>
      <c r="V131" s="3">
        <f>IF(T131=0,"",X131/T131)</f>
        <v>0.16952824773211295</v>
      </c>
      <c r="W131" s="1">
        <v>3090.43</v>
      </c>
      <c r="X131" s="1">
        <f>T131-U131</f>
        <v>3090.4285</v>
      </c>
      <c r="Y131" s="1" t="s">
        <v>40</v>
      </c>
      <c r="Z131" s="1" t="s">
        <v>41</v>
      </c>
      <c r="AA131" s="1">
        <f t="shared" si="10"/>
        <v>6</v>
      </c>
      <c r="AB131" s="2" t="str">
        <f t="shared" ref="AB131:AB194" si="14">IF(OR(AA131&lt;0,R131&lt;0),"Invalid",IF(OR(I131="Unknown",O131="Unknown"),"Warning","Clean"))</f>
        <v>Clean</v>
      </c>
      <c r="AC131" s="2"/>
    </row>
    <row r="132" spans="1:29">
      <c r="A132" s="1" t="s">
        <v>507</v>
      </c>
      <c r="B132" s="2">
        <v>45318</v>
      </c>
      <c r="C132" s="2" t="str">
        <f t="shared" si="11"/>
        <v>January</v>
      </c>
      <c r="D132" s="1">
        <f t="shared" si="12"/>
        <v>2024</v>
      </c>
      <c r="E132" s="2">
        <v>45324</v>
      </c>
      <c r="F132" s="1" t="s">
        <v>508</v>
      </c>
      <c r="G132" s="1" t="s">
        <v>61</v>
      </c>
      <c r="H132" s="1" t="s">
        <v>32</v>
      </c>
      <c r="I132" s="1" t="s">
        <v>71</v>
      </c>
      <c r="J132" s="1" t="s">
        <v>188</v>
      </c>
      <c r="K132" s="1" t="s">
        <v>189</v>
      </c>
      <c r="L132" s="1" t="s">
        <v>36</v>
      </c>
      <c r="M132" s="1" t="s">
        <v>99</v>
      </c>
      <c r="N132" s="1" t="s">
        <v>509</v>
      </c>
      <c r="O132" s="1" t="s">
        <v>52</v>
      </c>
      <c r="P132" s="1">
        <v>5</v>
      </c>
      <c r="Q132" s="1">
        <v>218.42</v>
      </c>
      <c r="R132" s="1">
        <v>0.2</v>
      </c>
      <c r="S132" s="1">
        <v>873.68</v>
      </c>
      <c r="T132" s="1">
        <f t="shared" si="13"/>
        <v>873.68</v>
      </c>
      <c r="U132" s="1">
        <v>661.72</v>
      </c>
      <c r="V132" s="3">
        <f>IF(T132=0,"",X132/T132)</f>
        <v>0.24260598846259493</v>
      </c>
      <c r="W132" s="1">
        <v>211.96</v>
      </c>
      <c r="X132" s="1">
        <f>T132-U132</f>
        <v>211.95999999999992</v>
      </c>
      <c r="Y132" s="1" t="s">
        <v>119</v>
      </c>
      <c r="Z132" s="1" t="s">
        <v>76</v>
      </c>
      <c r="AA132" s="1">
        <f t="shared" si="10"/>
        <v>6</v>
      </c>
      <c r="AB132" s="2" t="str">
        <f t="shared" si="14"/>
        <v>Clean</v>
      </c>
      <c r="AC132" s="2"/>
    </row>
    <row r="133" spans="1:29">
      <c r="A133" s="1" t="s">
        <v>510</v>
      </c>
      <c r="B133" s="2">
        <v>45929</v>
      </c>
      <c r="C133" s="2" t="str">
        <f t="shared" si="11"/>
        <v>September</v>
      </c>
      <c r="D133" s="1">
        <f t="shared" si="12"/>
        <v>2025</v>
      </c>
      <c r="E133" s="2">
        <v>45757</v>
      </c>
      <c r="F133" s="1" t="s">
        <v>511</v>
      </c>
      <c r="G133" s="1" t="s">
        <v>70</v>
      </c>
      <c r="H133" s="1" t="s">
        <v>103</v>
      </c>
      <c r="I133" s="1" t="s">
        <v>46</v>
      </c>
      <c r="J133" s="1" t="s">
        <v>237</v>
      </c>
      <c r="K133" s="1" t="s">
        <v>238</v>
      </c>
      <c r="L133" s="1" t="s">
        <v>36</v>
      </c>
      <c r="M133" s="1" t="s">
        <v>37</v>
      </c>
      <c r="N133" s="1" t="s">
        <v>512</v>
      </c>
      <c r="O133" s="1" t="s">
        <v>52</v>
      </c>
      <c r="P133" s="1">
        <v>9</v>
      </c>
      <c r="Q133" s="1">
        <v>373.91</v>
      </c>
      <c r="R133" s="1">
        <v>0.2</v>
      </c>
      <c r="S133" s="1">
        <v>2692.15</v>
      </c>
      <c r="T133" s="1">
        <f t="shared" si="13"/>
        <v>2692.152</v>
      </c>
      <c r="U133" s="1">
        <v>2044.49</v>
      </c>
      <c r="V133" s="3">
        <f>IF(T133=0,"",X133/T133)</f>
        <v>0.24057408348414205</v>
      </c>
      <c r="W133" s="1">
        <v>647.66</v>
      </c>
      <c r="X133" s="1">
        <f>T133-U133</f>
        <v>647.66200000000003</v>
      </c>
      <c r="Y133" s="1" t="s">
        <v>40</v>
      </c>
      <c r="Z133" s="1" t="s">
        <v>41</v>
      </c>
      <c r="AA133" s="4">
        <f t="shared" si="10"/>
        <v>-172</v>
      </c>
      <c r="AB133" s="2" t="str">
        <f t="shared" si="14"/>
        <v>Invalid</v>
      </c>
      <c r="AC133" s="2"/>
    </row>
    <row r="134" spans="1:29">
      <c r="A134" s="1" t="s">
        <v>513</v>
      </c>
      <c r="B134" s="2">
        <v>45393</v>
      </c>
      <c r="C134" s="2" t="str">
        <f t="shared" si="11"/>
        <v>April</v>
      </c>
      <c r="D134" s="1">
        <f t="shared" si="12"/>
        <v>2024</v>
      </c>
      <c r="E134" s="2">
        <v>45393</v>
      </c>
      <c r="F134" s="1" t="s">
        <v>514</v>
      </c>
      <c r="G134" s="1" t="s">
        <v>273</v>
      </c>
      <c r="H134" s="1" t="s">
        <v>98</v>
      </c>
      <c r="I134" s="1" t="s">
        <v>46</v>
      </c>
      <c r="J134" s="1" t="s">
        <v>174</v>
      </c>
      <c r="K134" s="1" t="s">
        <v>175</v>
      </c>
      <c r="L134" s="1" t="s">
        <v>82</v>
      </c>
      <c r="M134" s="1" t="s">
        <v>283</v>
      </c>
      <c r="N134" s="1" t="s">
        <v>515</v>
      </c>
      <c r="O134" s="1" t="s">
        <v>58</v>
      </c>
      <c r="P134" s="1">
        <v>2</v>
      </c>
      <c r="Q134" s="1">
        <v>533.08000000000004</v>
      </c>
      <c r="R134" s="1">
        <v>0</v>
      </c>
      <c r="S134" s="1">
        <v>1066.1600000000001</v>
      </c>
      <c r="T134" s="1">
        <f t="shared" si="13"/>
        <v>1066.1600000000001</v>
      </c>
      <c r="U134" s="1">
        <v>656.3</v>
      </c>
      <c r="V134" s="3">
        <f>IF(T134=0,"",X134/T134)</f>
        <v>0.38442635251744589</v>
      </c>
      <c r="W134" s="1">
        <v>409.86</v>
      </c>
      <c r="X134" s="1">
        <f>T134-U134</f>
        <v>409.86000000000013</v>
      </c>
      <c r="Y134" s="1" t="s">
        <v>163</v>
      </c>
      <c r="Z134" s="1" t="s">
        <v>76</v>
      </c>
      <c r="AA134" s="1">
        <f t="shared" si="10"/>
        <v>0</v>
      </c>
      <c r="AB134" s="2" t="str">
        <f t="shared" si="14"/>
        <v>Clean</v>
      </c>
      <c r="AC134" s="2"/>
    </row>
    <row r="135" spans="1:29">
      <c r="A135" s="1" t="s">
        <v>516</v>
      </c>
      <c r="B135" s="2">
        <v>45639</v>
      </c>
      <c r="C135" s="2" t="str">
        <f t="shared" si="11"/>
        <v>December</v>
      </c>
      <c r="D135" s="1">
        <f t="shared" si="12"/>
        <v>2024</v>
      </c>
      <c r="E135" s="2">
        <v>45644</v>
      </c>
      <c r="F135" s="1" t="s">
        <v>517</v>
      </c>
      <c r="G135" s="1" t="s">
        <v>31</v>
      </c>
      <c r="H135" s="1" t="s">
        <v>32</v>
      </c>
      <c r="I135" s="1" t="s">
        <v>71</v>
      </c>
      <c r="J135" s="1" t="s">
        <v>198</v>
      </c>
      <c r="K135" s="1" t="s">
        <v>199</v>
      </c>
      <c r="L135" s="1" t="s">
        <v>82</v>
      </c>
      <c r="M135" s="1" t="s">
        <v>179</v>
      </c>
      <c r="N135" s="1" t="s">
        <v>518</v>
      </c>
      <c r="O135" s="1" t="s">
        <v>39</v>
      </c>
      <c r="P135" s="1">
        <v>8</v>
      </c>
      <c r="Q135" s="1">
        <v>3372.15</v>
      </c>
      <c r="R135" s="1">
        <v>0.15</v>
      </c>
      <c r="S135" s="1">
        <v>22930.62</v>
      </c>
      <c r="T135" s="1">
        <f t="shared" si="13"/>
        <v>22930.62</v>
      </c>
      <c r="U135" s="1">
        <v>16875.55</v>
      </c>
      <c r="V135" s="3">
        <f>IF(T135=0,"",X135/T135)</f>
        <v>0.26406045715292475</v>
      </c>
      <c r="W135" s="1">
        <v>6055.07</v>
      </c>
      <c r="X135" s="1">
        <f>T135-U135</f>
        <v>6055.07</v>
      </c>
      <c r="Y135" s="1" t="s">
        <v>40</v>
      </c>
      <c r="Z135" s="1" t="s">
        <v>41</v>
      </c>
      <c r="AA135" s="1">
        <f t="shared" si="10"/>
        <v>5</v>
      </c>
      <c r="AB135" s="2" t="str">
        <f t="shared" si="14"/>
        <v>Clean</v>
      </c>
      <c r="AC135" s="2"/>
    </row>
    <row r="136" spans="1:29">
      <c r="A136" s="1" t="s">
        <v>519</v>
      </c>
      <c r="B136" s="2">
        <v>45852</v>
      </c>
      <c r="C136" s="2" t="str">
        <f t="shared" si="11"/>
        <v>July</v>
      </c>
      <c r="D136" s="1">
        <f t="shared" si="12"/>
        <v>2025</v>
      </c>
      <c r="E136" s="2">
        <v>45852</v>
      </c>
      <c r="F136" s="1" t="s">
        <v>520</v>
      </c>
      <c r="G136" s="1" t="s">
        <v>79</v>
      </c>
      <c r="H136" s="1" t="s">
        <v>103</v>
      </c>
      <c r="I136" s="1" t="s">
        <v>46</v>
      </c>
      <c r="J136" s="1" t="s">
        <v>107</v>
      </c>
      <c r="K136" s="1" t="s">
        <v>108</v>
      </c>
      <c r="L136" s="1" t="s">
        <v>49</v>
      </c>
      <c r="M136" s="1" t="s">
        <v>166</v>
      </c>
      <c r="N136" s="1" t="s">
        <v>521</v>
      </c>
      <c r="O136" s="1" t="s">
        <v>213</v>
      </c>
      <c r="P136" s="1">
        <v>5</v>
      </c>
      <c r="Q136" s="1">
        <v>383.1</v>
      </c>
      <c r="R136" s="1">
        <v>0.25</v>
      </c>
      <c r="S136" s="1">
        <v>1436.62</v>
      </c>
      <c r="T136" s="1">
        <f t="shared" si="13"/>
        <v>1436.625</v>
      </c>
      <c r="U136" s="1">
        <v>912.52</v>
      </c>
      <c r="V136" s="3">
        <f>IF(T136=0,"",X136/T136)</f>
        <v>0.36481684503610895</v>
      </c>
      <c r="W136" s="1">
        <v>524.1</v>
      </c>
      <c r="X136" s="1">
        <f>T136-U136</f>
        <v>524.10500000000002</v>
      </c>
      <c r="Y136" s="1" t="s">
        <v>119</v>
      </c>
      <c r="Z136" s="1" t="s">
        <v>76</v>
      </c>
      <c r="AA136" s="1">
        <f t="shared" si="10"/>
        <v>0</v>
      </c>
      <c r="AB136" s="2" t="str">
        <f t="shared" si="14"/>
        <v>Warning</v>
      </c>
      <c r="AC136" s="2"/>
    </row>
    <row r="137" spans="1:29">
      <c r="A137" s="1" t="s">
        <v>522</v>
      </c>
      <c r="B137" s="2">
        <v>45893</v>
      </c>
      <c r="C137" s="2" t="str">
        <f t="shared" si="11"/>
        <v>August</v>
      </c>
      <c r="D137" s="1">
        <f t="shared" si="12"/>
        <v>2025</v>
      </c>
      <c r="E137" s="2">
        <v>45893</v>
      </c>
      <c r="F137" s="1" t="s">
        <v>523</v>
      </c>
      <c r="G137" s="1" t="s">
        <v>170</v>
      </c>
      <c r="H137" s="1" t="s">
        <v>45</v>
      </c>
      <c r="I137" s="1" t="s">
        <v>62</v>
      </c>
      <c r="J137" s="1" t="s">
        <v>193</v>
      </c>
      <c r="K137" s="1" t="s">
        <v>194</v>
      </c>
      <c r="L137" s="1" t="s">
        <v>49</v>
      </c>
      <c r="M137" s="1" t="s">
        <v>166</v>
      </c>
      <c r="N137" s="1" t="s">
        <v>524</v>
      </c>
      <c r="O137" s="1" t="s">
        <v>67</v>
      </c>
      <c r="P137" s="1">
        <v>1</v>
      </c>
      <c r="Q137" s="1">
        <v>3424.78</v>
      </c>
      <c r="R137" s="1">
        <v>0</v>
      </c>
      <c r="S137" s="1">
        <v>3424.78</v>
      </c>
      <c r="T137" s="1">
        <f t="shared" si="13"/>
        <v>3424.78</v>
      </c>
      <c r="U137" s="1">
        <v>1951.45</v>
      </c>
      <c r="V137" s="3">
        <f>IF(T137=0,"",X137/T137)</f>
        <v>0.43019697615613267</v>
      </c>
      <c r="W137" s="1">
        <v>1473.33</v>
      </c>
      <c r="X137" s="1">
        <f>T137-U137</f>
        <v>1473.3300000000002</v>
      </c>
      <c r="Y137" s="1" t="s">
        <v>40</v>
      </c>
      <c r="Z137" s="1" t="s">
        <v>41</v>
      </c>
      <c r="AA137" s="1">
        <f t="shared" si="10"/>
        <v>0</v>
      </c>
      <c r="AB137" s="2" t="str">
        <f t="shared" si="14"/>
        <v>Clean</v>
      </c>
      <c r="AC137" s="2"/>
    </row>
    <row r="138" spans="1:29">
      <c r="A138" s="1" t="s">
        <v>525</v>
      </c>
      <c r="B138" s="2">
        <v>45902</v>
      </c>
      <c r="C138" s="2" t="str">
        <f t="shared" si="11"/>
        <v>September</v>
      </c>
      <c r="D138" s="1">
        <f t="shared" si="12"/>
        <v>2025</v>
      </c>
      <c r="E138" s="2">
        <v>45703</v>
      </c>
      <c r="F138" s="1" t="s">
        <v>526</v>
      </c>
      <c r="G138" s="1" t="s">
        <v>44</v>
      </c>
      <c r="H138" s="1" t="s">
        <v>103</v>
      </c>
      <c r="I138" s="1" t="s">
        <v>46</v>
      </c>
      <c r="J138" s="1" t="s">
        <v>237</v>
      </c>
      <c r="K138" s="1" t="s">
        <v>238</v>
      </c>
      <c r="L138" s="1" t="s">
        <v>36</v>
      </c>
      <c r="M138" s="1" t="s">
        <v>161</v>
      </c>
      <c r="N138" s="1" t="s">
        <v>527</v>
      </c>
      <c r="O138" s="1" t="s">
        <v>67</v>
      </c>
      <c r="P138" s="1">
        <v>9</v>
      </c>
      <c r="Q138" s="1">
        <v>4330.33</v>
      </c>
      <c r="R138" s="1">
        <v>0.2</v>
      </c>
      <c r="S138" s="1">
        <v>31178.38</v>
      </c>
      <c r="T138" s="1">
        <f t="shared" si="13"/>
        <v>31178.376000000004</v>
      </c>
      <c r="U138" s="1">
        <v>21421.09</v>
      </c>
      <c r="V138" s="3">
        <f>IF(T138=0,"",X138/T138)</f>
        <v>0.31295042435821552</v>
      </c>
      <c r="W138" s="1">
        <v>9757.2900000000009</v>
      </c>
      <c r="X138" s="1">
        <f>T138-U138</f>
        <v>9757.2860000000037</v>
      </c>
      <c r="Y138" s="1" t="s">
        <v>40</v>
      </c>
      <c r="Z138" s="1" t="s">
        <v>41</v>
      </c>
      <c r="AA138" s="4">
        <f t="shared" si="10"/>
        <v>-199</v>
      </c>
      <c r="AB138" s="2" t="str">
        <f t="shared" si="14"/>
        <v>Invalid</v>
      </c>
      <c r="AC138" s="2"/>
    </row>
    <row r="139" spans="1:29">
      <c r="A139" s="1" t="s">
        <v>528</v>
      </c>
      <c r="B139" s="2">
        <v>45666</v>
      </c>
      <c r="C139" s="2" t="str">
        <f t="shared" si="11"/>
        <v>January</v>
      </c>
      <c r="D139" s="1">
        <f t="shared" si="12"/>
        <v>2025</v>
      </c>
      <c r="E139" s="2">
        <v>45901</v>
      </c>
      <c r="F139" s="1" t="s">
        <v>529</v>
      </c>
      <c r="G139" s="1" t="s">
        <v>140</v>
      </c>
      <c r="H139" s="1" t="s">
        <v>45</v>
      </c>
      <c r="I139" s="1" t="s">
        <v>33</v>
      </c>
      <c r="J139" s="1" t="s">
        <v>34</v>
      </c>
      <c r="K139" s="1" t="s">
        <v>35</v>
      </c>
      <c r="L139" s="1" t="s">
        <v>49</v>
      </c>
      <c r="M139" s="1" t="s">
        <v>74</v>
      </c>
      <c r="N139" s="1" t="s">
        <v>530</v>
      </c>
      <c r="O139" s="1" t="s">
        <v>52</v>
      </c>
      <c r="P139" s="1">
        <v>8</v>
      </c>
      <c r="Q139" s="1">
        <v>2667.07</v>
      </c>
      <c r="R139" s="1">
        <v>0.1</v>
      </c>
      <c r="S139" s="1">
        <v>19202.900000000001</v>
      </c>
      <c r="T139" s="1">
        <f t="shared" si="13"/>
        <v>19202.904000000002</v>
      </c>
      <c r="U139" s="1">
        <v>15526.62</v>
      </c>
      <c r="V139" s="3">
        <f>IF(T139=0,"",X139/T139)</f>
        <v>0.19144416906942829</v>
      </c>
      <c r="W139" s="1">
        <v>3676.28</v>
      </c>
      <c r="X139" s="1">
        <f>T139-U139</f>
        <v>3676.2840000000015</v>
      </c>
      <c r="Y139" s="1" t="s">
        <v>40</v>
      </c>
      <c r="Z139" s="1" t="s">
        <v>41</v>
      </c>
      <c r="AA139" s="1">
        <f t="shared" si="10"/>
        <v>235</v>
      </c>
      <c r="AB139" s="2" t="str">
        <f t="shared" si="14"/>
        <v>Clean</v>
      </c>
      <c r="AC139" s="2"/>
    </row>
    <row r="140" spans="1:29">
      <c r="A140" s="1" t="s">
        <v>531</v>
      </c>
      <c r="B140" s="2">
        <v>45311</v>
      </c>
      <c r="C140" s="2" t="str">
        <f t="shared" si="11"/>
        <v>January</v>
      </c>
      <c r="D140" s="1">
        <f t="shared" si="12"/>
        <v>2024</v>
      </c>
      <c r="E140" s="2">
        <v>45317</v>
      </c>
      <c r="F140" s="1" t="s">
        <v>532</v>
      </c>
      <c r="G140" s="1" t="s">
        <v>170</v>
      </c>
      <c r="H140" s="1" t="s">
        <v>103</v>
      </c>
      <c r="I140" s="1" t="s">
        <v>46</v>
      </c>
      <c r="J140" s="1" t="s">
        <v>237</v>
      </c>
      <c r="K140" s="1" t="s">
        <v>238</v>
      </c>
      <c r="L140" s="1" t="s">
        <v>82</v>
      </c>
      <c r="M140" s="1" t="s">
        <v>283</v>
      </c>
      <c r="N140" s="1" t="s">
        <v>533</v>
      </c>
      <c r="O140" s="1" t="s">
        <v>67</v>
      </c>
      <c r="P140" s="1">
        <v>8</v>
      </c>
      <c r="Q140" s="1">
        <v>4003.05</v>
      </c>
      <c r="R140" s="1">
        <v>0.25</v>
      </c>
      <c r="S140" s="1">
        <v>24018.3</v>
      </c>
      <c r="T140" s="1">
        <f t="shared" si="13"/>
        <v>24018.300000000003</v>
      </c>
      <c r="U140" s="1">
        <v>14070.78</v>
      </c>
      <c r="V140" s="3">
        <f>IF(T140=0,"",X140/T140)</f>
        <v>0.41416419979765434</v>
      </c>
      <c r="W140" s="1">
        <v>9947.52</v>
      </c>
      <c r="X140" s="1">
        <f>T140-U140</f>
        <v>9947.5200000000023</v>
      </c>
      <c r="Y140" s="1" t="s">
        <v>40</v>
      </c>
      <c r="Z140" s="1" t="s">
        <v>41</v>
      </c>
      <c r="AA140" s="1">
        <f t="shared" si="10"/>
        <v>6</v>
      </c>
      <c r="AB140" s="2" t="str">
        <f t="shared" si="14"/>
        <v>Clean</v>
      </c>
      <c r="AC140" s="2"/>
    </row>
    <row r="141" spans="1:29">
      <c r="A141" s="1" t="s">
        <v>534</v>
      </c>
      <c r="B141" s="2">
        <v>45718</v>
      </c>
      <c r="C141" s="2" t="str">
        <f t="shared" si="11"/>
        <v>March</v>
      </c>
      <c r="D141" s="1">
        <f t="shared" si="12"/>
        <v>2025</v>
      </c>
      <c r="E141" s="2">
        <v>45841</v>
      </c>
      <c r="F141" s="1" t="s">
        <v>535</v>
      </c>
      <c r="G141" s="1" t="s">
        <v>87</v>
      </c>
      <c r="H141" s="1" t="s">
        <v>103</v>
      </c>
      <c r="I141" s="1" t="s">
        <v>62</v>
      </c>
      <c r="J141" s="1" t="s">
        <v>183</v>
      </c>
      <c r="K141" s="1" t="s">
        <v>184</v>
      </c>
      <c r="L141" s="1" t="s">
        <v>36</v>
      </c>
      <c r="M141" s="1" t="s">
        <v>99</v>
      </c>
      <c r="N141" s="1" t="s">
        <v>536</v>
      </c>
      <c r="O141" s="1" t="s">
        <v>67</v>
      </c>
      <c r="P141" s="1">
        <v>8</v>
      </c>
      <c r="Q141" s="1">
        <v>1287.6300000000001</v>
      </c>
      <c r="R141" s="1">
        <v>0</v>
      </c>
      <c r="S141" s="1">
        <v>10301.040000000001</v>
      </c>
      <c r="T141" s="1">
        <f t="shared" si="13"/>
        <v>10301.040000000001</v>
      </c>
      <c r="U141" s="1">
        <v>6564.06</v>
      </c>
      <c r="V141" s="3">
        <f>IF(T141=0,"",X141/T141)</f>
        <v>0.3627769623261341</v>
      </c>
      <c r="W141" s="1">
        <v>3736.98</v>
      </c>
      <c r="X141" s="1">
        <f>T141-U141</f>
        <v>3736.9800000000005</v>
      </c>
      <c r="Y141" s="1" t="s">
        <v>40</v>
      </c>
      <c r="Z141" s="1" t="s">
        <v>41</v>
      </c>
      <c r="AA141" s="1">
        <f t="shared" si="10"/>
        <v>123</v>
      </c>
      <c r="AB141" s="2" t="str">
        <f t="shared" si="14"/>
        <v>Clean</v>
      </c>
      <c r="AC141" s="2"/>
    </row>
    <row r="142" spans="1:29">
      <c r="A142" s="1" t="s">
        <v>537</v>
      </c>
      <c r="B142" s="2">
        <v>45443</v>
      </c>
      <c r="C142" s="2" t="str">
        <f t="shared" si="11"/>
        <v>May</v>
      </c>
      <c r="D142" s="1">
        <f t="shared" si="12"/>
        <v>2024</v>
      </c>
      <c r="E142" s="2">
        <v>45297</v>
      </c>
      <c r="F142" s="1" t="s">
        <v>538</v>
      </c>
      <c r="G142" s="1" t="s">
        <v>44</v>
      </c>
      <c r="H142" s="1" t="s">
        <v>98</v>
      </c>
      <c r="I142" s="1" t="s">
        <v>62</v>
      </c>
      <c r="J142" s="1" t="s">
        <v>183</v>
      </c>
      <c r="K142" s="1" t="s">
        <v>184</v>
      </c>
      <c r="L142" s="1" t="s">
        <v>49</v>
      </c>
      <c r="M142" s="1" t="s">
        <v>166</v>
      </c>
      <c r="N142" s="1" t="s">
        <v>539</v>
      </c>
      <c r="O142" s="1" t="s">
        <v>52</v>
      </c>
      <c r="P142" s="1">
        <v>3</v>
      </c>
      <c r="Q142" s="1">
        <v>2914.55</v>
      </c>
      <c r="R142" s="1">
        <v>0</v>
      </c>
      <c r="S142" s="1">
        <v>8743.65</v>
      </c>
      <c r="T142" s="1">
        <f t="shared" si="13"/>
        <v>8743.6500000000015</v>
      </c>
      <c r="U142" s="1">
        <v>6603.76</v>
      </c>
      <c r="V142" s="3">
        <f>IF(T142=0,"",X142/T142)</f>
        <v>0.24473646589239059</v>
      </c>
      <c r="W142" s="1">
        <v>2139.89</v>
      </c>
      <c r="X142" s="1">
        <f>T142-U142</f>
        <v>2139.8900000000012</v>
      </c>
      <c r="Y142" s="1" t="s">
        <v>40</v>
      </c>
      <c r="Z142" s="1" t="s">
        <v>41</v>
      </c>
      <c r="AA142" s="4">
        <f t="shared" si="10"/>
        <v>-146</v>
      </c>
      <c r="AB142" s="2" t="str">
        <f t="shared" si="14"/>
        <v>Invalid</v>
      </c>
      <c r="AC142" s="2"/>
    </row>
    <row r="143" spans="1:29">
      <c r="A143" s="1" t="s">
        <v>540</v>
      </c>
      <c r="B143" s="2">
        <v>45374</v>
      </c>
      <c r="C143" s="2" t="str">
        <f t="shared" si="11"/>
        <v>March</v>
      </c>
      <c r="D143" s="1">
        <f t="shared" si="12"/>
        <v>2024</v>
      </c>
      <c r="E143" s="2">
        <v>45380</v>
      </c>
      <c r="F143" s="1" t="s">
        <v>541</v>
      </c>
      <c r="G143" s="1" t="s">
        <v>122</v>
      </c>
      <c r="H143" s="1" t="s">
        <v>98</v>
      </c>
      <c r="I143" s="1" t="s">
        <v>33</v>
      </c>
      <c r="J143" s="1" t="s">
        <v>359</v>
      </c>
      <c r="K143" s="1" t="s">
        <v>360</v>
      </c>
      <c r="L143" s="1" t="s">
        <v>49</v>
      </c>
      <c r="M143" s="1" t="s">
        <v>166</v>
      </c>
      <c r="N143" s="1" t="s">
        <v>542</v>
      </c>
      <c r="O143" s="1" t="s">
        <v>52</v>
      </c>
      <c r="P143" s="1">
        <v>7</v>
      </c>
      <c r="Q143" s="1">
        <v>634.29</v>
      </c>
      <c r="R143" s="1">
        <v>0.1</v>
      </c>
      <c r="S143" s="1">
        <v>3996.03</v>
      </c>
      <c r="T143" s="1">
        <f t="shared" si="13"/>
        <v>3996.027</v>
      </c>
      <c r="U143" s="1">
        <v>2859.51</v>
      </c>
      <c r="V143" s="3">
        <f>IF(T143=0,"",X143/T143)</f>
        <v>0.28441174196270441</v>
      </c>
      <c r="W143" s="1">
        <v>1136.52</v>
      </c>
      <c r="X143" s="1">
        <f>T143-U143</f>
        <v>1136.5169999999998</v>
      </c>
      <c r="Y143" s="1" t="s">
        <v>40</v>
      </c>
      <c r="Z143" s="1" t="s">
        <v>111</v>
      </c>
      <c r="AA143" s="1">
        <f t="shared" si="10"/>
        <v>6</v>
      </c>
      <c r="AB143" s="2" t="str">
        <f t="shared" si="14"/>
        <v>Clean</v>
      </c>
      <c r="AC143" s="2"/>
    </row>
    <row r="144" spans="1:29">
      <c r="A144" s="1" t="s">
        <v>543</v>
      </c>
      <c r="B144" s="2">
        <v>45381</v>
      </c>
      <c r="C144" s="2" t="str">
        <f t="shared" si="11"/>
        <v>March</v>
      </c>
      <c r="D144" s="1">
        <f t="shared" si="12"/>
        <v>2024</v>
      </c>
      <c r="E144" s="2">
        <v>45377</v>
      </c>
      <c r="F144" s="1" t="s">
        <v>544</v>
      </c>
      <c r="G144" s="1" t="s">
        <v>97</v>
      </c>
      <c r="H144" s="1" t="s">
        <v>103</v>
      </c>
      <c r="I144" s="1" t="s">
        <v>33</v>
      </c>
      <c r="J144" s="1" t="s">
        <v>34</v>
      </c>
      <c r="K144" s="1" t="s">
        <v>35</v>
      </c>
      <c r="L144" s="1" t="s">
        <v>82</v>
      </c>
      <c r="M144" s="1" t="s">
        <v>179</v>
      </c>
      <c r="N144" s="1" t="s">
        <v>545</v>
      </c>
      <c r="O144" s="1" t="s">
        <v>39</v>
      </c>
      <c r="P144" s="1">
        <v>5</v>
      </c>
      <c r="Q144" s="1">
        <v>907.54</v>
      </c>
      <c r="R144" s="1">
        <v>0.15</v>
      </c>
      <c r="S144" s="1">
        <v>3857.04</v>
      </c>
      <c r="T144" s="1">
        <f t="shared" si="13"/>
        <v>3857.0449999999996</v>
      </c>
      <c r="U144" s="1">
        <v>2769.26</v>
      </c>
      <c r="V144" s="3">
        <f>IF(T144=0,"",X144/T144)</f>
        <v>0.28202548842442843</v>
      </c>
      <c r="W144" s="1">
        <v>1087.78</v>
      </c>
      <c r="X144" s="1">
        <f>T144-U144</f>
        <v>1087.7849999999994</v>
      </c>
      <c r="Y144" s="1" t="s">
        <v>40</v>
      </c>
      <c r="Z144" s="1" t="s">
        <v>41</v>
      </c>
      <c r="AA144" s="4">
        <f t="shared" si="10"/>
        <v>-4</v>
      </c>
      <c r="AB144" s="2" t="str">
        <f t="shared" si="14"/>
        <v>Invalid</v>
      </c>
      <c r="AC144" s="2" t="s">
        <v>392</v>
      </c>
    </row>
    <row r="145" spans="1:29">
      <c r="A145" s="1" t="s">
        <v>546</v>
      </c>
      <c r="B145" s="2">
        <v>45375</v>
      </c>
      <c r="C145" s="2" t="str">
        <f t="shared" si="11"/>
        <v>March</v>
      </c>
      <c r="D145" s="1">
        <f t="shared" si="12"/>
        <v>2024</v>
      </c>
      <c r="E145" s="2">
        <v>45377</v>
      </c>
      <c r="F145" s="1" t="s">
        <v>547</v>
      </c>
      <c r="G145" s="1" t="s">
        <v>122</v>
      </c>
      <c r="H145" s="1" t="s">
        <v>32</v>
      </c>
      <c r="I145" s="1" t="s">
        <v>71</v>
      </c>
      <c r="J145" s="1" t="s">
        <v>188</v>
      </c>
      <c r="K145" s="1" t="s">
        <v>189</v>
      </c>
      <c r="L145" s="1" t="s">
        <v>36</v>
      </c>
      <c r="M145" s="1" t="s">
        <v>37</v>
      </c>
      <c r="N145" s="1" t="s">
        <v>548</v>
      </c>
      <c r="O145" s="1" t="s">
        <v>39</v>
      </c>
      <c r="P145" s="1">
        <v>1</v>
      </c>
      <c r="Q145" s="1">
        <v>3409.5</v>
      </c>
      <c r="R145" s="1">
        <v>0.1</v>
      </c>
      <c r="S145" s="1">
        <v>3068.55</v>
      </c>
      <c r="T145" s="1">
        <f t="shared" si="13"/>
        <v>3068.55</v>
      </c>
      <c r="U145" s="1">
        <v>1916.16</v>
      </c>
      <c r="V145" s="3">
        <f>IF(T145=0,"",X145/T145)</f>
        <v>0.3755487119323459</v>
      </c>
      <c r="W145" s="1">
        <v>1152.3900000000001</v>
      </c>
      <c r="X145" s="1">
        <f>T145-U145</f>
        <v>1152.3900000000001</v>
      </c>
      <c r="Y145" s="1" t="s">
        <v>40</v>
      </c>
      <c r="Z145" s="1" t="s">
        <v>111</v>
      </c>
      <c r="AA145" s="1">
        <f t="shared" si="10"/>
        <v>2</v>
      </c>
      <c r="AB145" s="2" t="str">
        <f t="shared" si="14"/>
        <v>Clean</v>
      </c>
      <c r="AC145" s="2"/>
    </row>
    <row r="146" spans="1:29">
      <c r="A146" s="1" t="s">
        <v>549</v>
      </c>
      <c r="B146" s="2">
        <v>45479</v>
      </c>
      <c r="C146" s="2" t="str">
        <f t="shared" si="11"/>
        <v>July</v>
      </c>
      <c r="D146" s="1">
        <f t="shared" si="12"/>
        <v>2024</v>
      </c>
      <c r="E146" s="2">
        <v>45458</v>
      </c>
      <c r="F146" s="1" t="s">
        <v>550</v>
      </c>
      <c r="G146" s="1" t="s">
        <v>273</v>
      </c>
      <c r="H146" s="1" t="s">
        <v>45</v>
      </c>
      <c r="I146" s="1" t="s">
        <v>62</v>
      </c>
      <c r="J146" s="1" t="s">
        <v>63</v>
      </c>
      <c r="K146" s="1" t="s">
        <v>64</v>
      </c>
      <c r="L146" s="1" t="s">
        <v>82</v>
      </c>
      <c r="M146" s="1" t="s">
        <v>83</v>
      </c>
      <c r="N146" s="1" t="s">
        <v>551</v>
      </c>
      <c r="O146" s="1" t="s">
        <v>58</v>
      </c>
      <c r="P146" s="1">
        <v>7</v>
      </c>
      <c r="Q146" s="1">
        <v>2147.9899999999998</v>
      </c>
      <c r="R146" s="1">
        <v>0.25</v>
      </c>
      <c r="S146" s="1">
        <v>11276.95</v>
      </c>
      <c r="T146" s="1">
        <f t="shared" si="13"/>
        <v>11276.947499999998</v>
      </c>
      <c r="U146" s="1">
        <v>6908.76</v>
      </c>
      <c r="V146" s="3">
        <f>IF(T146=0,"",X146/T146)</f>
        <v>0.38735548782150481</v>
      </c>
      <c r="W146" s="1">
        <v>4368.1899999999996</v>
      </c>
      <c r="X146" s="1">
        <f>T146-U146</f>
        <v>4368.1874999999982</v>
      </c>
      <c r="Y146" s="1" t="s">
        <v>110</v>
      </c>
      <c r="Z146" s="1" t="s">
        <v>111</v>
      </c>
      <c r="AA146" s="4">
        <f t="shared" si="10"/>
        <v>-21</v>
      </c>
      <c r="AB146" s="2" t="str">
        <f t="shared" si="14"/>
        <v>Invalid</v>
      </c>
      <c r="AC146" s="2"/>
    </row>
    <row r="147" spans="1:29">
      <c r="A147" s="1" t="s">
        <v>552</v>
      </c>
      <c r="B147" s="2">
        <v>45965</v>
      </c>
      <c r="C147" s="2" t="str">
        <f t="shared" si="11"/>
        <v>November</v>
      </c>
      <c r="D147" s="1">
        <f t="shared" si="12"/>
        <v>2025</v>
      </c>
      <c r="E147" s="2">
        <v>45760</v>
      </c>
      <c r="F147" s="1" t="s">
        <v>553</v>
      </c>
      <c r="G147" s="1" t="s">
        <v>44</v>
      </c>
      <c r="H147" s="1" t="s">
        <v>45</v>
      </c>
      <c r="I147" s="1" t="s">
        <v>71</v>
      </c>
      <c r="J147" s="1" t="s">
        <v>198</v>
      </c>
      <c r="K147" s="1" t="s">
        <v>199</v>
      </c>
      <c r="L147" s="1" t="s">
        <v>36</v>
      </c>
      <c r="M147" s="1" t="s">
        <v>37</v>
      </c>
      <c r="N147" s="1" t="s">
        <v>554</v>
      </c>
      <c r="O147" s="1" t="s">
        <v>67</v>
      </c>
      <c r="P147" s="1">
        <v>4</v>
      </c>
      <c r="Q147" s="1">
        <v>4182.1499999999996</v>
      </c>
      <c r="R147" s="1">
        <v>0.1</v>
      </c>
      <c r="S147" s="1">
        <v>15055.74</v>
      </c>
      <c r="T147" s="1">
        <f t="shared" si="13"/>
        <v>15055.74</v>
      </c>
      <c r="U147" s="1">
        <v>9808.83</v>
      </c>
      <c r="V147" s="3">
        <f>IF(T147=0,"",X147/T147)</f>
        <v>0.34849897779850075</v>
      </c>
      <c r="W147" s="1">
        <v>5246.91</v>
      </c>
      <c r="X147" s="1">
        <f>T147-U147</f>
        <v>5246.91</v>
      </c>
      <c r="Y147" s="1" t="s">
        <v>40</v>
      </c>
      <c r="Z147" s="1" t="s">
        <v>41</v>
      </c>
      <c r="AA147" s="4">
        <f t="shared" si="10"/>
        <v>-205</v>
      </c>
      <c r="AB147" s="2" t="str">
        <f t="shared" si="14"/>
        <v>Invalid</v>
      </c>
      <c r="AC147" s="2"/>
    </row>
    <row r="148" spans="1:29">
      <c r="A148" s="1" t="s">
        <v>555</v>
      </c>
      <c r="B148" s="2">
        <v>45868</v>
      </c>
      <c r="C148" s="2" t="str">
        <f t="shared" si="11"/>
        <v>July</v>
      </c>
      <c r="D148" s="1">
        <f t="shared" si="12"/>
        <v>2025</v>
      </c>
      <c r="E148" s="2">
        <v>45870</v>
      </c>
      <c r="F148" s="1" t="s">
        <v>556</v>
      </c>
      <c r="G148" s="1" t="s">
        <v>140</v>
      </c>
      <c r="H148" s="1" t="s">
        <v>45</v>
      </c>
      <c r="I148" s="1" t="s">
        <v>62</v>
      </c>
      <c r="J148" s="1" t="s">
        <v>256</v>
      </c>
      <c r="K148" s="1" t="s">
        <v>257</v>
      </c>
      <c r="L148" s="1" t="s">
        <v>36</v>
      </c>
      <c r="M148" s="1" t="s">
        <v>132</v>
      </c>
      <c r="N148" s="1" t="s">
        <v>557</v>
      </c>
      <c r="O148" s="1" t="s">
        <v>52</v>
      </c>
      <c r="P148" s="1">
        <v>9</v>
      </c>
      <c r="Q148" s="1">
        <v>3165.43</v>
      </c>
      <c r="R148" s="1">
        <v>0.1</v>
      </c>
      <c r="S148" s="1">
        <v>25639.98</v>
      </c>
      <c r="T148" s="1">
        <f t="shared" si="13"/>
        <v>25639.983</v>
      </c>
      <c r="U148" s="1">
        <v>21635.08</v>
      </c>
      <c r="V148" s="3">
        <f>IF(T148=0,"",X148/T148)</f>
        <v>0.1561975684617263</v>
      </c>
      <c r="W148" s="1">
        <v>4004.9</v>
      </c>
      <c r="X148" s="1">
        <f>T148-U148</f>
        <v>4004.9029999999984</v>
      </c>
      <c r="Y148" s="1" t="s">
        <v>40</v>
      </c>
      <c r="Z148" s="1" t="s">
        <v>41</v>
      </c>
      <c r="AA148" s="1">
        <f t="shared" si="10"/>
        <v>2</v>
      </c>
      <c r="AB148" s="2" t="str">
        <f t="shared" si="14"/>
        <v>Clean</v>
      </c>
      <c r="AC148" s="2"/>
    </row>
    <row r="149" spans="1:29">
      <c r="A149" s="1" t="s">
        <v>558</v>
      </c>
      <c r="B149" s="2">
        <v>45649</v>
      </c>
      <c r="C149" s="2" t="str">
        <f t="shared" si="11"/>
        <v>December</v>
      </c>
      <c r="D149" s="1">
        <f t="shared" si="12"/>
        <v>2024</v>
      </c>
      <c r="E149" s="2">
        <v>45656</v>
      </c>
      <c r="F149" s="1" t="s">
        <v>559</v>
      </c>
      <c r="G149" s="1" t="s">
        <v>122</v>
      </c>
      <c r="H149" s="1" t="s">
        <v>103</v>
      </c>
      <c r="I149" s="1" t="s">
        <v>71</v>
      </c>
      <c r="J149" s="1" t="s">
        <v>198</v>
      </c>
      <c r="K149" s="1" t="s">
        <v>199</v>
      </c>
      <c r="L149" s="1" t="s">
        <v>49</v>
      </c>
      <c r="M149" s="1" t="s">
        <v>65</v>
      </c>
      <c r="N149" s="1" t="s">
        <v>560</v>
      </c>
      <c r="O149" s="1" t="s">
        <v>58</v>
      </c>
      <c r="P149" s="1">
        <v>8</v>
      </c>
      <c r="Q149" s="1">
        <v>386.1</v>
      </c>
      <c r="R149" s="1">
        <v>0.1</v>
      </c>
      <c r="S149" s="1">
        <v>2779.92</v>
      </c>
      <c r="T149" s="1">
        <f t="shared" si="13"/>
        <v>2779.92</v>
      </c>
      <c r="U149" s="1">
        <v>1744.05</v>
      </c>
      <c r="V149" s="3">
        <f>IF(T149=0,"",X149/T149)</f>
        <v>0.37262583095916435</v>
      </c>
      <c r="W149" s="1">
        <v>1035.8699999999999</v>
      </c>
      <c r="X149" s="1">
        <f>T149-U149</f>
        <v>1035.8700000000001</v>
      </c>
      <c r="Y149" s="1" t="s">
        <v>40</v>
      </c>
      <c r="Z149" s="1" t="s">
        <v>41</v>
      </c>
      <c r="AA149" s="1">
        <f t="shared" si="10"/>
        <v>7</v>
      </c>
      <c r="AB149" s="2" t="str">
        <f t="shared" si="14"/>
        <v>Clean</v>
      </c>
      <c r="AC149" s="2"/>
    </row>
    <row r="150" spans="1:29">
      <c r="A150" s="1" t="s">
        <v>561</v>
      </c>
      <c r="B150" s="2">
        <v>45902</v>
      </c>
      <c r="C150" s="2" t="str">
        <f t="shared" si="11"/>
        <v>September</v>
      </c>
      <c r="D150" s="1">
        <f t="shared" si="12"/>
        <v>2025</v>
      </c>
      <c r="E150" s="2">
        <v>45701</v>
      </c>
      <c r="F150" s="1" t="s">
        <v>562</v>
      </c>
      <c r="G150" s="1" t="s">
        <v>44</v>
      </c>
      <c r="H150" s="1" t="s">
        <v>103</v>
      </c>
      <c r="I150" s="1" t="s">
        <v>71</v>
      </c>
      <c r="J150" s="1" t="s">
        <v>80</v>
      </c>
      <c r="K150" s="1" t="s">
        <v>81</v>
      </c>
      <c r="L150" s="1" t="s">
        <v>82</v>
      </c>
      <c r="M150" s="1" t="s">
        <v>179</v>
      </c>
      <c r="N150" s="1" t="s">
        <v>563</v>
      </c>
      <c r="O150" s="1" t="s">
        <v>213</v>
      </c>
      <c r="P150" s="1">
        <v>8</v>
      </c>
      <c r="Q150" s="1">
        <v>1696.07</v>
      </c>
      <c r="R150" s="1">
        <v>0.25</v>
      </c>
      <c r="S150" s="1">
        <v>10176.42</v>
      </c>
      <c r="T150" s="1">
        <f t="shared" si="13"/>
        <v>10176.42</v>
      </c>
      <c r="U150" s="1">
        <v>7604.47</v>
      </c>
      <c r="V150" s="3">
        <f>IF(T150=0,"",X150/T150)</f>
        <v>0.252736227474888</v>
      </c>
      <c r="W150" s="1">
        <v>2571.9499999999998</v>
      </c>
      <c r="X150" s="1">
        <f>T150-U150</f>
        <v>2571.9499999999998</v>
      </c>
      <c r="Y150" s="1" t="s">
        <v>40</v>
      </c>
      <c r="Z150" s="1" t="s">
        <v>41</v>
      </c>
      <c r="AA150" s="4">
        <f t="shared" si="10"/>
        <v>-201</v>
      </c>
      <c r="AB150" s="2" t="s">
        <v>459</v>
      </c>
      <c r="AC150" s="2"/>
    </row>
    <row r="151" spans="1:29">
      <c r="A151" s="1" t="s">
        <v>564</v>
      </c>
      <c r="B151" s="2">
        <v>45321</v>
      </c>
      <c r="C151" s="2" t="str">
        <f t="shared" si="11"/>
        <v>January</v>
      </c>
      <c r="D151" s="1">
        <f t="shared" si="12"/>
        <v>2024</v>
      </c>
      <c r="E151" s="2">
        <v>45321</v>
      </c>
      <c r="F151" s="1" t="s">
        <v>565</v>
      </c>
      <c r="G151" s="1" t="s">
        <v>136</v>
      </c>
      <c r="H151" s="1" t="s">
        <v>45</v>
      </c>
      <c r="I151" s="1" t="s">
        <v>71</v>
      </c>
      <c r="J151" s="1" t="s">
        <v>34</v>
      </c>
      <c r="K151" s="1" t="s">
        <v>117</v>
      </c>
      <c r="L151" s="1" t="s">
        <v>82</v>
      </c>
      <c r="M151" s="1" t="s">
        <v>88</v>
      </c>
      <c r="N151" s="1" t="s">
        <v>566</v>
      </c>
      <c r="O151" s="1" t="s">
        <v>52</v>
      </c>
      <c r="P151" s="1">
        <v>7</v>
      </c>
      <c r="Q151" s="1">
        <v>2527.61</v>
      </c>
      <c r="R151" s="1">
        <v>0.25</v>
      </c>
      <c r="S151" s="1">
        <v>13269.95</v>
      </c>
      <c r="T151" s="1">
        <f t="shared" si="13"/>
        <v>13269.952499999999</v>
      </c>
      <c r="U151" s="1">
        <v>8977.1</v>
      </c>
      <c r="V151" s="3">
        <f>IF(T151=0,"",X151/T151)</f>
        <v>0.32350172315989822</v>
      </c>
      <c r="W151" s="1">
        <v>4292.8500000000004</v>
      </c>
      <c r="X151" s="1">
        <f>T151-U151</f>
        <v>4292.8524999999991</v>
      </c>
      <c r="Y151" s="1" t="s">
        <v>40</v>
      </c>
      <c r="Z151" s="1" t="s">
        <v>41</v>
      </c>
      <c r="AA151" s="1">
        <f t="shared" si="10"/>
        <v>0</v>
      </c>
      <c r="AB151" s="2" t="str">
        <f t="shared" si="14"/>
        <v>Clean</v>
      </c>
      <c r="AC151" s="2"/>
    </row>
    <row r="152" spans="1:29">
      <c r="A152" s="1" t="s">
        <v>567</v>
      </c>
      <c r="B152" s="2">
        <v>45385</v>
      </c>
      <c r="C152" s="2" t="str">
        <f t="shared" si="11"/>
        <v>April</v>
      </c>
      <c r="D152" s="1">
        <f t="shared" si="12"/>
        <v>2024</v>
      </c>
      <c r="E152" s="2">
        <v>45629</v>
      </c>
      <c r="F152" s="1" t="s">
        <v>568</v>
      </c>
      <c r="G152" s="1" t="s">
        <v>61</v>
      </c>
      <c r="H152" s="1" t="s">
        <v>32</v>
      </c>
      <c r="I152" s="1" t="s">
        <v>213</v>
      </c>
      <c r="J152" s="1" t="s">
        <v>188</v>
      </c>
      <c r="K152" s="1" t="s">
        <v>189</v>
      </c>
      <c r="L152" s="1" t="s">
        <v>49</v>
      </c>
      <c r="M152" s="1" t="s">
        <v>166</v>
      </c>
      <c r="N152" s="1" t="s">
        <v>569</v>
      </c>
      <c r="O152" s="1" t="s">
        <v>58</v>
      </c>
      <c r="P152" s="1">
        <v>1</v>
      </c>
      <c r="Q152" s="1">
        <v>1554.12</v>
      </c>
      <c r="R152" s="1">
        <v>0.1</v>
      </c>
      <c r="S152" s="1">
        <v>1398.71</v>
      </c>
      <c r="T152" s="1">
        <f t="shared" si="13"/>
        <v>1398.7079999999999</v>
      </c>
      <c r="U152" s="1">
        <v>1056.92</v>
      </c>
      <c r="V152" s="3">
        <f>IF(T152=0,"",X152/T152)</f>
        <v>0.24435979489643286</v>
      </c>
      <c r="W152" s="1">
        <v>341.79</v>
      </c>
      <c r="X152" s="1">
        <f>T152-U152</f>
        <v>341.78799999999978</v>
      </c>
      <c r="Y152" s="1" t="s">
        <v>40</v>
      </c>
      <c r="Z152" s="1" t="s">
        <v>41</v>
      </c>
      <c r="AA152" s="1">
        <f t="shared" si="10"/>
        <v>244</v>
      </c>
      <c r="AB152" s="2" t="str">
        <f t="shared" si="14"/>
        <v>Warning</v>
      </c>
      <c r="AC152" s="2"/>
    </row>
    <row r="153" spans="1:29">
      <c r="A153" s="1" t="s">
        <v>570</v>
      </c>
      <c r="B153" s="2">
        <v>45470</v>
      </c>
      <c r="C153" s="2" t="str">
        <f t="shared" si="11"/>
        <v>June</v>
      </c>
      <c r="D153" s="1">
        <f t="shared" si="12"/>
        <v>2024</v>
      </c>
      <c r="E153" s="2">
        <v>45470</v>
      </c>
      <c r="F153" s="1" t="s">
        <v>571</v>
      </c>
      <c r="G153" s="1" t="s">
        <v>87</v>
      </c>
      <c r="H153" s="1" t="s">
        <v>103</v>
      </c>
      <c r="I153" s="1" t="s">
        <v>213</v>
      </c>
      <c r="J153" s="1" t="s">
        <v>80</v>
      </c>
      <c r="K153" s="1" t="s">
        <v>81</v>
      </c>
      <c r="L153" s="1" t="s">
        <v>82</v>
      </c>
      <c r="M153" s="1" t="s">
        <v>88</v>
      </c>
      <c r="N153" s="1" t="s">
        <v>572</v>
      </c>
      <c r="O153" s="1" t="s">
        <v>67</v>
      </c>
      <c r="P153" s="1">
        <v>2</v>
      </c>
      <c r="Q153" s="1">
        <v>3859.11</v>
      </c>
      <c r="R153" s="1">
        <v>0</v>
      </c>
      <c r="S153" s="1">
        <v>7718.22</v>
      </c>
      <c r="T153" s="1">
        <f t="shared" si="13"/>
        <v>7718.22</v>
      </c>
      <c r="U153" s="1">
        <v>5355.93</v>
      </c>
      <c r="V153" s="3">
        <f>IF(T153=0,"",X153/T153)</f>
        <v>0.30606668376905555</v>
      </c>
      <c r="W153" s="1">
        <v>2362.29</v>
      </c>
      <c r="X153" s="1">
        <f>T153-U153</f>
        <v>2362.29</v>
      </c>
      <c r="Y153" s="1" t="s">
        <v>119</v>
      </c>
      <c r="Z153" s="1" t="s">
        <v>111</v>
      </c>
      <c r="AA153" s="1">
        <f t="shared" si="10"/>
        <v>0</v>
      </c>
      <c r="AB153" s="2" t="str">
        <f t="shared" si="14"/>
        <v>Warning</v>
      </c>
      <c r="AC153" s="2"/>
    </row>
    <row r="154" spans="1:29">
      <c r="A154" s="1" t="s">
        <v>573</v>
      </c>
      <c r="B154" s="2">
        <v>45457</v>
      </c>
      <c r="C154" s="2" t="str">
        <f t="shared" si="11"/>
        <v>June</v>
      </c>
      <c r="D154" s="1">
        <f t="shared" si="12"/>
        <v>2024</v>
      </c>
      <c r="E154" s="2">
        <v>45460</v>
      </c>
      <c r="F154" s="1" t="s">
        <v>574</v>
      </c>
      <c r="G154" s="1" t="s">
        <v>273</v>
      </c>
      <c r="H154" s="1" t="s">
        <v>45</v>
      </c>
      <c r="I154" s="1" t="s">
        <v>62</v>
      </c>
      <c r="J154" s="1" t="s">
        <v>193</v>
      </c>
      <c r="K154" s="1" t="s">
        <v>194</v>
      </c>
      <c r="L154" s="1" t="s">
        <v>49</v>
      </c>
      <c r="M154" s="1" t="s">
        <v>50</v>
      </c>
      <c r="N154" s="1" t="s">
        <v>575</v>
      </c>
      <c r="O154" s="1" t="s">
        <v>39</v>
      </c>
      <c r="P154" s="1">
        <v>6</v>
      </c>
      <c r="Q154" s="1">
        <v>1088.04</v>
      </c>
      <c r="R154" s="1">
        <v>0.1</v>
      </c>
      <c r="S154" s="1">
        <v>5875.42</v>
      </c>
      <c r="T154" s="1">
        <f t="shared" si="13"/>
        <v>5875.4160000000002</v>
      </c>
      <c r="U154" s="1">
        <v>4380.55</v>
      </c>
      <c r="V154" s="3">
        <f>IF(T154=0,"",X154/T154)</f>
        <v>0.25442726098032886</v>
      </c>
      <c r="W154" s="1">
        <v>1494.87</v>
      </c>
      <c r="X154" s="1">
        <f>T154-U154</f>
        <v>1494.866</v>
      </c>
      <c r="Y154" s="1" t="s">
        <v>119</v>
      </c>
      <c r="Z154" s="1" t="s">
        <v>111</v>
      </c>
      <c r="AA154" s="1">
        <f t="shared" si="10"/>
        <v>3</v>
      </c>
      <c r="AB154" s="2" t="str">
        <f t="shared" si="14"/>
        <v>Clean</v>
      </c>
      <c r="AC154" s="2"/>
    </row>
    <row r="155" spans="1:29">
      <c r="A155" s="1" t="s">
        <v>576</v>
      </c>
      <c r="B155" s="2">
        <v>45923</v>
      </c>
      <c r="C155" s="2" t="str">
        <f t="shared" si="11"/>
        <v>September</v>
      </c>
      <c r="D155" s="1">
        <f t="shared" si="12"/>
        <v>2025</v>
      </c>
      <c r="E155" s="2">
        <v>45925</v>
      </c>
      <c r="F155" s="1" t="s">
        <v>577</v>
      </c>
      <c r="G155" s="1" t="s">
        <v>97</v>
      </c>
      <c r="H155" s="1" t="s">
        <v>32</v>
      </c>
      <c r="I155" s="1" t="s">
        <v>46</v>
      </c>
      <c r="J155" s="1" t="s">
        <v>47</v>
      </c>
      <c r="K155" s="1" t="s">
        <v>48</v>
      </c>
      <c r="L155" s="1" t="s">
        <v>36</v>
      </c>
      <c r="M155" s="1" t="s">
        <v>99</v>
      </c>
      <c r="N155" s="1" t="s">
        <v>578</v>
      </c>
      <c r="O155" s="1" t="s">
        <v>67</v>
      </c>
      <c r="P155" s="1">
        <v>7</v>
      </c>
      <c r="Q155" s="1">
        <v>3280.31</v>
      </c>
      <c r="R155" s="1">
        <v>0</v>
      </c>
      <c r="S155" s="1">
        <v>22962.17</v>
      </c>
      <c r="T155" s="1">
        <f t="shared" si="13"/>
        <v>22962.17</v>
      </c>
      <c r="U155" s="1">
        <v>15716.5</v>
      </c>
      <c r="V155" s="3">
        <f>IF(T155=0,"",X155/T155)</f>
        <v>0.31554813852523517</v>
      </c>
      <c r="W155" s="1">
        <v>7245.67</v>
      </c>
      <c r="X155" s="1">
        <f>T155-U155</f>
        <v>7245.6699999999983</v>
      </c>
      <c r="Y155" s="1" t="s">
        <v>110</v>
      </c>
      <c r="Z155" s="1" t="s">
        <v>111</v>
      </c>
      <c r="AA155" s="1">
        <f t="shared" si="10"/>
        <v>2</v>
      </c>
      <c r="AB155" s="2" t="str">
        <f t="shared" si="14"/>
        <v>Clean</v>
      </c>
      <c r="AC155" s="2"/>
    </row>
    <row r="156" spans="1:29">
      <c r="A156" s="1" t="s">
        <v>579</v>
      </c>
      <c r="B156" s="2">
        <v>45628</v>
      </c>
      <c r="C156" s="2" t="str">
        <f t="shared" si="11"/>
        <v>December</v>
      </c>
      <c r="D156" s="1">
        <f t="shared" si="12"/>
        <v>2024</v>
      </c>
      <c r="E156" s="2">
        <v>45333</v>
      </c>
      <c r="F156" s="1" t="s">
        <v>466</v>
      </c>
      <c r="G156" s="1" t="s">
        <v>122</v>
      </c>
      <c r="H156" s="1" t="s">
        <v>32</v>
      </c>
      <c r="I156" s="1" t="s">
        <v>62</v>
      </c>
      <c r="J156" s="1" t="s">
        <v>256</v>
      </c>
      <c r="K156" s="1" t="s">
        <v>257</v>
      </c>
      <c r="L156" s="1" t="s">
        <v>49</v>
      </c>
      <c r="M156" s="1" t="s">
        <v>166</v>
      </c>
      <c r="N156" s="1" t="s">
        <v>580</v>
      </c>
      <c r="O156" s="1" t="s">
        <v>52</v>
      </c>
      <c r="P156" s="1">
        <v>1</v>
      </c>
      <c r="Q156" s="1">
        <v>2599.12</v>
      </c>
      <c r="R156" s="1">
        <v>0.15</v>
      </c>
      <c r="S156" s="1">
        <v>2209.25</v>
      </c>
      <c r="T156" s="1">
        <f t="shared" si="13"/>
        <v>2209.252</v>
      </c>
      <c r="U156" s="1">
        <v>1523.78</v>
      </c>
      <c r="V156" s="3">
        <f>IF(T156=0,"",X156/T156)</f>
        <v>0.31027334138432372</v>
      </c>
      <c r="W156" s="1">
        <v>685.47</v>
      </c>
      <c r="X156" s="1">
        <f>T156-U156</f>
        <v>685.47199999999998</v>
      </c>
      <c r="Y156" s="1" t="s">
        <v>40</v>
      </c>
      <c r="Z156" s="1" t="s">
        <v>41</v>
      </c>
      <c r="AA156" s="4">
        <f t="shared" si="10"/>
        <v>-295</v>
      </c>
      <c r="AB156" s="2" t="str">
        <f t="shared" si="14"/>
        <v>Invalid</v>
      </c>
      <c r="AC156" s="2"/>
    </row>
    <row r="157" spans="1:29">
      <c r="A157" s="1" t="s">
        <v>581</v>
      </c>
      <c r="B157" s="2">
        <v>45683</v>
      </c>
      <c r="C157" s="2" t="str">
        <f t="shared" si="11"/>
        <v>January</v>
      </c>
      <c r="D157" s="1">
        <f t="shared" si="12"/>
        <v>2025</v>
      </c>
      <c r="E157" s="2">
        <v>45718</v>
      </c>
      <c r="F157" s="1" t="s">
        <v>582</v>
      </c>
      <c r="G157" s="1" t="s">
        <v>31</v>
      </c>
      <c r="H157" s="1" t="s">
        <v>98</v>
      </c>
      <c r="I157" s="1" t="s">
        <v>71</v>
      </c>
      <c r="J157" s="1" t="s">
        <v>34</v>
      </c>
      <c r="K157" s="1" t="s">
        <v>117</v>
      </c>
      <c r="L157" s="1" t="s">
        <v>49</v>
      </c>
      <c r="M157" s="1" t="s">
        <v>65</v>
      </c>
      <c r="N157" s="1" t="s">
        <v>583</v>
      </c>
      <c r="O157" s="1" t="s">
        <v>52</v>
      </c>
      <c r="P157" s="1">
        <v>3</v>
      </c>
      <c r="Q157" s="1">
        <v>2859.32</v>
      </c>
      <c r="R157" s="1">
        <v>0.1</v>
      </c>
      <c r="S157" s="1">
        <v>7720.16</v>
      </c>
      <c r="T157" s="1">
        <f t="shared" si="13"/>
        <v>7720.1640000000007</v>
      </c>
      <c r="U157" s="1">
        <v>5881</v>
      </c>
      <c r="V157" s="3">
        <f>IF(T157=0,"",X157/T157)</f>
        <v>0.23822861794127695</v>
      </c>
      <c r="W157" s="1">
        <v>1839.16</v>
      </c>
      <c r="X157" s="1">
        <f>T157-U157</f>
        <v>1839.1640000000007</v>
      </c>
      <c r="Y157" s="1" t="s">
        <v>110</v>
      </c>
      <c r="Z157" s="1" t="s">
        <v>111</v>
      </c>
      <c r="AA157" s="1">
        <f t="shared" si="10"/>
        <v>35</v>
      </c>
      <c r="AB157" s="2" t="str">
        <f t="shared" si="14"/>
        <v>Clean</v>
      </c>
      <c r="AC157" s="2"/>
    </row>
    <row r="158" spans="1:29">
      <c r="A158" s="1" t="s">
        <v>584</v>
      </c>
      <c r="B158" s="2">
        <v>45743</v>
      </c>
      <c r="C158" s="2" t="str">
        <f t="shared" si="11"/>
        <v>March</v>
      </c>
      <c r="D158" s="1">
        <f t="shared" si="12"/>
        <v>2025</v>
      </c>
      <c r="E158" s="2">
        <v>45743</v>
      </c>
      <c r="F158" s="1" t="s">
        <v>585</v>
      </c>
      <c r="G158" s="1" t="s">
        <v>79</v>
      </c>
      <c r="H158" s="1" t="s">
        <v>45</v>
      </c>
      <c r="I158" s="1" t="s">
        <v>46</v>
      </c>
      <c r="J158" s="1" t="s">
        <v>153</v>
      </c>
      <c r="K158" s="1" t="s">
        <v>154</v>
      </c>
      <c r="L158" s="1" t="s">
        <v>82</v>
      </c>
      <c r="M158" s="1" t="s">
        <v>283</v>
      </c>
      <c r="N158" s="1" t="s">
        <v>586</v>
      </c>
      <c r="O158" s="1" t="s">
        <v>39</v>
      </c>
      <c r="P158" s="1">
        <v>7</v>
      </c>
      <c r="Q158" s="1">
        <v>2305.37</v>
      </c>
      <c r="R158" s="1">
        <v>0.25</v>
      </c>
      <c r="S158" s="1">
        <v>12103.19</v>
      </c>
      <c r="T158" s="1">
        <f t="shared" si="13"/>
        <v>12103.192500000001</v>
      </c>
      <c r="U158" s="1">
        <v>6717.87</v>
      </c>
      <c r="V158" s="3">
        <f>IF(T158=0,"",X158/T158)</f>
        <v>0.44495057812225997</v>
      </c>
      <c r="W158" s="1">
        <v>5385.32</v>
      </c>
      <c r="X158" s="1">
        <f>T158-U158</f>
        <v>5385.3225000000011</v>
      </c>
      <c r="Y158" s="1" t="s">
        <v>40</v>
      </c>
      <c r="Z158" s="1" t="s">
        <v>41</v>
      </c>
      <c r="AA158" s="1">
        <f t="shared" si="10"/>
        <v>0</v>
      </c>
      <c r="AB158" s="2" t="str">
        <f t="shared" si="14"/>
        <v>Clean</v>
      </c>
      <c r="AC158" s="2"/>
    </row>
    <row r="159" spans="1:29">
      <c r="A159" s="1" t="s">
        <v>587</v>
      </c>
      <c r="B159" s="2">
        <v>45587</v>
      </c>
      <c r="C159" s="2" t="str">
        <f t="shared" si="11"/>
        <v>October</v>
      </c>
      <c r="D159" s="1">
        <f t="shared" si="12"/>
        <v>2024</v>
      </c>
      <c r="E159" s="2">
        <v>45589</v>
      </c>
      <c r="F159" s="1" t="s">
        <v>588</v>
      </c>
      <c r="G159" s="1" t="s">
        <v>149</v>
      </c>
      <c r="H159" s="1" t="s">
        <v>45</v>
      </c>
      <c r="I159" s="1" t="s">
        <v>62</v>
      </c>
      <c r="J159" s="1" t="s">
        <v>92</v>
      </c>
      <c r="K159" s="1" t="s">
        <v>93</v>
      </c>
      <c r="L159" s="1" t="s">
        <v>49</v>
      </c>
      <c r="M159" s="1" t="s">
        <v>166</v>
      </c>
      <c r="N159" s="1" t="s">
        <v>589</v>
      </c>
      <c r="O159" s="1" t="s">
        <v>67</v>
      </c>
      <c r="P159" s="1">
        <v>3</v>
      </c>
      <c r="Q159" s="1">
        <v>915.84</v>
      </c>
      <c r="R159" s="1">
        <v>0.15</v>
      </c>
      <c r="S159" s="1">
        <v>2335.39</v>
      </c>
      <c r="T159" s="1">
        <f t="shared" si="13"/>
        <v>2335.3919999999998</v>
      </c>
      <c r="U159" s="1">
        <v>1466.15</v>
      </c>
      <c r="V159" s="3">
        <f>IF(T159=0,"",X159/T159)</f>
        <v>0.3722038955344541</v>
      </c>
      <c r="W159" s="1">
        <v>869.24</v>
      </c>
      <c r="X159" s="1">
        <f>T159-U159</f>
        <v>869.24199999999973</v>
      </c>
      <c r="Y159" s="1" t="s">
        <v>40</v>
      </c>
      <c r="Z159" s="1" t="s">
        <v>41</v>
      </c>
      <c r="AA159" s="1">
        <f t="shared" si="10"/>
        <v>2</v>
      </c>
      <c r="AB159" s="2" t="str">
        <f t="shared" si="14"/>
        <v>Clean</v>
      </c>
      <c r="AC159" s="2"/>
    </row>
    <row r="160" spans="1:29">
      <c r="A160" s="1" t="s">
        <v>590</v>
      </c>
      <c r="B160" s="2">
        <v>45544</v>
      </c>
      <c r="C160" s="2" t="str">
        <f t="shared" si="11"/>
        <v>September</v>
      </c>
      <c r="D160" s="1">
        <f t="shared" si="12"/>
        <v>2024</v>
      </c>
      <c r="E160" s="2">
        <v>45546</v>
      </c>
      <c r="F160" s="1" t="s">
        <v>591</v>
      </c>
      <c r="G160" s="1" t="s">
        <v>87</v>
      </c>
      <c r="H160" s="1" t="s">
        <v>103</v>
      </c>
      <c r="I160" s="1" t="s">
        <v>62</v>
      </c>
      <c r="J160" s="1" t="s">
        <v>63</v>
      </c>
      <c r="K160" s="1" t="s">
        <v>64</v>
      </c>
      <c r="L160" s="1" t="s">
        <v>49</v>
      </c>
      <c r="M160" s="1" t="s">
        <v>166</v>
      </c>
      <c r="N160" s="1" t="s">
        <v>592</v>
      </c>
      <c r="O160" s="1" t="s">
        <v>58</v>
      </c>
      <c r="P160" s="1">
        <v>1</v>
      </c>
      <c r="Q160" s="1">
        <v>4199.54</v>
      </c>
      <c r="R160" s="1">
        <v>0.05</v>
      </c>
      <c r="S160" s="1">
        <v>3989.56</v>
      </c>
      <c r="T160" s="1">
        <f t="shared" si="13"/>
        <v>3989.5629999999996</v>
      </c>
      <c r="U160" s="1">
        <v>2381.38</v>
      </c>
      <c r="V160" s="3">
        <f>IF(T160=0,"",X160/T160)</f>
        <v>0.40309753223598666</v>
      </c>
      <c r="W160" s="1">
        <v>1608.18</v>
      </c>
      <c r="X160" s="1">
        <f>T160-U160</f>
        <v>1608.1829999999995</v>
      </c>
      <c r="Y160" s="1" t="s">
        <v>40</v>
      </c>
      <c r="Z160" s="1" t="s">
        <v>41</v>
      </c>
      <c r="AA160" s="1">
        <f t="shared" si="10"/>
        <v>2</v>
      </c>
      <c r="AB160" s="2" t="str">
        <f t="shared" si="14"/>
        <v>Clean</v>
      </c>
      <c r="AC160" s="2"/>
    </row>
    <row r="161" spans="1:29">
      <c r="A161" s="1" t="s">
        <v>593</v>
      </c>
      <c r="B161" s="2">
        <v>45687</v>
      </c>
      <c r="C161" s="2" t="str">
        <f t="shared" si="11"/>
        <v>January</v>
      </c>
      <c r="D161" s="1">
        <f t="shared" si="12"/>
        <v>2025</v>
      </c>
      <c r="E161" s="2">
        <v>45749</v>
      </c>
      <c r="F161" s="1" t="s">
        <v>594</v>
      </c>
      <c r="G161" s="1" t="s">
        <v>122</v>
      </c>
      <c r="H161" s="1" t="s">
        <v>98</v>
      </c>
      <c r="I161" s="1" t="s">
        <v>33</v>
      </c>
      <c r="J161" s="1" t="s">
        <v>245</v>
      </c>
      <c r="K161" s="1" t="s">
        <v>246</v>
      </c>
      <c r="L161" s="1" t="s">
        <v>49</v>
      </c>
      <c r="M161" s="1" t="s">
        <v>74</v>
      </c>
      <c r="N161" s="1" t="s">
        <v>595</v>
      </c>
      <c r="O161" s="1" t="s">
        <v>52</v>
      </c>
      <c r="P161" s="1">
        <v>9</v>
      </c>
      <c r="Q161" s="1">
        <v>4430.5</v>
      </c>
      <c r="R161" s="1">
        <v>0.15</v>
      </c>
      <c r="S161" s="1">
        <v>33893.32</v>
      </c>
      <c r="T161" s="1">
        <f t="shared" si="13"/>
        <v>33893.324999999997</v>
      </c>
      <c r="U161" s="1">
        <v>25750.35</v>
      </c>
      <c r="V161" s="3">
        <f>IF(T161=0,"",X161/T161)</f>
        <v>0.24025305867748292</v>
      </c>
      <c r="W161" s="1">
        <v>8142.97</v>
      </c>
      <c r="X161" s="1">
        <f>T161-U161</f>
        <v>8142.9749999999985</v>
      </c>
      <c r="Y161" s="1" t="s">
        <v>119</v>
      </c>
      <c r="Z161" s="1" t="s">
        <v>76</v>
      </c>
      <c r="AA161" s="1">
        <f t="shared" si="10"/>
        <v>62</v>
      </c>
      <c r="AB161" s="2" t="str">
        <f t="shared" si="14"/>
        <v>Clean</v>
      </c>
      <c r="AC161" s="2"/>
    </row>
    <row r="162" spans="1:29">
      <c r="A162" s="1" t="s">
        <v>596</v>
      </c>
      <c r="B162" s="2">
        <v>45879</v>
      </c>
      <c r="C162" s="2" t="str">
        <f t="shared" si="11"/>
        <v>August</v>
      </c>
      <c r="D162" s="1">
        <f t="shared" si="12"/>
        <v>2025</v>
      </c>
      <c r="E162" s="2">
        <v>45936</v>
      </c>
      <c r="F162" s="1" t="s">
        <v>597</v>
      </c>
      <c r="G162" s="1" t="s">
        <v>79</v>
      </c>
      <c r="H162" s="1" t="s">
        <v>45</v>
      </c>
      <c r="I162" s="1" t="s">
        <v>71</v>
      </c>
      <c r="J162" s="1" t="s">
        <v>72</v>
      </c>
      <c r="K162" s="1" t="s">
        <v>73</v>
      </c>
      <c r="L162" s="1" t="s">
        <v>36</v>
      </c>
      <c r="M162" s="1" t="s">
        <v>37</v>
      </c>
      <c r="N162" s="1" t="s">
        <v>598</v>
      </c>
      <c r="O162" s="1" t="s">
        <v>39</v>
      </c>
      <c r="P162" s="1">
        <v>4</v>
      </c>
      <c r="Q162" s="1">
        <v>1260.42</v>
      </c>
      <c r="R162" s="1">
        <v>0.05</v>
      </c>
      <c r="S162" s="1">
        <v>4789.6000000000004</v>
      </c>
      <c r="T162" s="1">
        <f t="shared" si="13"/>
        <v>4789.5960000000005</v>
      </c>
      <c r="U162" s="1">
        <v>4037.64</v>
      </c>
      <c r="V162" s="3">
        <f>IF(T162=0,"",X162/T162)</f>
        <v>0.1569977927157114</v>
      </c>
      <c r="W162" s="1">
        <v>751.96</v>
      </c>
      <c r="X162" s="1">
        <f>T162-U162</f>
        <v>751.95600000000059</v>
      </c>
      <c r="Y162" s="1" t="s">
        <v>119</v>
      </c>
      <c r="Z162" s="1" t="s">
        <v>76</v>
      </c>
      <c r="AA162" s="1">
        <f t="shared" si="10"/>
        <v>57</v>
      </c>
      <c r="AB162" s="2" t="str">
        <f t="shared" si="14"/>
        <v>Clean</v>
      </c>
      <c r="AC162" s="2"/>
    </row>
    <row r="163" spans="1:29">
      <c r="A163" s="1" t="s">
        <v>599</v>
      </c>
      <c r="B163" s="2">
        <v>45862</v>
      </c>
      <c r="C163" s="2" t="str">
        <f t="shared" si="11"/>
        <v>July</v>
      </c>
      <c r="D163" s="1">
        <f t="shared" si="12"/>
        <v>2025</v>
      </c>
      <c r="E163" s="2">
        <v>45868</v>
      </c>
      <c r="F163" s="1" t="s">
        <v>600</v>
      </c>
      <c r="G163" s="1" t="s">
        <v>61</v>
      </c>
      <c r="H163" s="1" t="s">
        <v>32</v>
      </c>
      <c r="I163" s="1" t="s">
        <v>71</v>
      </c>
      <c r="J163" s="1" t="s">
        <v>34</v>
      </c>
      <c r="K163" s="1" t="s">
        <v>117</v>
      </c>
      <c r="L163" s="1" t="s">
        <v>36</v>
      </c>
      <c r="M163" s="1" t="s">
        <v>161</v>
      </c>
      <c r="N163" s="1" t="s">
        <v>601</v>
      </c>
      <c r="O163" s="1" t="s">
        <v>67</v>
      </c>
      <c r="P163" s="1">
        <v>1</v>
      </c>
      <c r="Q163" s="1">
        <v>1643.41</v>
      </c>
      <c r="R163" s="1">
        <v>0</v>
      </c>
      <c r="S163" s="1">
        <v>1643.41</v>
      </c>
      <c r="T163" s="1">
        <f t="shared" si="13"/>
        <v>1643.41</v>
      </c>
      <c r="U163" s="1">
        <v>907.4</v>
      </c>
      <c r="V163" s="3">
        <f>IF(T163=0,"",X163/T163)</f>
        <v>0.44785537388722235</v>
      </c>
      <c r="W163" s="1">
        <v>736.01</v>
      </c>
      <c r="X163" s="1">
        <f>T163-U163</f>
        <v>736.0100000000001</v>
      </c>
      <c r="Y163" s="1" t="s">
        <v>119</v>
      </c>
      <c r="Z163" s="1" t="s">
        <v>76</v>
      </c>
      <c r="AA163" s="1">
        <f t="shared" si="10"/>
        <v>6</v>
      </c>
      <c r="AB163" s="2" t="str">
        <f t="shared" si="14"/>
        <v>Clean</v>
      </c>
      <c r="AC163" s="2"/>
    </row>
    <row r="164" spans="1:29">
      <c r="A164" s="1" t="s">
        <v>602</v>
      </c>
      <c r="B164" s="2">
        <v>45538</v>
      </c>
      <c r="C164" s="2" t="str">
        <f t="shared" si="11"/>
        <v>September</v>
      </c>
      <c r="D164" s="1">
        <f t="shared" si="12"/>
        <v>2024</v>
      </c>
      <c r="E164" s="2">
        <v>45365</v>
      </c>
      <c r="F164" s="1" t="s">
        <v>603</v>
      </c>
      <c r="G164" s="1" t="s">
        <v>87</v>
      </c>
      <c r="H164" s="1" t="s">
        <v>45</v>
      </c>
      <c r="I164" s="1" t="s">
        <v>71</v>
      </c>
      <c r="J164" s="1" t="s">
        <v>198</v>
      </c>
      <c r="K164" s="1" t="s">
        <v>199</v>
      </c>
      <c r="L164" s="1" t="s">
        <v>49</v>
      </c>
      <c r="M164" s="1" t="s">
        <v>65</v>
      </c>
      <c r="N164" s="1" t="s">
        <v>604</v>
      </c>
      <c r="O164" s="1" t="s">
        <v>39</v>
      </c>
      <c r="P164" s="1">
        <v>8</v>
      </c>
      <c r="Q164" s="1">
        <v>4472.84</v>
      </c>
      <c r="R164" s="1">
        <v>0</v>
      </c>
      <c r="S164" s="1">
        <v>35997.620000000003</v>
      </c>
      <c r="T164" s="1">
        <f t="shared" si="13"/>
        <v>35782.720000000001</v>
      </c>
      <c r="U164" s="1">
        <v>26424.41</v>
      </c>
      <c r="V164" s="3">
        <f>IF(T164=0,"",X164/T164)</f>
        <v>0.2615315437171909</v>
      </c>
      <c r="W164" s="1">
        <v>9358.31</v>
      </c>
      <c r="X164" s="1">
        <f>T164-U164</f>
        <v>9358.3100000000013</v>
      </c>
      <c r="Y164" s="1" t="s">
        <v>119</v>
      </c>
      <c r="Z164" s="1" t="s">
        <v>111</v>
      </c>
      <c r="AA164" s="4">
        <f t="shared" si="10"/>
        <v>-173</v>
      </c>
      <c r="AB164" s="2" t="str">
        <f t="shared" si="14"/>
        <v>Invalid</v>
      </c>
      <c r="AC164" s="2"/>
    </row>
    <row r="165" spans="1:29">
      <c r="A165" s="1" t="s">
        <v>605</v>
      </c>
      <c r="B165" s="2">
        <v>45921</v>
      </c>
      <c r="C165" s="2" t="str">
        <f t="shared" si="11"/>
        <v>September</v>
      </c>
      <c r="D165" s="1">
        <f t="shared" si="12"/>
        <v>2025</v>
      </c>
      <c r="E165" s="2">
        <v>45926</v>
      </c>
      <c r="F165" s="1" t="s">
        <v>606</v>
      </c>
      <c r="G165" s="1" t="s">
        <v>149</v>
      </c>
      <c r="H165" s="1" t="s">
        <v>103</v>
      </c>
      <c r="I165" s="1" t="s">
        <v>71</v>
      </c>
      <c r="J165" s="1" t="s">
        <v>188</v>
      </c>
      <c r="K165" s="1" t="s">
        <v>189</v>
      </c>
      <c r="L165" s="1" t="s">
        <v>49</v>
      </c>
      <c r="M165" s="1" t="s">
        <v>50</v>
      </c>
      <c r="N165" s="1" t="s">
        <v>607</v>
      </c>
      <c r="O165" s="1" t="s">
        <v>213</v>
      </c>
      <c r="P165" s="1">
        <v>6</v>
      </c>
      <c r="Q165" s="1">
        <v>2903.58</v>
      </c>
      <c r="R165" s="1">
        <v>0.1</v>
      </c>
      <c r="S165" s="1">
        <v>15679.33</v>
      </c>
      <c r="T165" s="1">
        <f t="shared" si="13"/>
        <v>15679.332</v>
      </c>
      <c r="U165" s="1">
        <v>12477.82</v>
      </c>
      <c r="V165" s="3">
        <f>IF(T165=0,"",X165/T165)</f>
        <v>0.20418675999717339</v>
      </c>
      <c r="W165" s="1">
        <v>3201.51</v>
      </c>
      <c r="X165" s="1">
        <f>T165-U165</f>
        <v>3201.5120000000006</v>
      </c>
      <c r="Y165" s="1" t="s">
        <v>119</v>
      </c>
      <c r="Z165" s="1" t="s">
        <v>111</v>
      </c>
      <c r="AA165" s="1">
        <f t="shared" si="10"/>
        <v>5</v>
      </c>
      <c r="AB165" s="2" t="str">
        <f t="shared" si="14"/>
        <v>Warning</v>
      </c>
      <c r="AC165" s="2"/>
    </row>
    <row r="166" spans="1:29">
      <c r="A166" s="1" t="s">
        <v>608</v>
      </c>
      <c r="B166" s="2">
        <v>45909</v>
      </c>
      <c r="C166" s="2" t="str">
        <f t="shared" si="11"/>
        <v>September</v>
      </c>
      <c r="D166" s="1">
        <f t="shared" si="12"/>
        <v>2025</v>
      </c>
      <c r="E166" s="2">
        <v>45914</v>
      </c>
      <c r="F166" s="1" t="s">
        <v>609</v>
      </c>
      <c r="G166" s="1" t="s">
        <v>126</v>
      </c>
      <c r="H166" s="1" t="s">
        <v>45</v>
      </c>
      <c r="I166" s="1" t="s">
        <v>46</v>
      </c>
      <c r="J166" s="1" t="s">
        <v>107</v>
      </c>
      <c r="K166" s="1" t="s">
        <v>108</v>
      </c>
      <c r="L166" s="1" t="s">
        <v>49</v>
      </c>
      <c r="M166" s="1" t="s">
        <v>166</v>
      </c>
      <c r="N166" s="1" t="s">
        <v>610</v>
      </c>
      <c r="O166" s="1" t="s">
        <v>39</v>
      </c>
      <c r="P166" s="1">
        <v>1</v>
      </c>
      <c r="Q166" s="1">
        <v>3154.42</v>
      </c>
      <c r="R166" s="1">
        <v>0.25</v>
      </c>
      <c r="S166" s="1">
        <v>2365.8200000000002</v>
      </c>
      <c r="T166" s="1">
        <f t="shared" si="13"/>
        <v>2365.8150000000001</v>
      </c>
      <c r="U166" s="1">
        <v>1547.99</v>
      </c>
      <c r="V166" s="3">
        <f>IF(T166=0,"",X166/T166)</f>
        <v>0.34568425679945392</v>
      </c>
      <c r="W166" s="1">
        <v>817.83</v>
      </c>
      <c r="X166" s="1">
        <f>T166-U166</f>
        <v>817.82500000000005</v>
      </c>
      <c r="Y166" s="1" t="s">
        <v>40</v>
      </c>
      <c r="Z166" s="1" t="s">
        <v>41</v>
      </c>
      <c r="AA166" s="1">
        <f t="shared" si="10"/>
        <v>5</v>
      </c>
      <c r="AB166" s="2" t="str">
        <f t="shared" si="14"/>
        <v>Clean</v>
      </c>
      <c r="AC166" s="2"/>
    </row>
    <row r="167" spans="1:29">
      <c r="A167" s="1" t="s">
        <v>611</v>
      </c>
      <c r="B167" s="2">
        <v>45618</v>
      </c>
      <c r="C167" s="2" t="str">
        <f t="shared" si="11"/>
        <v>November</v>
      </c>
      <c r="D167" s="1">
        <f t="shared" si="12"/>
        <v>2024</v>
      </c>
      <c r="E167" s="2">
        <v>45625</v>
      </c>
      <c r="F167" s="1" t="s">
        <v>612</v>
      </c>
      <c r="G167" s="1" t="s">
        <v>44</v>
      </c>
      <c r="H167" s="1" t="s">
        <v>103</v>
      </c>
      <c r="I167" s="1" t="s">
        <v>46</v>
      </c>
      <c r="J167" s="1" t="s">
        <v>153</v>
      </c>
      <c r="K167" s="1" t="s">
        <v>154</v>
      </c>
      <c r="L167" s="1" t="s">
        <v>49</v>
      </c>
      <c r="M167" s="1" t="s">
        <v>74</v>
      </c>
      <c r="N167" s="1" t="s">
        <v>613</v>
      </c>
      <c r="O167" s="1" t="s">
        <v>67</v>
      </c>
      <c r="P167" s="1">
        <v>4</v>
      </c>
      <c r="Q167" s="1">
        <v>3422.99</v>
      </c>
      <c r="R167" s="1">
        <v>0.25</v>
      </c>
      <c r="S167" s="1">
        <v>10268.969999999999</v>
      </c>
      <c r="T167" s="1">
        <f t="shared" si="13"/>
        <v>10268.969999999999</v>
      </c>
      <c r="U167" s="1">
        <v>6470.92</v>
      </c>
      <c r="V167" s="3">
        <f>IF(T167=0,"",X167/T167)</f>
        <v>0.36985695741637181</v>
      </c>
      <c r="W167" s="1">
        <v>3798.05</v>
      </c>
      <c r="X167" s="1">
        <f>T167-U167</f>
        <v>3798.0499999999993</v>
      </c>
      <c r="Y167" s="1" t="s">
        <v>40</v>
      </c>
      <c r="Z167" s="1" t="s">
        <v>41</v>
      </c>
      <c r="AA167" s="1">
        <f t="shared" si="10"/>
        <v>7</v>
      </c>
      <c r="AB167" s="2" t="str">
        <f t="shared" si="14"/>
        <v>Clean</v>
      </c>
      <c r="AC167" s="2"/>
    </row>
    <row r="168" spans="1:29">
      <c r="A168" s="1" t="s">
        <v>614</v>
      </c>
      <c r="B168" s="2">
        <v>45708</v>
      </c>
      <c r="C168" s="2" t="str">
        <f t="shared" si="11"/>
        <v>February</v>
      </c>
      <c r="D168" s="1">
        <f t="shared" si="12"/>
        <v>2025</v>
      </c>
      <c r="E168" s="2">
        <v>45714</v>
      </c>
      <c r="F168" s="1" t="s">
        <v>615</v>
      </c>
      <c r="G168" s="1" t="s">
        <v>31</v>
      </c>
      <c r="H168" s="1" t="s">
        <v>45</v>
      </c>
      <c r="I168" s="1" t="s">
        <v>71</v>
      </c>
      <c r="J168" s="1" t="s">
        <v>188</v>
      </c>
      <c r="K168" s="1" t="s">
        <v>189</v>
      </c>
      <c r="L168" s="1" t="s">
        <v>36</v>
      </c>
      <c r="M168" s="1" t="s">
        <v>99</v>
      </c>
      <c r="N168" s="1" t="s">
        <v>616</v>
      </c>
      <c r="O168" s="1" t="s">
        <v>58</v>
      </c>
      <c r="P168" s="1">
        <v>1</v>
      </c>
      <c r="Q168" s="1">
        <v>2557.85</v>
      </c>
      <c r="R168" s="1">
        <v>0.2</v>
      </c>
      <c r="S168" s="1">
        <v>2046.28</v>
      </c>
      <c r="T168" s="1">
        <f t="shared" si="13"/>
        <v>2046.28</v>
      </c>
      <c r="U168" s="1">
        <v>1449.54</v>
      </c>
      <c r="V168" s="3">
        <f>IF(T168=0,"",X168/T168)</f>
        <v>0.29162186992982386</v>
      </c>
      <c r="W168" s="1">
        <v>596.74</v>
      </c>
      <c r="X168" s="1">
        <f>T168-U168</f>
        <v>596.74</v>
      </c>
      <c r="Y168" s="1" t="s">
        <v>40</v>
      </c>
      <c r="Z168" s="1" t="s">
        <v>41</v>
      </c>
      <c r="AA168" s="1">
        <f t="shared" si="10"/>
        <v>6</v>
      </c>
      <c r="AB168" s="2" t="str">
        <f t="shared" si="14"/>
        <v>Clean</v>
      </c>
      <c r="AC168" s="2"/>
    </row>
    <row r="169" spans="1:29">
      <c r="A169" s="1" t="s">
        <v>617</v>
      </c>
      <c r="B169" s="2">
        <v>45887</v>
      </c>
      <c r="C169" s="2" t="str">
        <f t="shared" si="11"/>
        <v>August</v>
      </c>
      <c r="D169" s="1">
        <f t="shared" si="12"/>
        <v>2025</v>
      </c>
      <c r="E169" s="2">
        <v>45887</v>
      </c>
      <c r="F169" s="1" t="s">
        <v>618</v>
      </c>
      <c r="G169" s="1" t="s">
        <v>61</v>
      </c>
      <c r="H169" s="1" t="s">
        <v>103</v>
      </c>
      <c r="I169" s="1" t="s">
        <v>62</v>
      </c>
      <c r="J169" s="1" t="s">
        <v>183</v>
      </c>
      <c r="K169" s="1" t="s">
        <v>184</v>
      </c>
      <c r="L169" s="1" t="s">
        <v>36</v>
      </c>
      <c r="M169" s="1" t="s">
        <v>132</v>
      </c>
      <c r="N169" s="1" t="s">
        <v>619</v>
      </c>
      <c r="O169" s="1" t="s">
        <v>58</v>
      </c>
      <c r="P169" s="1">
        <v>9</v>
      </c>
      <c r="Q169" s="1">
        <v>3030.93</v>
      </c>
      <c r="R169" s="1">
        <v>0.15</v>
      </c>
      <c r="S169" s="1">
        <v>23186.61</v>
      </c>
      <c r="T169" s="1">
        <f t="shared" si="13"/>
        <v>23186.6145</v>
      </c>
      <c r="U169" s="1">
        <v>17906.54</v>
      </c>
      <c r="V169" s="3">
        <f>IF(T169=0,"",X169/T169)</f>
        <v>0.22772080417345961</v>
      </c>
      <c r="W169" s="1">
        <v>5280.07</v>
      </c>
      <c r="X169" s="1">
        <f>T169-U169</f>
        <v>5280.0744999999988</v>
      </c>
      <c r="Y169" s="1" t="s">
        <v>40</v>
      </c>
      <c r="Z169" s="1" t="s">
        <v>111</v>
      </c>
      <c r="AA169" s="1">
        <f t="shared" si="10"/>
        <v>0</v>
      </c>
      <c r="AB169" s="2" t="str">
        <f t="shared" si="14"/>
        <v>Clean</v>
      </c>
      <c r="AC169" s="2"/>
    </row>
    <row r="170" spans="1:29">
      <c r="A170" s="1" t="s">
        <v>620</v>
      </c>
      <c r="B170" s="2">
        <v>45677</v>
      </c>
      <c r="C170" s="2" t="str">
        <f t="shared" si="11"/>
        <v>January</v>
      </c>
      <c r="D170" s="1">
        <f t="shared" si="12"/>
        <v>2025</v>
      </c>
      <c r="E170" s="2">
        <v>45680</v>
      </c>
      <c r="F170" s="1" t="s">
        <v>621</v>
      </c>
      <c r="G170" s="1" t="s">
        <v>273</v>
      </c>
      <c r="H170" s="1" t="s">
        <v>32</v>
      </c>
      <c r="I170" s="1" t="s">
        <v>71</v>
      </c>
      <c r="J170" s="1" t="s">
        <v>72</v>
      </c>
      <c r="K170" s="1" t="s">
        <v>73</v>
      </c>
      <c r="L170" s="1" t="s">
        <v>82</v>
      </c>
      <c r="M170" s="1" t="s">
        <v>83</v>
      </c>
      <c r="N170" s="1" t="s">
        <v>622</v>
      </c>
      <c r="O170" s="1" t="s">
        <v>52</v>
      </c>
      <c r="P170" s="1">
        <v>5</v>
      </c>
      <c r="Q170" s="1">
        <v>639.27</v>
      </c>
      <c r="R170" s="1">
        <v>0.2</v>
      </c>
      <c r="S170" s="1">
        <v>2557.08</v>
      </c>
      <c r="T170" s="1">
        <f t="shared" si="13"/>
        <v>2557.08</v>
      </c>
      <c r="U170" s="1">
        <v>2025.69</v>
      </c>
      <c r="V170" s="3">
        <f>IF(T170=0,"",X170/T170)</f>
        <v>0.2078112534609789</v>
      </c>
      <c r="W170" s="1">
        <v>531.39</v>
      </c>
      <c r="X170" s="1">
        <f>T170-U170</f>
        <v>531.38999999999987</v>
      </c>
      <c r="Y170" s="1" t="s">
        <v>40</v>
      </c>
      <c r="Z170" s="1" t="s">
        <v>76</v>
      </c>
      <c r="AA170" s="1">
        <f t="shared" si="10"/>
        <v>3</v>
      </c>
      <c r="AB170" s="2" t="str">
        <f t="shared" si="14"/>
        <v>Clean</v>
      </c>
      <c r="AC170" s="2"/>
    </row>
    <row r="171" spans="1:29">
      <c r="A171" s="1" t="s">
        <v>623</v>
      </c>
      <c r="B171" s="2">
        <v>45913</v>
      </c>
      <c r="C171" s="2" t="str">
        <f t="shared" si="11"/>
        <v>September</v>
      </c>
      <c r="D171" s="1">
        <f t="shared" si="12"/>
        <v>2025</v>
      </c>
      <c r="E171" s="2">
        <v>45913</v>
      </c>
      <c r="F171" s="1" t="s">
        <v>624</v>
      </c>
      <c r="G171" s="1" t="s">
        <v>170</v>
      </c>
      <c r="H171" s="1" t="s">
        <v>32</v>
      </c>
      <c r="I171" s="1" t="s">
        <v>46</v>
      </c>
      <c r="J171" s="1" t="s">
        <v>174</v>
      </c>
      <c r="K171" s="1" t="s">
        <v>175</v>
      </c>
      <c r="L171" s="1" t="s">
        <v>36</v>
      </c>
      <c r="M171" s="1" t="s">
        <v>56</v>
      </c>
      <c r="N171" s="1" t="s">
        <v>625</v>
      </c>
      <c r="O171" s="1" t="s">
        <v>67</v>
      </c>
      <c r="P171" s="1">
        <v>8</v>
      </c>
      <c r="Q171" s="1">
        <v>733.9</v>
      </c>
      <c r="R171" s="1">
        <v>0.05</v>
      </c>
      <c r="S171" s="1">
        <v>5577.64</v>
      </c>
      <c r="T171" s="1">
        <f t="shared" si="13"/>
        <v>5577.6399999999994</v>
      </c>
      <c r="U171" s="1">
        <v>3541.29</v>
      </c>
      <c r="V171" s="3">
        <f>IF(T171=0,"",X171/T171)</f>
        <v>0.36509168752375548</v>
      </c>
      <c r="W171" s="1">
        <v>2036.35</v>
      </c>
      <c r="X171" s="1">
        <f>T171-U171</f>
        <v>2036.3499999999995</v>
      </c>
      <c r="Y171" s="1" t="s">
        <v>119</v>
      </c>
      <c r="Z171" s="1" t="s">
        <v>111</v>
      </c>
      <c r="AA171" s="1">
        <f t="shared" si="10"/>
        <v>0</v>
      </c>
      <c r="AB171" s="2" t="str">
        <f t="shared" si="14"/>
        <v>Clean</v>
      </c>
      <c r="AC171" s="2"/>
    </row>
    <row r="172" spans="1:29">
      <c r="A172" s="1" t="s">
        <v>543</v>
      </c>
      <c r="B172" s="2">
        <v>45381</v>
      </c>
      <c r="C172" s="2" t="str">
        <f t="shared" si="11"/>
        <v>March</v>
      </c>
      <c r="D172" s="1">
        <f t="shared" si="12"/>
        <v>2024</v>
      </c>
      <c r="E172" s="2">
        <v>45377</v>
      </c>
      <c r="F172" s="1" t="s">
        <v>544</v>
      </c>
      <c r="G172" s="1" t="s">
        <v>97</v>
      </c>
      <c r="H172" s="1" t="s">
        <v>103</v>
      </c>
      <c r="I172" s="1" t="s">
        <v>33</v>
      </c>
      <c r="J172" s="1" t="s">
        <v>34</v>
      </c>
      <c r="K172" s="1" t="s">
        <v>35</v>
      </c>
      <c r="L172" s="1" t="s">
        <v>82</v>
      </c>
      <c r="M172" s="1" t="s">
        <v>179</v>
      </c>
      <c r="N172" s="1" t="s">
        <v>545</v>
      </c>
      <c r="O172" s="1" t="s">
        <v>39</v>
      </c>
      <c r="P172" s="1">
        <v>5</v>
      </c>
      <c r="Q172" s="1">
        <v>907.54</v>
      </c>
      <c r="R172" s="1">
        <v>0.15</v>
      </c>
      <c r="S172" s="1">
        <v>4099.6899999999996</v>
      </c>
      <c r="T172" s="1">
        <f t="shared" si="13"/>
        <v>3857.0449999999996</v>
      </c>
      <c r="U172" s="1">
        <v>2769.26</v>
      </c>
      <c r="V172" s="3">
        <f>IF(T172=0,"",X172/T172)</f>
        <v>0.28202548842442843</v>
      </c>
      <c r="W172" s="1">
        <v>1087.78</v>
      </c>
      <c r="X172" s="1">
        <f>T172-U172</f>
        <v>1087.7849999999994</v>
      </c>
      <c r="Y172" s="1" t="s">
        <v>40</v>
      </c>
      <c r="Z172" s="1" t="s">
        <v>111</v>
      </c>
      <c r="AA172" s="4">
        <f t="shared" si="10"/>
        <v>-4</v>
      </c>
      <c r="AB172" s="2" t="str">
        <f t="shared" si="14"/>
        <v>Invalid</v>
      </c>
      <c r="AC172" s="2" t="s">
        <v>392</v>
      </c>
    </row>
    <row r="173" spans="1:29">
      <c r="A173" s="1" t="s">
        <v>626</v>
      </c>
      <c r="B173" s="2">
        <v>45711</v>
      </c>
      <c r="C173" s="2" t="str">
        <f t="shared" si="11"/>
        <v>February</v>
      </c>
      <c r="D173" s="1">
        <f t="shared" si="12"/>
        <v>2025</v>
      </c>
      <c r="E173" s="2">
        <v>45713</v>
      </c>
      <c r="F173" s="1" t="s">
        <v>627</v>
      </c>
      <c r="G173" s="1" t="s">
        <v>31</v>
      </c>
      <c r="H173" s="1" t="s">
        <v>98</v>
      </c>
      <c r="I173" s="1" t="s">
        <v>46</v>
      </c>
      <c r="J173" s="1" t="s">
        <v>153</v>
      </c>
      <c r="K173" s="1" t="s">
        <v>154</v>
      </c>
      <c r="L173" s="1" t="s">
        <v>36</v>
      </c>
      <c r="M173" s="1" t="s">
        <v>99</v>
      </c>
      <c r="N173" s="1" t="s">
        <v>628</v>
      </c>
      <c r="O173" s="1" t="s">
        <v>52</v>
      </c>
      <c r="P173" s="1">
        <v>5</v>
      </c>
      <c r="Q173" s="1">
        <v>4246.2700000000004</v>
      </c>
      <c r="R173" s="1">
        <v>0.25</v>
      </c>
      <c r="S173" s="1">
        <v>15923.51</v>
      </c>
      <c r="T173" s="1">
        <f t="shared" si="13"/>
        <v>15923.512500000001</v>
      </c>
      <c r="U173" s="1">
        <v>11291.8</v>
      </c>
      <c r="V173" s="3">
        <f>IF(T173=0,"",X173/T173)</f>
        <v>0.29087253832971849</v>
      </c>
      <c r="W173" s="1">
        <v>4631.71</v>
      </c>
      <c r="X173" s="1">
        <f>T173-U173</f>
        <v>4631.7125000000015</v>
      </c>
      <c r="Y173" s="1" t="s">
        <v>40</v>
      </c>
      <c r="Z173" s="1" t="s">
        <v>41</v>
      </c>
      <c r="AA173" s="1">
        <f t="shared" si="10"/>
        <v>2</v>
      </c>
      <c r="AB173" s="2" t="str">
        <f t="shared" si="14"/>
        <v>Clean</v>
      </c>
      <c r="AC173" s="2"/>
    </row>
    <row r="174" spans="1:29">
      <c r="A174" s="1" t="s">
        <v>629</v>
      </c>
      <c r="B174" s="2">
        <v>45696</v>
      </c>
      <c r="C174" s="2" t="str">
        <f t="shared" si="11"/>
        <v>February</v>
      </c>
      <c r="D174" s="1">
        <f t="shared" si="12"/>
        <v>2025</v>
      </c>
      <c r="E174" s="2">
        <v>45938</v>
      </c>
      <c r="F174" s="1" t="s">
        <v>630</v>
      </c>
      <c r="G174" s="1" t="s">
        <v>31</v>
      </c>
      <c r="H174" s="1" t="s">
        <v>98</v>
      </c>
      <c r="I174" s="1" t="s">
        <v>33</v>
      </c>
      <c r="J174" s="1" t="s">
        <v>359</v>
      </c>
      <c r="K174" s="1" t="s">
        <v>360</v>
      </c>
      <c r="L174" s="1" t="s">
        <v>49</v>
      </c>
      <c r="M174" s="1" t="s">
        <v>65</v>
      </c>
      <c r="N174" s="1" t="s">
        <v>631</v>
      </c>
      <c r="O174" s="1" t="s">
        <v>52</v>
      </c>
      <c r="P174" s="1">
        <v>9</v>
      </c>
      <c r="Q174" s="1">
        <v>2962.62</v>
      </c>
      <c r="R174" s="1">
        <v>0.1</v>
      </c>
      <c r="S174" s="1">
        <v>23997.22</v>
      </c>
      <c r="T174" s="1">
        <f t="shared" si="13"/>
        <v>23997.221999999998</v>
      </c>
      <c r="U174" s="1">
        <v>16134.63</v>
      </c>
      <c r="V174" s="3">
        <f>IF(T174=0,"",X174/T174)</f>
        <v>0.32764592501582057</v>
      </c>
      <c r="W174" s="1">
        <v>7862.59</v>
      </c>
      <c r="X174" s="1">
        <f>T174-U174</f>
        <v>7862.5919999999987</v>
      </c>
      <c r="Y174" s="1" t="s">
        <v>110</v>
      </c>
      <c r="Z174" s="1" t="s">
        <v>111</v>
      </c>
      <c r="AA174" s="1">
        <f t="shared" si="10"/>
        <v>242</v>
      </c>
      <c r="AB174" s="2" t="str">
        <f t="shared" si="14"/>
        <v>Clean</v>
      </c>
      <c r="AC174" s="2"/>
    </row>
    <row r="175" spans="1:29">
      <c r="A175" s="1" t="s">
        <v>632</v>
      </c>
      <c r="B175" s="2">
        <v>45327</v>
      </c>
      <c r="C175" s="2" t="str">
        <f t="shared" si="11"/>
        <v>February</v>
      </c>
      <c r="D175" s="1">
        <f t="shared" si="12"/>
        <v>2024</v>
      </c>
      <c r="E175" s="2">
        <v>45509</v>
      </c>
      <c r="F175" s="1" t="s">
        <v>633</v>
      </c>
      <c r="G175" s="1" t="s">
        <v>122</v>
      </c>
      <c r="H175" s="1" t="s">
        <v>103</v>
      </c>
      <c r="I175" s="1" t="s">
        <v>33</v>
      </c>
      <c r="J175" s="1" t="s">
        <v>130</v>
      </c>
      <c r="K175" s="1" t="s">
        <v>131</v>
      </c>
      <c r="L175" s="1" t="s">
        <v>82</v>
      </c>
      <c r="M175" s="1" t="s">
        <v>88</v>
      </c>
      <c r="N175" s="1" t="s">
        <v>634</v>
      </c>
      <c r="O175" s="1" t="s">
        <v>39</v>
      </c>
      <c r="P175" s="1">
        <v>1</v>
      </c>
      <c r="Q175" s="1">
        <v>2312.25</v>
      </c>
      <c r="R175" s="1">
        <v>0.25</v>
      </c>
      <c r="S175" s="1">
        <v>1734.19</v>
      </c>
      <c r="T175" s="1">
        <f t="shared" si="13"/>
        <v>1734.1875</v>
      </c>
      <c r="U175" s="1">
        <v>1386.07</v>
      </c>
      <c r="V175" s="3">
        <f>IF(T175=0,"",X175/T175)</f>
        <v>0.20073809781237614</v>
      </c>
      <c r="W175" s="1">
        <v>348.12</v>
      </c>
      <c r="X175" s="1">
        <f>T175-U175</f>
        <v>348.11750000000006</v>
      </c>
      <c r="Y175" s="1" t="s">
        <v>40</v>
      </c>
      <c r="Z175" s="1" t="s">
        <v>41</v>
      </c>
      <c r="AA175" s="1">
        <f t="shared" si="10"/>
        <v>182</v>
      </c>
      <c r="AB175" s="2" t="str">
        <f t="shared" si="14"/>
        <v>Clean</v>
      </c>
      <c r="AC175" s="2"/>
    </row>
    <row r="176" spans="1:29">
      <c r="A176" s="1" t="s">
        <v>635</v>
      </c>
      <c r="B176" s="2">
        <v>45928</v>
      </c>
      <c r="C176" s="2" t="str">
        <f t="shared" si="11"/>
        <v>September</v>
      </c>
      <c r="D176" s="1">
        <f t="shared" si="12"/>
        <v>2025</v>
      </c>
      <c r="E176" s="2">
        <v>45757</v>
      </c>
      <c r="F176" s="1" t="s">
        <v>636</v>
      </c>
      <c r="G176" s="1" t="s">
        <v>31</v>
      </c>
      <c r="H176" s="1" t="s">
        <v>45</v>
      </c>
      <c r="I176" s="1" t="s">
        <v>62</v>
      </c>
      <c r="J176" s="1" t="s">
        <v>183</v>
      </c>
      <c r="K176" s="1" t="s">
        <v>184</v>
      </c>
      <c r="L176" s="1" t="s">
        <v>49</v>
      </c>
      <c r="M176" s="1" t="s">
        <v>166</v>
      </c>
      <c r="N176" s="1" t="s">
        <v>637</v>
      </c>
      <c r="O176" s="1" t="s">
        <v>58</v>
      </c>
      <c r="P176" s="1">
        <v>6</v>
      </c>
      <c r="Q176" s="1">
        <v>1620.53</v>
      </c>
      <c r="R176" s="1">
        <v>0.15</v>
      </c>
      <c r="S176" s="1">
        <v>8264.7000000000007</v>
      </c>
      <c r="T176" s="1">
        <f t="shared" si="13"/>
        <v>8264.7029999999995</v>
      </c>
      <c r="U176" s="1">
        <v>4768.75</v>
      </c>
      <c r="V176" s="3">
        <f>IF(T176=0,"",X176/T176)</f>
        <v>0.42299801940856191</v>
      </c>
      <c r="W176" s="1">
        <v>3495.95</v>
      </c>
      <c r="X176" s="1">
        <f>T176-U176</f>
        <v>3495.9529999999995</v>
      </c>
      <c r="Y176" s="1" t="s">
        <v>119</v>
      </c>
      <c r="Z176" s="1" t="s">
        <v>111</v>
      </c>
      <c r="AA176" s="4">
        <f t="shared" si="10"/>
        <v>-171</v>
      </c>
      <c r="AB176" s="2" t="str">
        <f t="shared" si="14"/>
        <v>Invalid</v>
      </c>
      <c r="AC176" s="2"/>
    </row>
    <row r="177" spans="1:29">
      <c r="A177" s="1" t="s">
        <v>638</v>
      </c>
      <c r="B177" s="2">
        <v>45318</v>
      </c>
      <c r="C177" s="2" t="str">
        <f t="shared" si="11"/>
        <v>January</v>
      </c>
      <c r="D177" s="1">
        <f t="shared" si="12"/>
        <v>2024</v>
      </c>
      <c r="E177" s="2">
        <v>45353</v>
      </c>
      <c r="F177" s="1" t="s">
        <v>639</v>
      </c>
      <c r="G177" s="1" t="s">
        <v>61</v>
      </c>
      <c r="H177" s="1" t="s">
        <v>45</v>
      </c>
      <c r="I177" s="1" t="s">
        <v>46</v>
      </c>
      <c r="J177" s="1" t="s">
        <v>153</v>
      </c>
      <c r="K177" s="1" t="s">
        <v>154</v>
      </c>
      <c r="L177" s="1" t="s">
        <v>82</v>
      </c>
      <c r="M177" s="1" t="s">
        <v>283</v>
      </c>
      <c r="N177" s="1" t="s">
        <v>640</v>
      </c>
      <c r="O177" s="1" t="s">
        <v>52</v>
      </c>
      <c r="P177" s="1">
        <v>7</v>
      </c>
      <c r="Q177" s="1">
        <v>2673.42</v>
      </c>
      <c r="R177" s="1">
        <v>0.15</v>
      </c>
      <c r="S177" s="1">
        <v>15906.85</v>
      </c>
      <c r="T177" s="1">
        <f t="shared" si="13"/>
        <v>15906.849000000002</v>
      </c>
      <c r="U177" s="1">
        <v>11014.46</v>
      </c>
      <c r="V177" s="3">
        <f>IF(T177=0,"",X177/T177)</f>
        <v>0.30756493633654297</v>
      </c>
      <c r="W177" s="1">
        <v>4892.3900000000003</v>
      </c>
      <c r="X177" s="1">
        <f>T177-U177</f>
        <v>4892.3890000000029</v>
      </c>
      <c r="Y177" s="1" t="s">
        <v>40</v>
      </c>
      <c r="Z177" s="1" t="s">
        <v>111</v>
      </c>
      <c r="AA177" s="1">
        <f t="shared" si="10"/>
        <v>35</v>
      </c>
      <c r="AB177" s="2" t="str">
        <f t="shared" si="14"/>
        <v>Clean</v>
      </c>
      <c r="AC177" s="2"/>
    </row>
    <row r="178" spans="1:29">
      <c r="A178" s="1" t="s">
        <v>641</v>
      </c>
      <c r="B178" s="2">
        <v>45734</v>
      </c>
      <c r="C178" s="2" t="str">
        <f t="shared" si="11"/>
        <v>March</v>
      </c>
      <c r="D178" s="1">
        <f t="shared" si="12"/>
        <v>2025</v>
      </c>
      <c r="E178" s="2">
        <v>45742</v>
      </c>
      <c r="F178" s="1" t="s">
        <v>642</v>
      </c>
      <c r="G178" s="1" t="s">
        <v>79</v>
      </c>
      <c r="H178" s="1" t="s">
        <v>98</v>
      </c>
      <c r="I178" s="1" t="s">
        <v>46</v>
      </c>
      <c r="J178" s="1" t="s">
        <v>237</v>
      </c>
      <c r="K178" s="1" t="s">
        <v>238</v>
      </c>
      <c r="L178" s="1" t="s">
        <v>49</v>
      </c>
      <c r="M178" s="1" t="s">
        <v>166</v>
      </c>
      <c r="N178" s="1" t="s">
        <v>643</v>
      </c>
      <c r="O178" s="1" t="s">
        <v>67</v>
      </c>
      <c r="P178" s="1">
        <v>8</v>
      </c>
      <c r="Q178" s="1">
        <v>3563.09</v>
      </c>
      <c r="R178" s="1">
        <v>0.15</v>
      </c>
      <c r="S178" s="1">
        <v>24229.01</v>
      </c>
      <c r="T178" s="1">
        <f t="shared" si="13"/>
        <v>24229.011999999999</v>
      </c>
      <c r="U178" s="1">
        <v>13910.64</v>
      </c>
      <c r="V178" s="3">
        <f>IF(T178=0,"",X178/T178)</f>
        <v>0.42586845885420338</v>
      </c>
      <c r="W178" s="1">
        <v>10318.370000000001</v>
      </c>
      <c r="X178" s="1">
        <f>T178-U178</f>
        <v>10318.371999999999</v>
      </c>
      <c r="Y178" s="1" t="s">
        <v>40</v>
      </c>
      <c r="Z178" s="1" t="s">
        <v>41</v>
      </c>
      <c r="AA178" s="1">
        <f t="shared" si="10"/>
        <v>8</v>
      </c>
      <c r="AB178" s="2" t="str">
        <f t="shared" si="14"/>
        <v>Clean</v>
      </c>
      <c r="AC178" s="2"/>
    </row>
    <row r="179" spans="1:29">
      <c r="A179" s="1" t="s">
        <v>644</v>
      </c>
      <c r="B179" s="2">
        <v>45297</v>
      </c>
      <c r="C179" s="2" t="str">
        <f t="shared" si="11"/>
        <v>January</v>
      </c>
      <c r="D179" s="1">
        <f t="shared" si="12"/>
        <v>2024</v>
      </c>
      <c r="E179" s="2">
        <v>45446</v>
      </c>
      <c r="F179" s="1" t="s">
        <v>645</v>
      </c>
      <c r="G179" s="1" t="s">
        <v>140</v>
      </c>
      <c r="H179" s="1" t="s">
        <v>103</v>
      </c>
      <c r="I179" s="1" t="s">
        <v>213</v>
      </c>
      <c r="J179" s="1" t="s">
        <v>153</v>
      </c>
      <c r="K179" s="1" t="s">
        <v>154</v>
      </c>
      <c r="L179" s="1" t="s">
        <v>36</v>
      </c>
      <c r="M179" s="1" t="s">
        <v>56</v>
      </c>
      <c r="N179" s="1" t="s">
        <v>646</v>
      </c>
      <c r="O179" s="1" t="s">
        <v>52</v>
      </c>
      <c r="P179" s="1">
        <v>8</v>
      </c>
      <c r="Q179" s="1">
        <v>3879.95</v>
      </c>
      <c r="R179" s="1">
        <v>0</v>
      </c>
      <c r="S179" s="1">
        <v>31039.599999999999</v>
      </c>
      <c r="T179" s="1">
        <f t="shared" si="13"/>
        <v>31039.599999999999</v>
      </c>
      <c r="U179" s="1">
        <v>20866.72</v>
      </c>
      <c r="V179" s="3">
        <f>IF(T179=0,"",X179/T179)</f>
        <v>0.32773875952009685</v>
      </c>
      <c r="W179" s="1">
        <v>10172.879999999999</v>
      </c>
      <c r="X179" s="1">
        <f>T179-U179</f>
        <v>10172.879999999997</v>
      </c>
      <c r="Y179" s="1" t="s">
        <v>40</v>
      </c>
      <c r="Z179" s="1" t="s">
        <v>41</v>
      </c>
      <c r="AA179" s="1">
        <f t="shared" si="10"/>
        <v>149</v>
      </c>
      <c r="AB179" s="2" t="str">
        <f t="shared" si="14"/>
        <v>Warning</v>
      </c>
      <c r="AC179" s="2"/>
    </row>
    <row r="180" spans="1:29">
      <c r="A180" s="1" t="s">
        <v>647</v>
      </c>
      <c r="B180" s="2">
        <v>45565</v>
      </c>
      <c r="C180" s="2" t="str">
        <f t="shared" si="11"/>
        <v>September</v>
      </c>
      <c r="D180" s="1">
        <f t="shared" si="12"/>
        <v>2024</v>
      </c>
      <c r="E180" s="2">
        <v>45565</v>
      </c>
      <c r="F180" s="1" t="s">
        <v>648</v>
      </c>
      <c r="G180" s="1" t="s">
        <v>55</v>
      </c>
      <c r="H180" s="1" t="s">
        <v>98</v>
      </c>
      <c r="I180" s="1" t="s">
        <v>62</v>
      </c>
      <c r="J180" s="1" t="s">
        <v>63</v>
      </c>
      <c r="K180" s="1" t="s">
        <v>64</v>
      </c>
      <c r="L180" s="1" t="s">
        <v>36</v>
      </c>
      <c r="M180" s="1" t="s">
        <v>56</v>
      </c>
      <c r="N180" s="1" t="s">
        <v>649</v>
      </c>
      <c r="O180" s="1" t="s">
        <v>67</v>
      </c>
      <c r="P180" s="1">
        <v>4</v>
      </c>
      <c r="Q180" s="1">
        <v>3281.74</v>
      </c>
      <c r="R180" s="1">
        <v>0</v>
      </c>
      <c r="S180" s="1">
        <v>13126.96</v>
      </c>
      <c r="T180" s="1">
        <f t="shared" si="13"/>
        <v>13126.96</v>
      </c>
      <c r="U180" s="1">
        <v>10732.44</v>
      </c>
      <c r="V180" s="3">
        <f>IF(T180=0,"",X180/T180)</f>
        <v>0.18241237879905162</v>
      </c>
      <c r="W180" s="1">
        <v>2394.52</v>
      </c>
      <c r="X180" s="1">
        <f>T180-U180</f>
        <v>2394.5199999999986</v>
      </c>
      <c r="Y180" s="1" t="s">
        <v>40</v>
      </c>
      <c r="Z180" s="1" t="s">
        <v>41</v>
      </c>
      <c r="AA180" s="1">
        <f t="shared" si="10"/>
        <v>0</v>
      </c>
      <c r="AB180" s="2" t="str">
        <f t="shared" si="14"/>
        <v>Clean</v>
      </c>
      <c r="AC180" s="2"/>
    </row>
    <row r="181" spans="1:29">
      <c r="A181" s="1" t="s">
        <v>650</v>
      </c>
      <c r="B181" s="2">
        <v>45366</v>
      </c>
      <c r="C181" s="2" t="str">
        <f t="shared" si="11"/>
        <v>March</v>
      </c>
      <c r="D181" s="1">
        <f t="shared" si="12"/>
        <v>2024</v>
      </c>
      <c r="E181" s="2">
        <v>45370</v>
      </c>
      <c r="F181" s="1" t="s">
        <v>651</v>
      </c>
      <c r="G181" s="1" t="s">
        <v>70</v>
      </c>
      <c r="H181" s="1" t="s">
        <v>45</v>
      </c>
      <c r="I181" s="1" t="s">
        <v>62</v>
      </c>
      <c r="J181" s="1" t="s">
        <v>256</v>
      </c>
      <c r="K181" s="1" t="s">
        <v>257</v>
      </c>
      <c r="L181" s="1" t="s">
        <v>49</v>
      </c>
      <c r="M181" s="1" t="s">
        <v>65</v>
      </c>
      <c r="N181" s="1" t="s">
        <v>652</v>
      </c>
      <c r="O181" s="1" t="s">
        <v>67</v>
      </c>
      <c r="P181" s="1">
        <v>4</v>
      </c>
      <c r="Q181" s="1">
        <v>3186.3</v>
      </c>
      <c r="R181" s="1">
        <v>0.25</v>
      </c>
      <c r="S181" s="1">
        <v>9558.9</v>
      </c>
      <c r="T181" s="1">
        <f t="shared" si="13"/>
        <v>9558.9000000000015</v>
      </c>
      <c r="U181" s="1">
        <v>5516.76</v>
      </c>
      <c r="V181" s="3">
        <f>IF(T181=0,"",X181/T181)</f>
        <v>0.42286664783604816</v>
      </c>
      <c r="W181" s="1">
        <v>4042.14</v>
      </c>
      <c r="X181" s="1">
        <f>T181-U181</f>
        <v>4042.1400000000012</v>
      </c>
      <c r="Y181" s="1" t="s">
        <v>110</v>
      </c>
      <c r="Z181" s="1" t="s">
        <v>111</v>
      </c>
      <c r="AA181" s="1">
        <f t="shared" si="10"/>
        <v>4</v>
      </c>
      <c r="AB181" s="2" t="str">
        <f t="shared" si="14"/>
        <v>Clean</v>
      </c>
      <c r="AC181" s="2"/>
    </row>
    <row r="182" spans="1:29">
      <c r="A182" s="1" t="s">
        <v>653</v>
      </c>
      <c r="B182" s="2">
        <v>45530</v>
      </c>
      <c r="C182" s="2" t="str">
        <f t="shared" si="11"/>
        <v>August</v>
      </c>
      <c r="D182" s="1">
        <f t="shared" si="12"/>
        <v>2024</v>
      </c>
      <c r="E182" s="2">
        <v>45530</v>
      </c>
      <c r="F182" s="1" t="s">
        <v>654</v>
      </c>
      <c r="G182" s="1" t="s">
        <v>44</v>
      </c>
      <c r="H182" s="1" t="s">
        <v>103</v>
      </c>
      <c r="I182" s="1" t="s">
        <v>33</v>
      </c>
      <c r="J182" s="1" t="s">
        <v>144</v>
      </c>
      <c r="K182" s="1" t="s">
        <v>145</v>
      </c>
      <c r="L182" s="1" t="s">
        <v>36</v>
      </c>
      <c r="M182" s="1" t="s">
        <v>161</v>
      </c>
      <c r="N182" s="1" t="s">
        <v>655</v>
      </c>
      <c r="O182" s="1" t="s">
        <v>58</v>
      </c>
      <c r="P182" s="1">
        <v>7</v>
      </c>
      <c r="Q182" s="1">
        <v>844.59</v>
      </c>
      <c r="R182" s="1">
        <v>0.1</v>
      </c>
      <c r="S182" s="1">
        <v>5320.92</v>
      </c>
      <c r="T182" s="1">
        <f t="shared" si="13"/>
        <v>5320.9170000000004</v>
      </c>
      <c r="U182" s="1">
        <v>3041.5</v>
      </c>
      <c r="V182" s="3">
        <f>IF(T182=0,"",X182/T182)</f>
        <v>0.42838800154183954</v>
      </c>
      <c r="W182" s="1">
        <v>2279.42</v>
      </c>
      <c r="X182" s="1">
        <f>T182-U182</f>
        <v>2279.4170000000004</v>
      </c>
      <c r="Y182" s="1" t="s">
        <v>40</v>
      </c>
      <c r="Z182" s="1" t="s">
        <v>41</v>
      </c>
      <c r="AA182" s="1">
        <f t="shared" si="10"/>
        <v>0</v>
      </c>
      <c r="AB182" s="2" t="str">
        <f t="shared" si="14"/>
        <v>Clean</v>
      </c>
      <c r="AC182" s="2"/>
    </row>
    <row r="183" spans="1:29">
      <c r="A183" s="1" t="s">
        <v>656</v>
      </c>
      <c r="B183" s="2">
        <v>45909</v>
      </c>
      <c r="C183" s="2" t="str">
        <f t="shared" si="11"/>
        <v>September</v>
      </c>
      <c r="D183" s="1">
        <f t="shared" si="12"/>
        <v>2025</v>
      </c>
      <c r="E183" s="2">
        <v>45939</v>
      </c>
      <c r="F183" s="1" t="s">
        <v>657</v>
      </c>
      <c r="G183" s="1" t="s">
        <v>122</v>
      </c>
      <c r="H183" s="1" t="s">
        <v>103</v>
      </c>
      <c r="I183" s="1" t="s">
        <v>62</v>
      </c>
      <c r="J183" s="1" t="s">
        <v>256</v>
      </c>
      <c r="K183" s="1" t="s">
        <v>257</v>
      </c>
      <c r="L183" s="1" t="s">
        <v>36</v>
      </c>
      <c r="M183" s="1" t="s">
        <v>56</v>
      </c>
      <c r="N183" s="1" t="s">
        <v>658</v>
      </c>
      <c r="O183" s="1" t="s">
        <v>39</v>
      </c>
      <c r="P183" s="1">
        <v>4</v>
      </c>
      <c r="Q183" s="1">
        <v>2551.4499999999998</v>
      </c>
      <c r="R183" s="1">
        <v>0</v>
      </c>
      <c r="S183" s="1">
        <v>10205.799999999999</v>
      </c>
      <c r="T183" s="1">
        <f t="shared" si="13"/>
        <v>10205.799999999999</v>
      </c>
      <c r="U183" s="1">
        <v>5986.31</v>
      </c>
      <c r="V183" s="3">
        <f>IF(T183=0,"",X183/T183)</f>
        <v>0.41344039663720622</v>
      </c>
      <c r="W183" s="1">
        <v>4219.49</v>
      </c>
      <c r="X183" s="1">
        <f>T183-U183</f>
        <v>4219.4899999999989</v>
      </c>
      <c r="Y183" s="1" t="s">
        <v>40</v>
      </c>
      <c r="Z183" s="1" t="s">
        <v>41</v>
      </c>
      <c r="AA183" s="1">
        <f t="shared" si="10"/>
        <v>30</v>
      </c>
      <c r="AB183" s="2" t="str">
        <f t="shared" si="14"/>
        <v>Clean</v>
      </c>
      <c r="AC183" s="2"/>
    </row>
    <row r="184" spans="1:29">
      <c r="A184" s="1" t="s">
        <v>659</v>
      </c>
      <c r="B184" s="2">
        <v>45581</v>
      </c>
      <c r="C184" s="2" t="str">
        <f t="shared" si="11"/>
        <v>October</v>
      </c>
      <c r="D184" s="1">
        <f t="shared" si="12"/>
        <v>2024</v>
      </c>
      <c r="E184" s="2">
        <v>45581</v>
      </c>
      <c r="F184" s="1" t="s">
        <v>660</v>
      </c>
      <c r="G184" s="1" t="s">
        <v>70</v>
      </c>
      <c r="H184" s="1" t="s">
        <v>103</v>
      </c>
      <c r="I184" s="1" t="s">
        <v>46</v>
      </c>
      <c r="J184" s="1" t="s">
        <v>153</v>
      </c>
      <c r="K184" s="1" t="s">
        <v>154</v>
      </c>
      <c r="L184" s="1" t="s">
        <v>82</v>
      </c>
      <c r="M184" s="1" t="s">
        <v>283</v>
      </c>
      <c r="N184" s="1" t="s">
        <v>661</v>
      </c>
      <c r="O184" s="1" t="s">
        <v>67</v>
      </c>
      <c r="P184" s="1">
        <v>7</v>
      </c>
      <c r="Q184" s="1">
        <v>775.77</v>
      </c>
      <c r="R184" s="1">
        <v>0</v>
      </c>
      <c r="S184" s="1">
        <v>5430.39</v>
      </c>
      <c r="T184" s="1">
        <f t="shared" si="13"/>
        <v>5430.3899999999994</v>
      </c>
      <c r="U184" s="1">
        <v>3707.66</v>
      </c>
      <c r="V184" s="3">
        <f>IF(T184=0,"",X184/T184)</f>
        <v>0.31723872502711586</v>
      </c>
      <c r="W184" s="1">
        <v>1722.73</v>
      </c>
      <c r="X184" s="1">
        <f>T184-U184</f>
        <v>1722.7299999999996</v>
      </c>
      <c r="Y184" s="1" t="s">
        <v>40</v>
      </c>
      <c r="Z184" s="1" t="s">
        <v>41</v>
      </c>
      <c r="AA184" s="1">
        <f t="shared" si="10"/>
        <v>0</v>
      </c>
      <c r="AB184" s="2" t="str">
        <f t="shared" si="14"/>
        <v>Clean</v>
      </c>
      <c r="AC184" s="2"/>
    </row>
    <row r="185" spans="1:29">
      <c r="A185" s="1" t="s">
        <v>662</v>
      </c>
      <c r="B185" s="2">
        <v>45832</v>
      </c>
      <c r="C185" s="2" t="str">
        <f t="shared" si="11"/>
        <v>June</v>
      </c>
      <c r="D185" s="1">
        <f t="shared" si="12"/>
        <v>2025</v>
      </c>
      <c r="E185" s="2">
        <v>45835</v>
      </c>
      <c r="F185" s="1" t="s">
        <v>663</v>
      </c>
      <c r="G185" s="1" t="s">
        <v>79</v>
      </c>
      <c r="H185" s="1" t="s">
        <v>103</v>
      </c>
      <c r="I185" s="1" t="s">
        <v>62</v>
      </c>
      <c r="J185" s="1" t="s">
        <v>63</v>
      </c>
      <c r="K185" s="1" t="s">
        <v>64</v>
      </c>
      <c r="L185" s="1" t="s">
        <v>82</v>
      </c>
      <c r="M185" s="1" t="s">
        <v>88</v>
      </c>
      <c r="N185" s="1" t="s">
        <v>664</v>
      </c>
      <c r="O185" s="1" t="s">
        <v>67</v>
      </c>
      <c r="P185" s="1">
        <v>7</v>
      </c>
      <c r="Q185" s="1">
        <v>2304.86</v>
      </c>
      <c r="R185" s="1">
        <v>0.2</v>
      </c>
      <c r="S185" s="1">
        <v>12907.22</v>
      </c>
      <c r="T185" s="1">
        <f t="shared" si="13"/>
        <v>12907.216</v>
      </c>
      <c r="U185" s="1">
        <v>8327.89</v>
      </c>
      <c r="V185" s="3">
        <f>IF(T185=0,"",X185/T185)</f>
        <v>0.3547880503433119</v>
      </c>
      <c r="W185" s="1">
        <v>4579.33</v>
      </c>
      <c r="X185" s="1">
        <f>T185-U185</f>
        <v>4579.3260000000009</v>
      </c>
      <c r="Y185" s="1" t="s">
        <v>40</v>
      </c>
      <c r="Z185" s="1" t="s">
        <v>111</v>
      </c>
      <c r="AA185" s="1">
        <f t="shared" si="10"/>
        <v>3</v>
      </c>
      <c r="AB185" s="2" t="str">
        <f t="shared" si="14"/>
        <v>Clean</v>
      </c>
      <c r="AC185" s="2"/>
    </row>
    <row r="186" spans="1:29">
      <c r="A186" s="1" t="s">
        <v>665</v>
      </c>
      <c r="B186" s="2">
        <v>45326</v>
      </c>
      <c r="C186" s="2" t="str">
        <f t="shared" si="11"/>
        <v>February</v>
      </c>
      <c r="D186" s="1">
        <f t="shared" si="12"/>
        <v>2024</v>
      </c>
      <c r="E186" s="2">
        <v>45447</v>
      </c>
      <c r="F186" s="1" t="s">
        <v>666</v>
      </c>
      <c r="G186" s="1" t="s">
        <v>79</v>
      </c>
      <c r="H186" s="1" t="s">
        <v>98</v>
      </c>
      <c r="I186" s="1" t="s">
        <v>71</v>
      </c>
      <c r="J186" s="1" t="s">
        <v>80</v>
      </c>
      <c r="K186" s="1" t="s">
        <v>81</v>
      </c>
      <c r="L186" s="1" t="s">
        <v>49</v>
      </c>
      <c r="M186" s="1" t="s">
        <v>166</v>
      </c>
      <c r="N186" s="1" t="s">
        <v>667</v>
      </c>
      <c r="O186" s="1" t="s">
        <v>67</v>
      </c>
      <c r="P186" s="1">
        <v>2</v>
      </c>
      <c r="Q186" s="1">
        <v>888.98</v>
      </c>
      <c r="R186" s="1">
        <v>0</v>
      </c>
      <c r="S186" s="1">
        <v>1777.96</v>
      </c>
      <c r="T186" s="1">
        <f t="shared" si="13"/>
        <v>1777.96</v>
      </c>
      <c r="U186" s="1">
        <v>1021.16</v>
      </c>
      <c r="V186" s="3">
        <f>IF(T186=0,"",X186/T186)</f>
        <v>0.42565637022205227</v>
      </c>
      <c r="W186" s="1">
        <v>756.8</v>
      </c>
      <c r="X186" s="1">
        <f>T186-U186</f>
        <v>756.80000000000007</v>
      </c>
      <c r="Y186" s="1" t="s">
        <v>110</v>
      </c>
      <c r="Z186" s="1" t="s">
        <v>111</v>
      </c>
      <c r="AA186" s="1">
        <f t="shared" si="10"/>
        <v>121</v>
      </c>
      <c r="AB186" s="2" t="str">
        <f t="shared" si="14"/>
        <v>Clean</v>
      </c>
      <c r="AC186" s="2"/>
    </row>
    <row r="187" spans="1:29">
      <c r="A187" s="1" t="s">
        <v>668</v>
      </c>
      <c r="B187" s="2">
        <v>45601</v>
      </c>
      <c r="C187" s="2" t="str">
        <f t="shared" si="11"/>
        <v>November</v>
      </c>
      <c r="D187" s="1">
        <f t="shared" si="12"/>
        <v>2024</v>
      </c>
      <c r="E187" s="2">
        <v>45609</v>
      </c>
      <c r="F187" s="1" t="s">
        <v>669</v>
      </c>
      <c r="G187" s="1" t="s">
        <v>61</v>
      </c>
      <c r="H187" s="1" t="s">
        <v>32</v>
      </c>
      <c r="I187" s="1" t="s">
        <v>213</v>
      </c>
      <c r="J187" s="1" t="s">
        <v>130</v>
      </c>
      <c r="K187" s="1" t="s">
        <v>131</v>
      </c>
      <c r="L187" s="1" t="s">
        <v>36</v>
      </c>
      <c r="M187" s="1" t="s">
        <v>99</v>
      </c>
      <c r="N187" s="1" t="s">
        <v>670</v>
      </c>
      <c r="O187" s="1" t="s">
        <v>39</v>
      </c>
      <c r="P187" s="1">
        <v>2</v>
      </c>
      <c r="Q187" s="1">
        <v>1003.17</v>
      </c>
      <c r="R187" s="1">
        <v>0.2</v>
      </c>
      <c r="S187" s="1">
        <v>1605.07</v>
      </c>
      <c r="T187" s="1">
        <f t="shared" si="13"/>
        <v>1605.0720000000001</v>
      </c>
      <c r="U187" s="1">
        <v>1337.28</v>
      </c>
      <c r="V187" s="3">
        <f>IF(T187=0,"",X187/T187)</f>
        <v>0.16684111366966722</v>
      </c>
      <c r="W187" s="1">
        <v>267.79000000000002</v>
      </c>
      <c r="X187" s="1">
        <f>T187-U187</f>
        <v>267.79200000000014</v>
      </c>
      <c r="Y187" s="1" t="s">
        <v>40</v>
      </c>
      <c r="Z187" s="1" t="s">
        <v>41</v>
      </c>
      <c r="AA187" s="1">
        <f t="shared" si="10"/>
        <v>8</v>
      </c>
      <c r="AB187" s="2" t="str">
        <f t="shared" si="14"/>
        <v>Warning</v>
      </c>
      <c r="AC187" s="2"/>
    </row>
    <row r="188" spans="1:29">
      <c r="A188" s="1" t="s">
        <v>671</v>
      </c>
      <c r="B188" s="2">
        <v>45492</v>
      </c>
      <c r="C188" s="2" t="str">
        <f t="shared" si="11"/>
        <v>July</v>
      </c>
      <c r="D188" s="1">
        <f t="shared" si="12"/>
        <v>2024</v>
      </c>
      <c r="E188" s="2">
        <v>45493</v>
      </c>
      <c r="F188" s="1" t="s">
        <v>272</v>
      </c>
      <c r="G188" s="1" t="s">
        <v>79</v>
      </c>
      <c r="H188" s="1" t="s">
        <v>32</v>
      </c>
      <c r="I188" s="1" t="s">
        <v>62</v>
      </c>
      <c r="J188" s="1" t="s">
        <v>256</v>
      </c>
      <c r="K188" s="1" t="s">
        <v>257</v>
      </c>
      <c r="L188" s="1" t="s">
        <v>49</v>
      </c>
      <c r="M188" s="1" t="s">
        <v>50</v>
      </c>
      <c r="N188" s="1" t="s">
        <v>672</v>
      </c>
      <c r="O188" s="1" t="s">
        <v>58</v>
      </c>
      <c r="P188" s="1">
        <v>7</v>
      </c>
      <c r="Q188" s="1">
        <v>3608.43</v>
      </c>
      <c r="R188" s="1">
        <v>0.05</v>
      </c>
      <c r="S188" s="1">
        <v>23996.06</v>
      </c>
      <c r="T188" s="1">
        <f t="shared" si="13"/>
        <v>23996.059499999996</v>
      </c>
      <c r="U188" s="1">
        <v>20167.28</v>
      </c>
      <c r="V188" s="3">
        <f>IF(T188=0,"",X188/T188)</f>
        <v>0.15955867670689838</v>
      </c>
      <c r="W188" s="1">
        <v>3828.78</v>
      </c>
      <c r="X188" s="1">
        <f>T188-U188</f>
        <v>3828.7794999999969</v>
      </c>
      <c r="Y188" s="1" t="s">
        <v>40</v>
      </c>
      <c r="Z188" s="1" t="s">
        <v>41</v>
      </c>
      <c r="AA188" s="1">
        <f t="shared" si="10"/>
        <v>1</v>
      </c>
      <c r="AB188" s="2" t="str">
        <f t="shared" si="14"/>
        <v>Clean</v>
      </c>
      <c r="AC188" s="2"/>
    </row>
    <row r="189" spans="1:29">
      <c r="A189" s="1" t="s">
        <v>673</v>
      </c>
      <c r="B189" s="2">
        <v>45662</v>
      </c>
      <c r="C189" s="2" t="str">
        <f t="shared" si="11"/>
        <v>January</v>
      </c>
      <c r="D189" s="1">
        <f t="shared" si="12"/>
        <v>2025</v>
      </c>
      <c r="E189" s="2">
        <v>45693</v>
      </c>
      <c r="F189" s="1" t="s">
        <v>674</v>
      </c>
      <c r="G189" s="1" t="s">
        <v>44</v>
      </c>
      <c r="H189" s="1" t="s">
        <v>32</v>
      </c>
      <c r="I189" s="1" t="s">
        <v>71</v>
      </c>
      <c r="J189" s="1" t="s">
        <v>80</v>
      </c>
      <c r="K189" s="1" t="s">
        <v>81</v>
      </c>
      <c r="L189" s="1" t="s">
        <v>49</v>
      </c>
      <c r="M189" s="1" t="s">
        <v>74</v>
      </c>
      <c r="N189" s="1" t="s">
        <v>675</v>
      </c>
      <c r="O189" s="1" t="s">
        <v>52</v>
      </c>
      <c r="P189" s="1">
        <v>3</v>
      </c>
      <c r="Q189" s="1">
        <v>2905.74</v>
      </c>
      <c r="R189" s="1">
        <v>0</v>
      </c>
      <c r="S189" s="1">
        <v>8717.2199999999993</v>
      </c>
      <c r="T189" s="1">
        <f t="shared" si="13"/>
        <v>8717.2199999999993</v>
      </c>
      <c r="U189" s="1">
        <v>6215.96</v>
      </c>
      <c r="V189" s="3">
        <f>IF(T189=0,"",X189/T189)</f>
        <v>0.28693321953558582</v>
      </c>
      <c r="W189" s="1">
        <v>2501.2600000000002</v>
      </c>
      <c r="X189" s="1">
        <f>T189-U189</f>
        <v>2501.2599999999993</v>
      </c>
      <c r="Y189" s="1" t="s">
        <v>40</v>
      </c>
      <c r="Z189" s="1" t="s">
        <v>111</v>
      </c>
      <c r="AA189" s="1">
        <f t="shared" si="10"/>
        <v>31</v>
      </c>
      <c r="AB189" s="2" t="str">
        <f t="shared" si="14"/>
        <v>Clean</v>
      </c>
      <c r="AC189" s="2"/>
    </row>
    <row r="190" spans="1:29">
      <c r="A190" s="1" t="s">
        <v>676</v>
      </c>
      <c r="B190" s="2">
        <v>45798</v>
      </c>
      <c r="C190" s="2" t="str">
        <f t="shared" si="11"/>
        <v>May</v>
      </c>
      <c r="D190" s="1">
        <f t="shared" si="12"/>
        <v>2025</v>
      </c>
      <c r="E190" s="2">
        <v>45805</v>
      </c>
      <c r="F190" s="1" t="s">
        <v>677</v>
      </c>
      <c r="G190" s="1" t="s">
        <v>122</v>
      </c>
      <c r="H190" s="1" t="s">
        <v>98</v>
      </c>
      <c r="I190" s="1" t="s">
        <v>46</v>
      </c>
      <c r="J190" s="1" t="s">
        <v>107</v>
      </c>
      <c r="K190" s="1" t="s">
        <v>108</v>
      </c>
      <c r="L190" s="1" t="s">
        <v>49</v>
      </c>
      <c r="M190" s="1" t="s">
        <v>166</v>
      </c>
      <c r="N190" s="1" t="s">
        <v>678</v>
      </c>
      <c r="O190" s="1" t="s">
        <v>52</v>
      </c>
      <c r="P190" s="1">
        <v>2</v>
      </c>
      <c r="Q190" s="1">
        <v>3559.57</v>
      </c>
      <c r="R190" s="1">
        <v>0.1</v>
      </c>
      <c r="S190" s="1">
        <v>6553.95</v>
      </c>
      <c r="T190" s="1">
        <f t="shared" si="13"/>
        <v>6407.2260000000006</v>
      </c>
      <c r="U190" s="1">
        <v>4923.09</v>
      </c>
      <c r="V190" s="3">
        <f>IF(T190=0,"",X190/T190)</f>
        <v>0.23163471992403581</v>
      </c>
      <c r="W190" s="1">
        <v>1484.14</v>
      </c>
      <c r="X190" s="1">
        <f>T190-U190</f>
        <v>1484.1360000000004</v>
      </c>
      <c r="Y190" s="1" t="s">
        <v>40</v>
      </c>
      <c r="Z190" s="1" t="s">
        <v>41</v>
      </c>
      <c r="AA190" s="1">
        <f t="shared" si="10"/>
        <v>7</v>
      </c>
      <c r="AB190" s="2" t="str">
        <f t="shared" si="14"/>
        <v>Clean</v>
      </c>
      <c r="AC190" s="2"/>
    </row>
    <row r="191" spans="1:29">
      <c r="A191" s="1" t="s">
        <v>679</v>
      </c>
      <c r="B191" s="2">
        <v>45813</v>
      </c>
      <c r="C191" s="2" t="str">
        <f t="shared" si="11"/>
        <v>June</v>
      </c>
      <c r="D191" s="1">
        <f t="shared" si="12"/>
        <v>2025</v>
      </c>
      <c r="E191" s="2">
        <v>45843</v>
      </c>
      <c r="F191" s="1" t="s">
        <v>680</v>
      </c>
      <c r="G191" s="1" t="s">
        <v>61</v>
      </c>
      <c r="H191" s="1" t="s">
        <v>32</v>
      </c>
      <c r="I191" s="1" t="s">
        <v>71</v>
      </c>
      <c r="J191" s="1" t="s">
        <v>34</v>
      </c>
      <c r="K191" s="1" t="s">
        <v>117</v>
      </c>
      <c r="L191" s="1" t="s">
        <v>49</v>
      </c>
      <c r="M191" s="1" t="s">
        <v>166</v>
      </c>
      <c r="N191" s="1" t="s">
        <v>681</v>
      </c>
      <c r="O191" s="1" t="s">
        <v>58</v>
      </c>
      <c r="P191" s="1">
        <v>9</v>
      </c>
      <c r="Q191" s="1">
        <v>3318.24</v>
      </c>
      <c r="R191" s="1">
        <v>0</v>
      </c>
      <c r="S191" s="1">
        <v>25384.54</v>
      </c>
      <c r="T191" s="1">
        <f t="shared" si="13"/>
        <v>29864.159999999996</v>
      </c>
      <c r="U191" s="1">
        <v>16872.39</v>
      </c>
      <c r="V191" s="3">
        <f>IF(T191=0,"",X191/T191)</f>
        <v>0.43502881045373448</v>
      </c>
      <c r="W191" s="1">
        <v>8512.15</v>
      </c>
      <c r="X191" s="1">
        <f>T191-U191</f>
        <v>12991.769999999997</v>
      </c>
      <c r="Y191" s="1" t="s">
        <v>40</v>
      </c>
      <c r="Z191" s="1" t="s">
        <v>682</v>
      </c>
      <c r="AA191" s="1">
        <f t="shared" si="10"/>
        <v>30</v>
      </c>
      <c r="AB191" s="2" t="str">
        <f t="shared" si="14"/>
        <v>Clean</v>
      </c>
      <c r="AC191" s="2"/>
    </row>
    <row r="192" spans="1:29">
      <c r="A192" s="1" t="s">
        <v>683</v>
      </c>
      <c r="B192" s="2">
        <v>45767</v>
      </c>
      <c r="C192" s="2" t="str">
        <f t="shared" si="11"/>
        <v>April</v>
      </c>
      <c r="D192" s="1">
        <f t="shared" si="12"/>
        <v>2025</v>
      </c>
      <c r="E192" s="2">
        <v>45768</v>
      </c>
      <c r="F192" s="1" t="s">
        <v>684</v>
      </c>
      <c r="G192" s="1" t="s">
        <v>97</v>
      </c>
      <c r="H192" s="1" t="s">
        <v>32</v>
      </c>
      <c r="I192" s="1" t="s">
        <v>62</v>
      </c>
      <c r="J192" s="1" t="s">
        <v>256</v>
      </c>
      <c r="K192" s="1" t="s">
        <v>257</v>
      </c>
      <c r="L192" s="1" t="s">
        <v>36</v>
      </c>
      <c r="M192" s="1" t="s">
        <v>132</v>
      </c>
      <c r="N192" s="1" t="s">
        <v>685</v>
      </c>
      <c r="O192" s="1" t="s">
        <v>58</v>
      </c>
      <c r="P192" s="1">
        <v>3</v>
      </c>
      <c r="Q192" s="1">
        <v>540.09</v>
      </c>
      <c r="R192" s="1">
        <v>0.1</v>
      </c>
      <c r="S192" s="1">
        <v>1458.24</v>
      </c>
      <c r="T192" s="1">
        <f t="shared" si="13"/>
        <v>1458.2429999999999</v>
      </c>
      <c r="U192" s="1">
        <v>943.32</v>
      </c>
      <c r="V192" s="3">
        <f>IF(T192=0,"",X192/T192)</f>
        <v>0.35311192990468659</v>
      </c>
      <c r="W192" s="1">
        <v>514.91999999999996</v>
      </c>
      <c r="X192" s="1">
        <f>T192-U192</f>
        <v>514.92299999999989</v>
      </c>
      <c r="Y192" s="1" t="s">
        <v>40</v>
      </c>
      <c r="Z192" s="1" t="s">
        <v>41</v>
      </c>
      <c r="AA192" s="1">
        <f t="shared" si="10"/>
        <v>1</v>
      </c>
      <c r="AB192" s="2" t="str">
        <f t="shared" si="14"/>
        <v>Clean</v>
      </c>
      <c r="AC192" s="2"/>
    </row>
    <row r="193" spans="1:29">
      <c r="A193" s="1" t="s">
        <v>686</v>
      </c>
      <c r="B193" s="2">
        <v>45584</v>
      </c>
      <c r="C193" s="2" t="str">
        <f t="shared" si="11"/>
        <v>October</v>
      </c>
      <c r="D193" s="1">
        <f t="shared" si="12"/>
        <v>2024</v>
      </c>
      <c r="E193" s="2">
        <v>45589</v>
      </c>
      <c r="F193" s="1" t="s">
        <v>687</v>
      </c>
      <c r="G193" s="1" t="s">
        <v>140</v>
      </c>
      <c r="H193" s="1" t="s">
        <v>45</v>
      </c>
      <c r="I193" s="1" t="s">
        <v>62</v>
      </c>
      <c r="J193" s="1" t="s">
        <v>256</v>
      </c>
      <c r="K193" s="1" t="s">
        <v>257</v>
      </c>
      <c r="L193" s="1" t="s">
        <v>49</v>
      </c>
      <c r="M193" s="1" t="s">
        <v>166</v>
      </c>
      <c r="N193" s="1" t="s">
        <v>688</v>
      </c>
      <c r="O193" s="1" t="s">
        <v>39</v>
      </c>
      <c r="P193" s="1">
        <v>6</v>
      </c>
      <c r="Q193" s="1">
        <v>4308.3999999999996</v>
      </c>
      <c r="R193" s="1">
        <v>0.65</v>
      </c>
      <c r="S193" s="1">
        <v>25850.400000000001</v>
      </c>
      <c r="T193" s="1">
        <f t="shared" si="13"/>
        <v>9047.64</v>
      </c>
      <c r="U193" s="1">
        <v>19397.68</v>
      </c>
      <c r="V193" s="3">
        <f>IF(T193=0,"",X193/T193)</f>
        <v>-1.1439491403283069</v>
      </c>
      <c r="W193" s="1">
        <v>6452.72</v>
      </c>
      <c r="X193" s="1">
        <f>T193-U193</f>
        <v>-10350.040000000001</v>
      </c>
      <c r="Y193" s="1" t="s">
        <v>40</v>
      </c>
      <c r="Z193" s="1" t="s">
        <v>41</v>
      </c>
      <c r="AA193" s="1">
        <f t="shared" si="10"/>
        <v>5</v>
      </c>
      <c r="AB193" s="2" t="str">
        <f t="shared" si="14"/>
        <v>Clean</v>
      </c>
      <c r="AC193" s="2"/>
    </row>
    <row r="194" spans="1:29">
      <c r="A194" s="1" t="s">
        <v>689</v>
      </c>
      <c r="B194" s="2">
        <v>45547</v>
      </c>
      <c r="C194" s="2" t="str">
        <f t="shared" si="11"/>
        <v>September</v>
      </c>
      <c r="D194" s="1">
        <f t="shared" si="12"/>
        <v>2024</v>
      </c>
      <c r="E194" s="2">
        <v>45642</v>
      </c>
      <c r="F194" s="1" t="s">
        <v>690</v>
      </c>
      <c r="G194" s="1" t="s">
        <v>55</v>
      </c>
      <c r="H194" s="1" t="s">
        <v>103</v>
      </c>
      <c r="I194" s="1" t="s">
        <v>71</v>
      </c>
      <c r="J194" s="1" t="s">
        <v>188</v>
      </c>
      <c r="K194" s="1" t="s">
        <v>189</v>
      </c>
      <c r="L194" s="1" t="s">
        <v>49</v>
      </c>
      <c r="M194" s="1" t="s">
        <v>74</v>
      </c>
      <c r="N194" s="1" t="s">
        <v>691</v>
      </c>
      <c r="O194" s="1" t="s">
        <v>58</v>
      </c>
      <c r="P194" s="1">
        <v>4</v>
      </c>
      <c r="Q194" s="1">
        <v>2191.0300000000002</v>
      </c>
      <c r="R194" s="1">
        <v>0</v>
      </c>
      <c r="S194" s="1">
        <v>8764.1200000000008</v>
      </c>
      <c r="T194" s="1">
        <f t="shared" si="13"/>
        <v>8764.1200000000008</v>
      </c>
      <c r="U194" s="1">
        <v>7220.05</v>
      </c>
      <c r="V194" s="3">
        <f>IF(T194=0,"",X194/T194)</f>
        <v>0.17618083732308554</v>
      </c>
      <c r="W194" s="1">
        <v>1544.07</v>
      </c>
      <c r="X194" s="1">
        <f>T194-U194</f>
        <v>1544.0700000000006</v>
      </c>
      <c r="Y194" s="1" t="s">
        <v>40</v>
      </c>
      <c r="Z194" s="1" t="s">
        <v>41</v>
      </c>
      <c r="AA194" s="1">
        <f t="shared" ref="AA194:AA257" si="15">E194-B194</f>
        <v>95</v>
      </c>
      <c r="AB194" s="2" t="str">
        <f t="shared" si="14"/>
        <v>Clean</v>
      </c>
      <c r="AC194" s="2"/>
    </row>
    <row r="195" spans="1:29">
      <c r="A195" s="1" t="s">
        <v>692</v>
      </c>
      <c r="B195" s="2">
        <v>45466</v>
      </c>
      <c r="C195" s="2" t="str">
        <f t="shared" ref="C195:C258" si="16">TEXT(B195,"mmmm")</f>
        <v>June</v>
      </c>
      <c r="D195" s="1">
        <f t="shared" ref="D195:D258" si="17">YEAR(B195)</f>
        <v>2024</v>
      </c>
      <c r="E195" s="2">
        <v>45471</v>
      </c>
      <c r="F195" s="1" t="s">
        <v>693</v>
      </c>
      <c r="G195" s="1" t="s">
        <v>122</v>
      </c>
      <c r="H195" s="1" t="s">
        <v>45</v>
      </c>
      <c r="I195" s="1" t="s">
        <v>33</v>
      </c>
      <c r="J195" s="1" t="s">
        <v>130</v>
      </c>
      <c r="K195" s="1" t="s">
        <v>131</v>
      </c>
      <c r="L195" s="1" t="s">
        <v>82</v>
      </c>
      <c r="M195" s="1" t="s">
        <v>88</v>
      </c>
      <c r="N195" s="1" t="s">
        <v>694</v>
      </c>
      <c r="O195" s="1" t="s">
        <v>52</v>
      </c>
      <c r="P195" s="1">
        <v>6</v>
      </c>
      <c r="Q195" s="1">
        <v>1956.63</v>
      </c>
      <c r="R195" s="1">
        <v>0.2</v>
      </c>
      <c r="S195" s="1">
        <v>9391.82</v>
      </c>
      <c r="T195" s="1">
        <f t="shared" ref="T195:T258" si="18">P195*Q195*(1-R195)</f>
        <v>9391.8240000000005</v>
      </c>
      <c r="U195" s="1">
        <v>6013.22</v>
      </c>
      <c r="V195" s="3">
        <f>IF(T195=0,"",X195/T195)</f>
        <v>0.35973885370935399</v>
      </c>
      <c r="W195" s="1">
        <v>3378.6</v>
      </c>
      <c r="X195" s="1">
        <f>T195-U195</f>
        <v>3378.6040000000003</v>
      </c>
      <c r="Y195" s="1" t="s">
        <v>110</v>
      </c>
      <c r="Z195" s="1" t="s">
        <v>111</v>
      </c>
      <c r="AA195" s="1">
        <f t="shared" si="15"/>
        <v>5</v>
      </c>
      <c r="AB195" s="2" t="str">
        <f t="shared" ref="AB195:AB258" si="19">IF(OR(AA195&lt;0,R195&lt;0),"Invalid",IF(OR(I195="Unknown",O195="Unknown"),"Warning","Clean"))</f>
        <v>Clean</v>
      </c>
      <c r="AC195" s="2"/>
    </row>
    <row r="196" spans="1:29">
      <c r="A196" s="1" t="s">
        <v>695</v>
      </c>
      <c r="B196" s="2">
        <v>45685</v>
      </c>
      <c r="C196" s="2" t="str">
        <f t="shared" si="16"/>
        <v>January</v>
      </c>
      <c r="D196" s="1">
        <f t="shared" si="17"/>
        <v>2025</v>
      </c>
      <c r="E196" s="2">
        <v>45688</v>
      </c>
      <c r="F196" s="1" t="s">
        <v>696</v>
      </c>
      <c r="G196" s="1" t="s">
        <v>122</v>
      </c>
      <c r="H196" s="1" t="s">
        <v>32</v>
      </c>
      <c r="I196" s="1" t="s">
        <v>71</v>
      </c>
      <c r="J196" s="1" t="s">
        <v>72</v>
      </c>
      <c r="K196" s="1" t="s">
        <v>73</v>
      </c>
      <c r="L196" s="1" t="s">
        <v>49</v>
      </c>
      <c r="M196" s="1" t="s">
        <v>65</v>
      </c>
      <c r="N196" s="1" t="s">
        <v>697</v>
      </c>
      <c r="O196" s="1" t="s">
        <v>58</v>
      </c>
      <c r="P196" s="1">
        <v>9</v>
      </c>
      <c r="Q196" s="1">
        <v>858.39</v>
      </c>
      <c r="R196" s="1">
        <v>0.05</v>
      </c>
      <c r="S196" s="1">
        <v>7339.23</v>
      </c>
      <c r="T196" s="1">
        <f t="shared" si="18"/>
        <v>7339.2344999999996</v>
      </c>
      <c r="U196" s="1">
        <v>5434.12</v>
      </c>
      <c r="V196" s="3">
        <f>IF(T196=0,"",X196/T196)</f>
        <v>0.25957945614082772</v>
      </c>
      <c r="W196" s="1">
        <v>1905.11</v>
      </c>
      <c r="X196" s="1">
        <f>T196-U196</f>
        <v>1905.1144999999997</v>
      </c>
      <c r="Y196" s="1" t="s">
        <v>119</v>
      </c>
      <c r="Z196" s="1" t="s">
        <v>111</v>
      </c>
      <c r="AA196" s="1">
        <f t="shared" si="15"/>
        <v>3</v>
      </c>
      <c r="AB196" s="2" t="str">
        <f t="shared" si="19"/>
        <v>Clean</v>
      </c>
      <c r="AC196" s="2"/>
    </row>
    <row r="197" spans="1:29">
      <c r="A197" s="1" t="s">
        <v>698</v>
      </c>
      <c r="B197" s="2">
        <v>45860</v>
      </c>
      <c r="C197" s="2" t="str">
        <f t="shared" si="16"/>
        <v>July</v>
      </c>
      <c r="D197" s="1">
        <f t="shared" si="17"/>
        <v>2025</v>
      </c>
      <c r="E197" s="2">
        <v>45862</v>
      </c>
      <c r="F197" s="1" t="s">
        <v>699</v>
      </c>
      <c r="G197" s="1" t="s">
        <v>87</v>
      </c>
      <c r="H197" s="1" t="s">
        <v>103</v>
      </c>
      <c r="I197" s="1" t="s">
        <v>62</v>
      </c>
      <c r="J197" s="1" t="s">
        <v>92</v>
      </c>
      <c r="K197" s="1" t="s">
        <v>93</v>
      </c>
      <c r="L197" s="1" t="s">
        <v>49</v>
      </c>
      <c r="M197" s="1" t="s">
        <v>65</v>
      </c>
      <c r="N197" s="1" t="s">
        <v>700</v>
      </c>
      <c r="O197" s="1" t="s">
        <v>52</v>
      </c>
      <c r="P197" s="1">
        <v>5</v>
      </c>
      <c r="Q197" s="1">
        <v>1922.83</v>
      </c>
      <c r="R197" s="1">
        <v>0</v>
      </c>
      <c r="S197" s="1">
        <v>9614.15</v>
      </c>
      <c r="T197" s="1">
        <f t="shared" si="18"/>
        <v>9614.15</v>
      </c>
      <c r="U197" s="1">
        <v>7576.84</v>
      </c>
      <c r="V197" s="3">
        <f>IF(T197=0,"",X197/T197)</f>
        <v>0.21190744891644084</v>
      </c>
      <c r="W197" s="1">
        <v>2037.31</v>
      </c>
      <c r="X197" s="1">
        <f>T197-U197</f>
        <v>2037.3099999999995</v>
      </c>
      <c r="Y197" s="1" t="s">
        <v>40</v>
      </c>
      <c r="Z197" s="1" t="s">
        <v>41</v>
      </c>
      <c r="AA197" s="1">
        <f t="shared" si="15"/>
        <v>2</v>
      </c>
      <c r="AB197" s="2" t="str">
        <f t="shared" si="19"/>
        <v>Clean</v>
      </c>
      <c r="AC197" s="2"/>
    </row>
    <row r="198" spans="1:29">
      <c r="A198" s="1" t="s">
        <v>701</v>
      </c>
      <c r="B198" s="2">
        <v>45313</v>
      </c>
      <c r="C198" s="2" t="str">
        <f t="shared" si="16"/>
        <v>January</v>
      </c>
      <c r="D198" s="1">
        <f t="shared" si="17"/>
        <v>2024</v>
      </c>
      <c r="E198" s="2">
        <v>45316</v>
      </c>
      <c r="F198" s="1" t="s">
        <v>702</v>
      </c>
      <c r="G198" s="1" t="s">
        <v>273</v>
      </c>
      <c r="H198" s="1" t="s">
        <v>103</v>
      </c>
      <c r="I198" s="1" t="s">
        <v>33</v>
      </c>
      <c r="J198" s="1" t="s">
        <v>144</v>
      </c>
      <c r="K198" s="1" t="s">
        <v>145</v>
      </c>
      <c r="L198" s="1" t="s">
        <v>36</v>
      </c>
      <c r="M198" s="1" t="s">
        <v>132</v>
      </c>
      <c r="N198" s="1" t="s">
        <v>703</v>
      </c>
      <c r="O198" s="1" t="s">
        <v>58</v>
      </c>
      <c r="P198" s="1">
        <v>3</v>
      </c>
      <c r="Q198" s="1">
        <v>1212.03</v>
      </c>
      <c r="R198" s="1">
        <v>0.1</v>
      </c>
      <c r="S198" s="1">
        <v>3272.48</v>
      </c>
      <c r="T198" s="1">
        <f t="shared" si="18"/>
        <v>3272.4810000000002</v>
      </c>
      <c r="U198" s="1">
        <v>2517.44</v>
      </c>
      <c r="V198" s="3">
        <f>IF(T198=0,"",X198/T198)</f>
        <v>0.23072433422837293</v>
      </c>
      <c r="W198" s="1">
        <v>755.04</v>
      </c>
      <c r="X198" s="1">
        <f>T198-U198</f>
        <v>755.04100000000017</v>
      </c>
      <c r="Y198" s="1" t="s">
        <v>40</v>
      </c>
      <c r="Z198" s="1" t="s">
        <v>41</v>
      </c>
      <c r="AA198" s="1">
        <f t="shared" si="15"/>
        <v>3</v>
      </c>
      <c r="AB198" s="2" t="str">
        <f t="shared" si="19"/>
        <v>Clean</v>
      </c>
      <c r="AC198" s="2"/>
    </row>
    <row r="199" spans="1:29">
      <c r="A199" s="1" t="s">
        <v>704</v>
      </c>
      <c r="B199" s="2">
        <v>45747</v>
      </c>
      <c r="C199" s="2" t="str">
        <f t="shared" si="16"/>
        <v>March</v>
      </c>
      <c r="D199" s="1">
        <f t="shared" si="17"/>
        <v>2025</v>
      </c>
      <c r="E199" s="2">
        <v>45842</v>
      </c>
      <c r="F199" s="1" t="s">
        <v>400</v>
      </c>
      <c r="G199" s="1" t="s">
        <v>126</v>
      </c>
      <c r="H199" s="1" t="s">
        <v>45</v>
      </c>
      <c r="I199" s="1" t="s">
        <v>46</v>
      </c>
      <c r="J199" s="1" t="s">
        <v>153</v>
      </c>
      <c r="K199" s="1" t="s">
        <v>154</v>
      </c>
      <c r="L199" s="1" t="s">
        <v>36</v>
      </c>
      <c r="M199" s="1" t="s">
        <v>132</v>
      </c>
      <c r="N199" s="1" t="s">
        <v>705</v>
      </c>
      <c r="O199" s="1" t="s">
        <v>39</v>
      </c>
      <c r="P199" s="1">
        <v>5</v>
      </c>
      <c r="Q199" s="1">
        <v>4096.4399999999996</v>
      </c>
      <c r="R199" s="1">
        <v>0.15</v>
      </c>
      <c r="S199" s="1">
        <v>17409.87</v>
      </c>
      <c r="T199" s="1">
        <f t="shared" si="18"/>
        <v>17409.869999999995</v>
      </c>
      <c r="U199" s="1">
        <v>14076.25</v>
      </c>
      <c r="V199" s="3">
        <f>IF(T199=0,"",X199/T199)</f>
        <v>0.19147874165631312</v>
      </c>
      <c r="W199" s="1">
        <v>3333.62</v>
      </c>
      <c r="X199" s="1">
        <f>T199-U199</f>
        <v>3333.6199999999953</v>
      </c>
      <c r="Y199" s="1" t="s">
        <v>40</v>
      </c>
      <c r="Z199" s="1" t="s">
        <v>41</v>
      </c>
      <c r="AA199" s="1">
        <f t="shared" si="15"/>
        <v>95</v>
      </c>
      <c r="AB199" s="2" t="str">
        <f t="shared" si="19"/>
        <v>Clean</v>
      </c>
      <c r="AC199" s="2"/>
    </row>
    <row r="200" spans="1:29">
      <c r="A200" s="1" t="s">
        <v>706</v>
      </c>
      <c r="B200" s="2">
        <v>45418</v>
      </c>
      <c r="C200" s="2" t="str">
        <f t="shared" si="16"/>
        <v>May</v>
      </c>
      <c r="D200" s="1">
        <f t="shared" si="17"/>
        <v>2024</v>
      </c>
      <c r="E200" s="2">
        <v>45449</v>
      </c>
      <c r="F200" s="1" t="s">
        <v>707</v>
      </c>
      <c r="G200" s="1" t="s">
        <v>140</v>
      </c>
      <c r="H200" s="1" t="s">
        <v>32</v>
      </c>
      <c r="I200" s="1" t="s">
        <v>71</v>
      </c>
      <c r="J200" s="1" t="s">
        <v>188</v>
      </c>
      <c r="K200" s="1" t="s">
        <v>189</v>
      </c>
      <c r="L200" s="1" t="s">
        <v>36</v>
      </c>
      <c r="M200" s="1" t="s">
        <v>56</v>
      </c>
      <c r="N200" s="1" t="s">
        <v>708</v>
      </c>
      <c r="O200" s="1" t="s">
        <v>39</v>
      </c>
      <c r="P200" s="1">
        <v>1</v>
      </c>
      <c r="Q200" s="1">
        <v>1184.58</v>
      </c>
      <c r="R200" s="1">
        <v>0.05</v>
      </c>
      <c r="S200" s="1">
        <v>1125.3499999999999</v>
      </c>
      <c r="T200" s="1">
        <f t="shared" si="18"/>
        <v>1125.3509999999999</v>
      </c>
      <c r="U200" s="1">
        <v>676.97</v>
      </c>
      <c r="V200" s="3">
        <f>IF(T200=0,"",X200/T200)</f>
        <v>0.39843657667696558</v>
      </c>
      <c r="W200" s="1">
        <v>448.38</v>
      </c>
      <c r="X200" s="1">
        <f>T200-U200</f>
        <v>448.38099999999986</v>
      </c>
      <c r="Y200" s="1" t="s">
        <v>163</v>
      </c>
      <c r="Z200" s="1" t="s">
        <v>76</v>
      </c>
      <c r="AA200" s="1">
        <f t="shared" si="15"/>
        <v>31</v>
      </c>
      <c r="AB200" s="2" t="str">
        <f t="shared" si="19"/>
        <v>Clean</v>
      </c>
      <c r="AC200" s="2"/>
    </row>
    <row r="201" spans="1:29">
      <c r="A201" s="1" t="s">
        <v>709</v>
      </c>
      <c r="B201" s="2">
        <v>45363</v>
      </c>
      <c r="C201" s="2" t="str">
        <f t="shared" si="16"/>
        <v>March</v>
      </c>
      <c r="D201" s="1">
        <f t="shared" si="17"/>
        <v>2024</v>
      </c>
      <c r="E201" s="2">
        <v>45629</v>
      </c>
      <c r="F201" s="1" t="s">
        <v>710</v>
      </c>
      <c r="G201" s="1" t="s">
        <v>126</v>
      </c>
      <c r="H201" s="1" t="s">
        <v>103</v>
      </c>
      <c r="I201" s="1" t="s">
        <v>46</v>
      </c>
      <c r="J201" s="1" t="s">
        <v>153</v>
      </c>
      <c r="K201" s="1" t="s">
        <v>154</v>
      </c>
      <c r="L201" s="1" t="s">
        <v>82</v>
      </c>
      <c r="M201" s="1" t="s">
        <v>283</v>
      </c>
      <c r="N201" s="1" t="s">
        <v>711</v>
      </c>
      <c r="O201" s="1" t="s">
        <v>213</v>
      </c>
      <c r="P201" s="1">
        <v>6</v>
      </c>
      <c r="Q201" s="1">
        <v>2185.58</v>
      </c>
      <c r="R201" s="1">
        <v>0.25</v>
      </c>
      <c r="S201" s="1">
        <v>9835.11</v>
      </c>
      <c r="T201" s="1">
        <f t="shared" si="18"/>
        <v>9835.11</v>
      </c>
      <c r="U201" s="1">
        <v>5437.64</v>
      </c>
      <c r="V201" s="3">
        <f>IF(T201=0,"",X201/T201)</f>
        <v>0.44711955433136996</v>
      </c>
      <c r="W201" s="1">
        <v>4397.47</v>
      </c>
      <c r="X201" s="1">
        <f>T201-U201</f>
        <v>4397.47</v>
      </c>
      <c r="Y201" s="1" t="s">
        <v>40</v>
      </c>
      <c r="Z201" s="1" t="s">
        <v>41</v>
      </c>
      <c r="AA201" s="1">
        <f t="shared" si="15"/>
        <v>266</v>
      </c>
      <c r="AB201" s="2" t="str">
        <f t="shared" si="19"/>
        <v>Warning</v>
      </c>
      <c r="AC201" s="2"/>
    </row>
    <row r="202" spans="1:29">
      <c r="A202" s="1" t="s">
        <v>712</v>
      </c>
      <c r="B202" s="2">
        <v>45835</v>
      </c>
      <c r="C202" s="2" t="str">
        <f t="shared" si="16"/>
        <v>June</v>
      </c>
      <c r="D202" s="1">
        <f t="shared" si="17"/>
        <v>2025</v>
      </c>
      <c r="E202" s="2">
        <v>45784</v>
      </c>
      <c r="F202" s="1" t="s">
        <v>713</v>
      </c>
      <c r="G202" s="1" t="s">
        <v>122</v>
      </c>
      <c r="H202" s="1" t="s">
        <v>45</v>
      </c>
      <c r="I202" s="1" t="s">
        <v>33</v>
      </c>
      <c r="J202" s="1" t="s">
        <v>34</v>
      </c>
      <c r="K202" s="1" t="s">
        <v>35</v>
      </c>
      <c r="L202" s="1" t="s">
        <v>82</v>
      </c>
      <c r="M202" s="1" t="s">
        <v>88</v>
      </c>
      <c r="N202" s="1" t="s">
        <v>714</v>
      </c>
      <c r="O202" s="1" t="s">
        <v>58</v>
      </c>
      <c r="P202" s="1">
        <v>5</v>
      </c>
      <c r="Q202" s="1">
        <v>2868.44</v>
      </c>
      <c r="R202" s="1">
        <v>0.1</v>
      </c>
      <c r="S202" s="1">
        <v>12907.98</v>
      </c>
      <c r="T202" s="1">
        <f t="shared" si="18"/>
        <v>12907.980000000001</v>
      </c>
      <c r="U202" s="1">
        <v>9197.08</v>
      </c>
      <c r="V202" s="3">
        <f>IF(T202=0,"",X202/T202)</f>
        <v>0.28748882474252369</v>
      </c>
      <c r="W202" s="1">
        <v>3710.9</v>
      </c>
      <c r="X202" s="1">
        <f>T202-U202</f>
        <v>3710.9000000000015</v>
      </c>
      <c r="Y202" s="1" t="s">
        <v>119</v>
      </c>
      <c r="Z202" s="1" t="s">
        <v>76</v>
      </c>
      <c r="AA202" s="4">
        <f t="shared" si="15"/>
        <v>-51</v>
      </c>
      <c r="AB202" s="2" t="str">
        <f t="shared" si="19"/>
        <v>Invalid</v>
      </c>
      <c r="AC202" s="2"/>
    </row>
    <row r="203" spans="1:29">
      <c r="A203" s="1" t="s">
        <v>715</v>
      </c>
      <c r="B203" s="2">
        <v>45864</v>
      </c>
      <c r="C203" s="2" t="str">
        <f t="shared" si="16"/>
        <v>July</v>
      </c>
      <c r="D203" s="1">
        <f t="shared" si="17"/>
        <v>2025</v>
      </c>
      <c r="E203" s="2">
        <v>45872</v>
      </c>
      <c r="F203" s="1" t="s">
        <v>716</v>
      </c>
      <c r="G203" s="1" t="s">
        <v>79</v>
      </c>
      <c r="H203" s="1" t="s">
        <v>32</v>
      </c>
      <c r="I203" s="1" t="s">
        <v>71</v>
      </c>
      <c r="J203" s="1" t="s">
        <v>80</v>
      </c>
      <c r="K203" s="1" t="s">
        <v>81</v>
      </c>
      <c r="L203" s="1" t="s">
        <v>36</v>
      </c>
      <c r="M203" s="1" t="s">
        <v>99</v>
      </c>
      <c r="N203" s="1" t="s">
        <v>717</v>
      </c>
      <c r="O203" s="1" t="s">
        <v>39</v>
      </c>
      <c r="P203" s="1">
        <v>2</v>
      </c>
      <c r="Q203" s="1">
        <v>2503.5300000000002</v>
      </c>
      <c r="R203" s="4">
        <v>-0.16</v>
      </c>
      <c r="S203" s="1">
        <v>4756.71</v>
      </c>
      <c r="T203" s="4">
        <f t="shared" si="18"/>
        <v>5808.1895999999997</v>
      </c>
      <c r="U203" s="1">
        <v>2954.86</v>
      </c>
      <c r="V203" s="3"/>
      <c r="W203" s="1">
        <v>1801.85</v>
      </c>
      <c r="X203" s="1"/>
      <c r="Y203" s="1" t="s">
        <v>110</v>
      </c>
      <c r="Z203" s="1" t="s">
        <v>76</v>
      </c>
      <c r="AA203" s="1">
        <f t="shared" si="15"/>
        <v>8</v>
      </c>
      <c r="AB203" s="2" t="str">
        <f t="shared" si="19"/>
        <v>Invalid</v>
      </c>
      <c r="AC203" s="2"/>
    </row>
    <row r="204" spans="1:29">
      <c r="A204" s="1" t="s">
        <v>718</v>
      </c>
      <c r="B204" s="2">
        <v>45744</v>
      </c>
      <c r="C204" s="2" t="str">
        <f t="shared" si="16"/>
        <v>March</v>
      </c>
      <c r="D204" s="1">
        <f t="shared" si="17"/>
        <v>2025</v>
      </c>
      <c r="E204" s="2">
        <v>45744</v>
      </c>
      <c r="F204" s="1" t="s">
        <v>719</v>
      </c>
      <c r="G204" s="1" t="s">
        <v>140</v>
      </c>
      <c r="H204" s="1" t="s">
        <v>98</v>
      </c>
      <c r="I204" s="1" t="s">
        <v>71</v>
      </c>
      <c r="J204" s="1" t="s">
        <v>198</v>
      </c>
      <c r="K204" s="1" t="s">
        <v>199</v>
      </c>
      <c r="L204" s="1" t="s">
        <v>82</v>
      </c>
      <c r="M204" s="1" t="s">
        <v>83</v>
      </c>
      <c r="N204" s="1" t="s">
        <v>720</v>
      </c>
      <c r="O204" s="1" t="s">
        <v>67</v>
      </c>
      <c r="P204" s="1">
        <v>8</v>
      </c>
      <c r="Q204" s="1">
        <v>1740.94</v>
      </c>
      <c r="R204" s="1">
        <v>0.05</v>
      </c>
      <c r="S204" s="1">
        <v>13231.14</v>
      </c>
      <c r="T204" s="1">
        <f t="shared" si="18"/>
        <v>13231.144</v>
      </c>
      <c r="U204" s="1">
        <v>11290.06</v>
      </c>
      <c r="V204" s="3">
        <f>IF(T204=0,"",X204/T204)</f>
        <v>0.14670568168557463</v>
      </c>
      <c r="W204" s="1">
        <v>1941.08</v>
      </c>
      <c r="X204" s="1">
        <f>T204-U204</f>
        <v>1941.0840000000007</v>
      </c>
      <c r="Y204" s="1" t="s">
        <v>40</v>
      </c>
      <c r="Z204" s="1" t="s">
        <v>41</v>
      </c>
      <c r="AA204" s="1">
        <f t="shared" si="15"/>
        <v>0</v>
      </c>
      <c r="AB204" s="2" t="str">
        <f t="shared" si="19"/>
        <v>Clean</v>
      </c>
      <c r="AC204" s="2"/>
    </row>
    <row r="205" spans="1:29">
      <c r="A205" s="1" t="s">
        <v>721</v>
      </c>
      <c r="B205" s="2">
        <v>45379</v>
      </c>
      <c r="C205" s="2" t="str">
        <f t="shared" si="16"/>
        <v>March</v>
      </c>
      <c r="D205" s="1">
        <f t="shared" si="17"/>
        <v>2024</v>
      </c>
      <c r="E205" s="2">
        <v>45381</v>
      </c>
      <c r="F205" s="1" t="s">
        <v>722</v>
      </c>
      <c r="G205" s="1" t="s">
        <v>140</v>
      </c>
      <c r="H205" s="1" t="s">
        <v>98</v>
      </c>
      <c r="I205" s="1" t="s">
        <v>71</v>
      </c>
      <c r="J205" s="1" t="s">
        <v>34</v>
      </c>
      <c r="K205" s="1" t="s">
        <v>117</v>
      </c>
      <c r="L205" s="1" t="s">
        <v>82</v>
      </c>
      <c r="M205" s="1" t="s">
        <v>83</v>
      </c>
      <c r="N205" s="1" t="s">
        <v>723</v>
      </c>
      <c r="O205" s="1" t="s">
        <v>39</v>
      </c>
      <c r="P205" s="1">
        <v>1</v>
      </c>
      <c r="Q205" s="1">
        <v>570.34</v>
      </c>
      <c r="R205" s="1">
        <v>0.15</v>
      </c>
      <c r="S205" s="1">
        <v>484.79</v>
      </c>
      <c r="T205" s="1">
        <f t="shared" si="18"/>
        <v>484.78899999999999</v>
      </c>
      <c r="U205" s="1">
        <v>333.54</v>
      </c>
      <c r="V205" s="3">
        <f>IF(T205=0,"",X205/T205)</f>
        <v>0.3119893396921134</v>
      </c>
      <c r="W205" s="1">
        <v>151.25</v>
      </c>
      <c r="X205" s="1">
        <f>T205-U205</f>
        <v>151.24899999999997</v>
      </c>
      <c r="Y205" s="1" t="s">
        <v>40</v>
      </c>
      <c r="Z205" s="1" t="s">
        <v>41</v>
      </c>
      <c r="AA205" s="1">
        <f t="shared" si="15"/>
        <v>2</v>
      </c>
      <c r="AB205" s="2" t="str">
        <f t="shared" si="19"/>
        <v>Clean</v>
      </c>
      <c r="AC205" s="2"/>
    </row>
    <row r="206" spans="1:29">
      <c r="A206" s="1" t="s">
        <v>724</v>
      </c>
      <c r="B206" s="2">
        <v>45858</v>
      </c>
      <c r="C206" s="2" t="str">
        <f t="shared" si="16"/>
        <v>July</v>
      </c>
      <c r="D206" s="1">
        <f t="shared" si="17"/>
        <v>2025</v>
      </c>
      <c r="E206" s="2">
        <v>45861</v>
      </c>
      <c r="F206" s="1" t="s">
        <v>725</v>
      </c>
      <c r="G206" s="1" t="s">
        <v>44</v>
      </c>
      <c r="H206" s="1" t="s">
        <v>103</v>
      </c>
      <c r="I206" s="1" t="s">
        <v>46</v>
      </c>
      <c r="J206" s="1" t="s">
        <v>107</v>
      </c>
      <c r="K206" s="1" t="s">
        <v>108</v>
      </c>
      <c r="L206" s="1" t="s">
        <v>49</v>
      </c>
      <c r="M206" s="1" t="s">
        <v>50</v>
      </c>
      <c r="N206" s="1" t="s">
        <v>726</v>
      </c>
      <c r="O206" s="1" t="s">
        <v>39</v>
      </c>
      <c r="P206" s="1">
        <v>4</v>
      </c>
      <c r="Q206" s="1">
        <v>477.69</v>
      </c>
      <c r="R206" s="1">
        <v>0.15</v>
      </c>
      <c r="S206" s="1">
        <v>1624.15</v>
      </c>
      <c r="T206" s="1">
        <f t="shared" si="18"/>
        <v>1624.146</v>
      </c>
      <c r="U206" s="1">
        <v>1217.99</v>
      </c>
      <c r="V206" s="3">
        <f>IF(T206=0,"",X206/T206)</f>
        <v>0.25007357712914968</v>
      </c>
      <c r="W206" s="1">
        <v>406.16</v>
      </c>
      <c r="X206" s="1">
        <f>T206-U206</f>
        <v>406.15599999999995</v>
      </c>
      <c r="Y206" s="1" t="s">
        <v>40</v>
      </c>
      <c r="Z206" s="1" t="s">
        <v>41</v>
      </c>
      <c r="AA206" s="1">
        <f t="shared" si="15"/>
        <v>3</v>
      </c>
      <c r="AB206" s="2" t="str">
        <f t="shared" si="19"/>
        <v>Clean</v>
      </c>
      <c r="AC206" s="2"/>
    </row>
    <row r="207" spans="1:29">
      <c r="A207" s="1" t="s">
        <v>727</v>
      </c>
      <c r="B207" s="2">
        <v>45768</v>
      </c>
      <c r="C207" s="2" t="str">
        <f t="shared" si="16"/>
        <v>April</v>
      </c>
      <c r="D207" s="1">
        <f t="shared" si="17"/>
        <v>2025</v>
      </c>
      <c r="E207" s="2">
        <v>45773</v>
      </c>
      <c r="F207" s="1" t="s">
        <v>728</v>
      </c>
      <c r="G207" s="1" t="s">
        <v>70</v>
      </c>
      <c r="H207" s="1" t="s">
        <v>32</v>
      </c>
      <c r="I207" s="1" t="s">
        <v>71</v>
      </c>
      <c r="J207" s="1" t="s">
        <v>72</v>
      </c>
      <c r="K207" s="1" t="s">
        <v>73</v>
      </c>
      <c r="L207" s="1" t="s">
        <v>36</v>
      </c>
      <c r="M207" s="1" t="s">
        <v>99</v>
      </c>
      <c r="N207" s="1" t="s">
        <v>729</v>
      </c>
      <c r="O207" s="1" t="s">
        <v>52</v>
      </c>
      <c r="P207" s="1">
        <v>6</v>
      </c>
      <c r="Q207" s="1">
        <v>873.59</v>
      </c>
      <c r="R207" s="1">
        <v>0.2</v>
      </c>
      <c r="S207" s="1">
        <v>4193.2299999999996</v>
      </c>
      <c r="T207" s="1">
        <f t="shared" si="18"/>
        <v>4193.232</v>
      </c>
      <c r="U207" s="1">
        <v>3329.99</v>
      </c>
      <c r="V207" s="3">
        <f>IF(T207=0,"",X207/T207)</f>
        <v>0.2058655471483572</v>
      </c>
      <c r="W207" s="1">
        <v>863.24</v>
      </c>
      <c r="X207" s="1">
        <f>T207-U207</f>
        <v>863.24200000000019</v>
      </c>
      <c r="Y207" s="1" t="s">
        <v>40</v>
      </c>
      <c r="Z207" s="1" t="s">
        <v>41</v>
      </c>
      <c r="AA207" s="1">
        <f t="shared" si="15"/>
        <v>5</v>
      </c>
      <c r="AB207" s="2" t="str">
        <f t="shared" si="19"/>
        <v>Clean</v>
      </c>
      <c r="AC207" s="2"/>
    </row>
    <row r="208" spans="1:29">
      <c r="A208" s="1" t="s">
        <v>730</v>
      </c>
      <c r="B208" s="2">
        <v>45795</v>
      </c>
      <c r="C208" s="2" t="str">
        <f t="shared" si="16"/>
        <v>May</v>
      </c>
      <c r="D208" s="1">
        <f t="shared" si="17"/>
        <v>2025</v>
      </c>
      <c r="E208" s="2">
        <v>45797</v>
      </c>
      <c r="F208" s="1" t="s">
        <v>731</v>
      </c>
      <c r="G208" s="1" t="s">
        <v>170</v>
      </c>
      <c r="H208" s="1" t="s">
        <v>45</v>
      </c>
      <c r="I208" s="1" t="s">
        <v>33</v>
      </c>
      <c r="J208" s="1" t="s">
        <v>144</v>
      </c>
      <c r="K208" s="1" t="s">
        <v>145</v>
      </c>
      <c r="L208" s="1" t="s">
        <v>49</v>
      </c>
      <c r="M208" s="1" t="s">
        <v>65</v>
      </c>
      <c r="N208" s="1" t="s">
        <v>732</v>
      </c>
      <c r="O208" s="1" t="s">
        <v>58</v>
      </c>
      <c r="P208" s="1">
        <v>2</v>
      </c>
      <c r="Q208" s="1">
        <v>215.13</v>
      </c>
      <c r="R208" s="1">
        <v>0</v>
      </c>
      <c r="S208" s="1">
        <v>430.26</v>
      </c>
      <c r="T208" s="1">
        <f t="shared" si="18"/>
        <v>430.26</v>
      </c>
      <c r="U208" s="1">
        <v>286.38</v>
      </c>
      <c r="V208" s="3">
        <f>IF(T208=0,"",X208/T208)</f>
        <v>0.33440245432994004</v>
      </c>
      <c r="W208" s="1">
        <v>143.88</v>
      </c>
      <c r="X208" s="1">
        <f>T208-U208</f>
        <v>143.88</v>
      </c>
      <c r="Y208" s="1" t="s">
        <v>40</v>
      </c>
      <c r="Z208" s="1" t="s">
        <v>41</v>
      </c>
      <c r="AA208" s="1">
        <f t="shared" si="15"/>
        <v>2</v>
      </c>
      <c r="AB208" s="2" t="str">
        <f t="shared" si="19"/>
        <v>Clean</v>
      </c>
      <c r="AC208" s="2"/>
    </row>
    <row r="209" spans="1:29">
      <c r="A209" s="1" t="s">
        <v>733</v>
      </c>
      <c r="B209" s="2">
        <v>45572</v>
      </c>
      <c r="C209" s="2" t="str">
        <f t="shared" si="16"/>
        <v>October</v>
      </c>
      <c r="D209" s="1">
        <f t="shared" si="17"/>
        <v>2024</v>
      </c>
      <c r="E209" s="2">
        <v>45489</v>
      </c>
      <c r="F209" s="1" t="s">
        <v>734</v>
      </c>
      <c r="G209" s="1" t="s">
        <v>136</v>
      </c>
      <c r="H209" s="1" t="s">
        <v>103</v>
      </c>
      <c r="I209" s="1" t="s">
        <v>71</v>
      </c>
      <c r="J209" s="1" t="s">
        <v>198</v>
      </c>
      <c r="K209" s="1" t="s">
        <v>199</v>
      </c>
      <c r="L209" s="1" t="s">
        <v>49</v>
      </c>
      <c r="M209" s="1" t="s">
        <v>166</v>
      </c>
      <c r="N209" s="1" t="s">
        <v>735</v>
      </c>
      <c r="O209" s="1" t="s">
        <v>39</v>
      </c>
      <c r="P209" s="1">
        <v>2</v>
      </c>
      <c r="Q209" s="1">
        <v>1095.45</v>
      </c>
      <c r="R209" s="1">
        <v>0.2</v>
      </c>
      <c r="S209" s="1">
        <v>1752.72</v>
      </c>
      <c r="T209" s="1">
        <f t="shared" si="18"/>
        <v>1752.7200000000003</v>
      </c>
      <c r="U209" s="1">
        <v>996.41</v>
      </c>
      <c r="V209" s="3">
        <f>IF(T209=0,"",X209/T209)</f>
        <v>0.43150645853302305</v>
      </c>
      <c r="W209" s="1">
        <v>756.31</v>
      </c>
      <c r="X209" s="1">
        <f>T209-U209</f>
        <v>756.31000000000029</v>
      </c>
      <c r="Y209" s="1" t="s">
        <v>40</v>
      </c>
      <c r="Z209" s="1" t="s">
        <v>41</v>
      </c>
      <c r="AA209" s="4">
        <f t="shared" si="15"/>
        <v>-83</v>
      </c>
      <c r="AB209" s="2" t="str">
        <f t="shared" si="19"/>
        <v>Invalid</v>
      </c>
      <c r="AC209" s="2"/>
    </row>
    <row r="210" spans="1:29">
      <c r="A210" s="1" t="s">
        <v>736</v>
      </c>
      <c r="B210" s="2">
        <v>45837</v>
      </c>
      <c r="C210" s="2" t="str">
        <f t="shared" si="16"/>
        <v>June</v>
      </c>
      <c r="D210" s="1">
        <f t="shared" si="17"/>
        <v>2025</v>
      </c>
      <c r="E210" s="2">
        <v>45784</v>
      </c>
      <c r="F210" s="1" t="s">
        <v>737</v>
      </c>
      <c r="G210" s="1" t="s">
        <v>170</v>
      </c>
      <c r="H210" s="1" t="s">
        <v>32</v>
      </c>
      <c r="I210" s="1" t="s">
        <v>33</v>
      </c>
      <c r="J210" s="1" t="s">
        <v>130</v>
      </c>
      <c r="K210" s="1" t="s">
        <v>131</v>
      </c>
      <c r="L210" s="1" t="s">
        <v>49</v>
      </c>
      <c r="M210" s="1" t="s">
        <v>74</v>
      </c>
      <c r="N210" s="1" t="s">
        <v>738</v>
      </c>
      <c r="O210" s="1" t="s">
        <v>52</v>
      </c>
      <c r="P210" s="1">
        <v>1</v>
      </c>
      <c r="Q210" s="1">
        <v>999.83</v>
      </c>
      <c r="R210" s="1">
        <v>0</v>
      </c>
      <c r="S210" s="1">
        <v>999.83</v>
      </c>
      <c r="T210" s="1">
        <f t="shared" si="18"/>
        <v>999.83</v>
      </c>
      <c r="U210" s="1">
        <v>634.91</v>
      </c>
      <c r="V210" s="3">
        <f>IF(T210=0,"",X210/T210)</f>
        <v>0.3649820469479812</v>
      </c>
      <c r="W210" s="1">
        <v>364.92</v>
      </c>
      <c r="X210" s="1">
        <f>T210-U210</f>
        <v>364.92000000000007</v>
      </c>
      <c r="Y210" s="1" t="s">
        <v>40</v>
      </c>
      <c r="Z210" s="1" t="s">
        <v>41</v>
      </c>
      <c r="AA210" s="4">
        <f t="shared" si="15"/>
        <v>-53</v>
      </c>
      <c r="AB210" s="2" t="str">
        <f t="shared" si="19"/>
        <v>Invalid</v>
      </c>
      <c r="AC210" s="2"/>
    </row>
    <row r="211" spans="1:29">
      <c r="A211" s="1" t="s">
        <v>739</v>
      </c>
      <c r="B211" s="2">
        <v>45882</v>
      </c>
      <c r="C211" s="2" t="str">
        <f t="shared" si="16"/>
        <v>August</v>
      </c>
      <c r="D211" s="1">
        <f t="shared" si="17"/>
        <v>2025</v>
      </c>
      <c r="E211" s="2">
        <v>45883</v>
      </c>
      <c r="F211" s="1" t="s">
        <v>740</v>
      </c>
      <c r="G211" s="1" t="s">
        <v>149</v>
      </c>
      <c r="H211" s="1" t="s">
        <v>45</v>
      </c>
      <c r="I211" s="1" t="s">
        <v>62</v>
      </c>
      <c r="J211" s="1" t="s">
        <v>92</v>
      </c>
      <c r="K211" s="1" t="s">
        <v>93</v>
      </c>
      <c r="L211" s="1" t="s">
        <v>36</v>
      </c>
      <c r="M211" s="1" t="s">
        <v>37</v>
      </c>
      <c r="N211" s="1" t="s">
        <v>741</v>
      </c>
      <c r="O211" s="1" t="s">
        <v>58</v>
      </c>
      <c r="P211" s="1">
        <v>9</v>
      </c>
      <c r="Q211" s="1">
        <v>864.98</v>
      </c>
      <c r="R211" s="1">
        <v>0.1</v>
      </c>
      <c r="S211" s="1">
        <v>7006.34</v>
      </c>
      <c r="T211" s="1">
        <f t="shared" si="18"/>
        <v>7006.3379999999997</v>
      </c>
      <c r="U211" s="1">
        <v>4640.88</v>
      </c>
      <c r="V211" s="3">
        <f>IF(T211=0,"",X211/T211)</f>
        <v>0.33761688345609359</v>
      </c>
      <c r="W211" s="1">
        <v>2365.46</v>
      </c>
      <c r="X211" s="1">
        <f>T211-U211</f>
        <v>2365.4579999999996</v>
      </c>
      <c r="Y211" s="1" t="s">
        <v>40</v>
      </c>
      <c r="Z211" s="1" t="s">
        <v>41</v>
      </c>
      <c r="AA211" s="1">
        <f t="shared" si="15"/>
        <v>1</v>
      </c>
      <c r="AB211" s="2" t="str">
        <f t="shared" si="19"/>
        <v>Clean</v>
      </c>
      <c r="AC211" s="2"/>
    </row>
    <row r="212" spans="1:29">
      <c r="A212" s="1" t="s">
        <v>742</v>
      </c>
      <c r="B212" s="2">
        <v>45366</v>
      </c>
      <c r="C212" s="2" t="str">
        <f t="shared" si="16"/>
        <v>March</v>
      </c>
      <c r="D212" s="1">
        <f t="shared" si="17"/>
        <v>2024</v>
      </c>
      <c r="E212" s="2">
        <v>45369</v>
      </c>
      <c r="F212" s="1" t="s">
        <v>743</v>
      </c>
      <c r="G212" s="1" t="s">
        <v>273</v>
      </c>
      <c r="H212" s="1" t="s">
        <v>103</v>
      </c>
      <c r="I212" s="1" t="s">
        <v>62</v>
      </c>
      <c r="J212" s="1" t="s">
        <v>183</v>
      </c>
      <c r="K212" s="1" t="s">
        <v>184</v>
      </c>
      <c r="L212" s="1" t="s">
        <v>82</v>
      </c>
      <c r="M212" s="1" t="s">
        <v>283</v>
      </c>
      <c r="N212" s="1" t="s">
        <v>744</v>
      </c>
      <c r="O212" s="1" t="s">
        <v>39</v>
      </c>
      <c r="P212" s="1">
        <v>1</v>
      </c>
      <c r="Q212" s="1">
        <v>4131.3599999999997</v>
      </c>
      <c r="R212" s="1">
        <v>0</v>
      </c>
      <c r="S212" s="1">
        <v>4131.3599999999997</v>
      </c>
      <c r="T212" s="1">
        <f t="shared" si="18"/>
        <v>4131.3599999999997</v>
      </c>
      <c r="U212" s="1">
        <v>2937.07</v>
      </c>
      <c r="V212" s="3">
        <f>IF(T212=0,"",X212/T212)</f>
        <v>0.28907914100925591</v>
      </c>
      <c r="W212" s="1">
        <v>1194.29</v>
      </c>
      <c r="X212" s="1">
        <f>T212-U212</f>
        <v>1194.2899999999995</v>
      </c>
      <c r="Y212" s="1" t="s">
        <v>163</v>
      </c>
      <c r="Z212" s="1" t="s">
        <v>111</v>
      </c>
      <c r="AA212" s="1">
        <f t="shared" si="15"/>
        <v>3</v>
      </c>
      <c r="AB212" s="2" t="str">
        <f t="shared" si="19"/>
        <v>Clean</v>
      </c>
      <c r="AC212" s="2"/>
    </row>
    <row r="213" spans="1:29">
      <c r="A213" s="1" t="s">
        <v>745</v>
      </c>
      <c r="B213" s="2">
        <v>45428</v>
      </c>
      <c r="C213" s="2" t="str">
        <f t="shared" si="16"/>
        <v>May</v>
      </c>
      <c r="D213" s="1">
        <f t="shared" si="17"/>
        <v>2024</v>
      </c>
      <c r="E213" s="2">
        <v>45429</v>
      </c>
      <c r="F213" s="1" t="s">
        <v>746</v>
      </c>
      <c r="G213" s="1" t="s">
        <v>149</v>
      </c>
      <c r="H213" s="1" t="s">
        <v>98</v>
      </c>
      <c r="I213" s="1" t="s">
        <v>46</v>
      </c>
      <c r="J213" s="1" t="s">
        <v>107</v>
      </c>
      <c r="K213" s="1" t="s">
        <v>108</v>
      </c>
      <c r="L213" s="1" t="s">
        <v>82</v>
      </c>
      <c r="M213" s="1" t="s">
        <v>88</v>
      </c>
      <c r="N213" s="1" t="s">
        <v>747</v>
      </c>
      <c r="O213" s="1" t="s">
        <v>39</v>
      </c>
      <c r="P213" s="1">
        <v>8</v>
      </c>
      <c r="Q213" s="1">
        <v>4221.95</v>
      </c>
      <c r="R213" s="1">
        <v>0.2</v>
      </c>
      <c r="S213" s="1">
        <v>27020.48</v>
      </c>
      <c r="T213" s="1">
        <f t="shared" si="18"/>
        <v>27020.48</v>
      </c>
      <c r="U213" s="1">
        <v>22885.24</v>
      </c>
      <c r="V213" s="3">
        <f>IF(T213=0,"",X213/T213)</f>
        <v>0.15304095264036752</v>
      </c>
      <c r="W213" s="1">
        <v>4135.24</v>
      </c>
      <c r="X213" s="1">
        <f>T213-U213</f>
        <v>4135.239999999998</v>
      </c>
      <c r="Y213" s="1" t="s">
        <v>40</v>
      </c>
      <c r="Z213" s="1" t="s">
        <v>41</v>
      </c>
      <c r="AA213" s="1">
        <f t="shared" si="15"/>
        <v>1</v>
      </c>
      <c r="AB213" s="2" t="str">
        <f t="shared" si="19"/>
        <v>Clean</v>
      </c>
      <c r="AC213" s="2"/>
    </row>
    <row r="214" spans="1:29">
      <c r="A214" s="1" t="s">
        <v>748</v>
      </c>
      <c r="B214" s="2">
        <v>45556</v>
      </c>
      <c r="C214" s="2" t="str">
        <f t="shared" si="16"/>
        <v>September</v>
      </c>
      <c r="D214" s="1">
        <f t="shared" si="17"/>
        <v>2024</v>
      </c>
      <c r="E214" s="2">
        <v>45556</v>
      </c>
      <c r="F214" s="1" t="s">
        <v>749</v>
      </c>
      <c r="G214" s="1" t="s">
        <v>70</v>
      </c>
      <c r="H214" s="1" t="s">
        <v>45</v>
      </c>
      <c r="I214" s="1" t="s">
        <v>46</v>
      </c>
      <c r="J214" s="1" t="s">
        <v>47</v>
      </c>
      <c r="K214" s="1" t="s">
        <v>48</v>
      </c>
      <c r="L214" s="1" t="s">
        <v>82</v>
      </c>
      <c r="M214" s="1" t="s">
        <v>179</v>
      </c>
      <c r="N214" s="1" t="s">
        <v>750</v>
      </c>
      <c r="O214" s="1" t="s">
        <v>52</v>
      </c>
      <c r="P214" s="1">
        <v>2</v>
      </c>
      <c r="Q214" s="1">
        <v>214.5</v>
      </c>
      <c r="R214" s="1">
        <v>0.15</v>
      </c>
      <c r="S214" s="1">
        <v>364.65</v>
      </c>
      <c r="T214" s="1">
        <f t="shared" si="18"/>
        <v>364.65</v>
      </c>
      <c r="U214" s="1">
        <v>280.74</v>
      </c>
      <c r="V214" s="3">
        <f>IF(T214=0,"",X214/T214)</f>
        <v>0.23011106540518297</v>
      </c>
      <c r="W214" s="1">
        <v>83.91</v>
      </c>
      <c r="X214" s="1">
        <f>T214-U214</f>
        <v>83.909999999999968</v>
      </c>
      <c r="Y214" s="1" t="s">
        <v>40</v>
      </c>
      <c r="Z214" s="1" t="s">
        <v>41</v>
      </c>
      <c r="AA214" s="1">
        <f t="shared" si="15"/>
        <v>0</v>
      </c>
      <c r="AB214" s="2" t="str">
        <f t="shared" si="19"/>
        <v>Clean</v>
      </c>
      <c r="AC214" s="2"/>
    </row>
    <row r="215" spans="1:29">
      <c r="A215" s="1" t="s">
        <v>751</v>
      </c>
      <c r="B215" s="2">
        <v>45427</v>
      </c>
      <c r="C215" s="2" t="str">
        <f t="shared" si="16"/>
        <v>May</v>
      </c>
      <c r="D215" s="1">
        <f t="shared" si="17"/>
        <v>2024</v>
      </c>
      <c r="E215" s="2">
        <v>45433</v>
      </c>
      <c r="F215" s="1" t="s">
        <v>752</v>
      </c>
      <c r="G215" s="1" t="s">
        <v>55</v>
      </c>
      <c r="H215" s="1" t="s">
        <v>45</v>
      </c>
      <c r="I215" s="1" t="s">
        <v>46</v>
      </c>
      <c r="J215" s="1" t="s">
        <v>153</v>
      </c>
      <c r="K215" s="1" t="s">
        <v>154</v>
      </c>
      <c r="L215" s="1" t="s">
        <v>82</v>
      </c>
      <c r="M215" s="1" t="s">
        <v>83</v>
      </c>
      <c r="N215" s="1" t="s">
        <v>753</v>
      </c>
      <c r="O215" s="1" t="s">
        <v>39</v>
      </c>
      <c r="P215" s="1">
        <v>4</v>
      </c>
      <c r="Q215" s="1">
        <v>4332.7299999999996</v>
      </c>
      <c r="R215" s="1">
        <v>0.2</v>
      </c>
      <c r="S215" s="1">
        <v>13864.74</v>
      </c>
      <c r="T215" s="1">
        <f t="shared" si="18"/>
        <v>13864.735999999999</v>
      </c>
      <c r="U215" s="1">
        <v>11294.06</v>
      </c>
      <c r="V215" s="3">
        <f>IF(T215=0,"",X215/T215)</f>
        <v>0.18541110339208763</v>
      </c>
      <c r="W215" s="1">
        <v>2570.6799999999998</v>
      </c>
      <c r="X215" s="1">
        <f>T215-U215</f>
        <v>2570.6759999999995</v>
      </c>
      <c r="Y215" s="1" t="s">
        <v>40</v>
      </c>
      <c r="Z215" s="1" t="s">
        <v>41</v>
      </c>
      <c r="AA215" s="1">
        <f t="shared" si="15"/>
        <v>6</v>
      </c>
      <c r="AB215" s="2" t="str">
        <f t="shared" si="19"/>
        <v>Clean</v>
      </c>
      <c r="AC215" s="2"/>
    </row>
    <row r="216" spans="1:29">
      <c r="A216" s="1" t="s">
        <v>754</v>
      </c>
      <c r="B216" s="2">
        <v>45368</v>
      </c>
      <c r="C216" s="2" t="str">
        <f t="shared" si="16"/>
        <v>March</v>
      </c>
      <c r="D216" s="1">
        <f t="shared" si="17"/>
        <v>2024</v>
      </c>
      <c r="E216" s="2">
        <v>45374</v>
      </c>
      <c r="F216" s="1" t="s">
        <v>755</v>
      </c>
      <c r="G216" s="1" t="s">
        <v>126</v>
      </c>
      <c r="H216" s="1" t="s">
        <v>32</v>
      </c>
      <c r="I216" s="1" t="s">
        <v>33</v>
      </c>
      <c r="J216" s="1" t="s">
        <v>245</v>
      </c>
      <c r="K216" s="1" t="s">
        <v>246</v>
      </c>
      <c r="L216" s="1" t="s">
        <v>82</v>
      </c>
      <c r="M216" s="1" t="s">
        <v>83</v>
      </c>
      <c r="N216" s="1" t="s">
        <v>756</v>
      </c>
      <c r="O216" s="1" t="s">
        <v>58</v>
      </c>
      <c r="P216" s="1">
        <v>3</v>
      </c>
      <c r="Q216" s="1">
        <v>248.18</v>
      </c>
      <c r="R216" s="1">
        <v>0.05</v>
      </c>
      <c r="S216" s="1">
        <v>707.31</v>
      </c>
      <c r="T216" s="1">
        <f t="shared" si="18"/>
        <v>707.31299999999999</v>
      </c>
      <c r="U216" s="1">
        <v>569</v>
      </c>
      <c r="V216" s="3">
        <f>IF(T216=0,"",X216/T216)</f>
        <v>0.19554709159876885</v>
      </c>
      <c r="W216" s="1">
        <v>138.31</v>
      </c>
      <c r="X216" s="1">
        <f>T216-U216</f>
        <v>138.31299999999999</v>
      </c>
      <c r="Y216" s="1" t="s">
        <v>40</v>
      </c>
      <c r="Z216" s="1" t="s">
        <v>41</v>
      </c>
      <c r="AA216" s="1">
        <f t="shared" si="15"/>
        <v>6</v>
      </c>
      <c r="AB216" s="2" t="str">
        <f t="shared" si="19"/>
        <v>Clean</v>
      </c>
      <c r="AC216" s="2"/>
    </row>
    <row r="217" spans="1:29">
      <c r="A217" s="1" t="s">
        <v>757</v>
      </c>
      <c r="B217" s="2">
        <v>45294</v>
      </c>
      <c r="C217" s="2" t="str">
        <f t="shared" si="16"/>
        <v>January</v>
      </c>
      <c r="D217" s="1">
        <f t="shared" si="17"/>
        <v>2024</v>
      </c>
      <c r="E217" s="2">
        <v>45385</v>
      </c>
      <c r="F217" s="1" t="s">
        <v>758</v>
      </c>
      <c r="G217" s="1" t="s">
        <v>44</v>
      </c>
      <c r="H217" s="1" t="s">
        <v>32</v>
      </c>
      <c r="I217" s="1" t="s">
        <v>71</v>
      </c>
      <c r="J217" s="1" t="s">
        <v>80</v>
      </c>
      <c r="K217" s="1" t="s">
        <v>81</v>
      </c>
      <c r="L217" s="1" t="s">
        <v>36</v>
      </c>
      <c r="M217" s="1" t="s">
        <v>37</v>
      </c>
      <c r="N217" s="1" t="s">
        <v>759</v>
      </c>
      <c r="O217" s="1" t="s">
        <v>58</v>
      </c>
      <c r="P217" s="1">
        <v>8</v>
      </c>
      <c r="Q217" s="1">
        <v>3202.4</v>
      </c>
      <c r="R217" s="1">
        <v>0.25</v>
      </c>
      <c r="S217" s="1">
        <v>19214.400000000001</v>
      </c>
      <c r="T217" s="1">
        <f t="shared" si="18"/>
        <v>19214.400000000001</v>
      </c>
      <c r="U217" s="1">
        <v>10916.01</v>
      </c>
      <c r="V217" s="3">
        <f>IF(T217=0,"",X217/T217)</f>
        <v>0.43188389957531853</v>
      </c>
      <c r="W217" s="1">
        <v>8298.39</v>
      </c>
      <c r="X217" s="1">
        <f>T217-U217</f>
        <v>8298.3900000000012</v>
      </c>
      <c r="Y217" s="1" t="s">
        <v>40</v>
      </c>
      <c r="Z217" s="1" t="s">
        <v>41</v>
      </c>
      <c r="AA217" s="1">
        <f t="shared" si="15"/>
        <v>91</v>
      </c>
      <c r="AB217" s="2" t="str">
        <f t="shared" si="19"/>
        <v>Clean</v>
      </c>
      <c r="AC217" s="2"/>
    </row>
    <row r="218" spans="1:29">
      <c r="A218" s="1" t="s">
        <v>760</v>
      </c>
      <c r="B218" s="2">
        <v>45757</v>
      </c>
      <c r="C218" s="2" t="str">
        <f t="shared" si="16"/>
        <v>April</v>
      </c>
      <c r="D218" s="1">
        <f t="shared" si="17"/>
        <v>2025</v>
      </c>
      <c r="E218" s="2">
        <v>45762</v>
      </c>
      <c r="F218" s="1" t="s">
        <v>761</v>
      </c>
      <c r="G218" s="1" t="s">
        <v>55</v>
      </c>
      <c r="H218" s="1" t="s">
        <v>32</v>
      </c>
      <c r="I218" s="1" t="s">
        <v>71</v>
      </c>
      <c r="J218" s="1" t="s">
        <v>188</v>
      </c>
      <c r="K218" s="1" t="s">
        <v>189</v>
      </c>
      <c r="L218" s="1" t="s">
        <v>49</v>
      </c>
      <c r="M218" s="1" t="s">
        <v>50</v>
      </c>
      <c r="N218" s="1" t="s">
        <v>762</v>
      </c>
      <c r="O218" s="1" t="s">
        <v>67</v>
      </c>
      <c r="P218" s="1">
        <v>8</v>
      </c>
      <c r="Q218" s="1">
        <v>1839.87</v>
      </c>
      <c r="R218" s="1">
        <v>0.25</v>
      </c>
      <c r="S218" s="1">
        <v>11039.22</v>
      </c>
      <c r="T218" s="1">
        <f t="shared" si="18"/>
        <v>11039.22</v>
      </c>
      <c r="U218" s="1">
        <v>7642.91</v>
      </c>
      <c r="V218" s="3">
        <f>IF(T218=0,"",X218/T218)</f>
        <v>0.30765851210502188</v>
      </c>
      <c r="W218" s="1">
        <v>3396.31</v>
      </c>
      <c r="X218" s="1">
        <f>T218-U218</f>
        <v>3396.3099999999995</v>
      </c>
      <c r="Y218" s="1" t="s">
        <v>163</v>
      </c>
      <c r="Z218" s="1" t="s">
        <v>111</v>
      </c>
      <c r="AA218" s="1">
        <f t="shared" si="15"/>
        <v>5</v>
      </c>
      <c r="AB218" s="2" t="str">
        <f t="shared" si="19"/>
        <v>Clean</v>
      </c>
      <c r="AC218" s="2"/>
    </row>
    <row r="219" spans="1:29">
      <c r="A219" s="1" t="s">
        <v>763</v>
      </c>
      <c r="B219" s="2">
        <v>45661</v>
      </c>
      <c r="C219" s="2" t="str">
        <f t="shared" si="16"/>
        <v>January</v>
      </c>
      <c r="D219" s="1">
        <f t="shared" si="17"/>
        <v>2025</v>
      </c>
      <c r="E219" s="2">
        <v>45755</v>
      </c>
      <c r="F219" s="1" t="s">
        <v>764</v>
      </c>
      <c r="G219" s="1" t="s">
        <v>97</v>
      </c>
      <c r="H219" s="1" t="s">
        <v>32</v>
      </c>
      <c r="I219" s="1" t="s">
        <v>46</v>
      </c>
      <c r="J219" s="1" t="s">
        <v>47</v>
      </c>
      <c r="K219" s="1" t="s">
        <v>48</v>
      </c>
      <c r="L219" s="1" t="s">
        <v>49</v>
      </c>
      <c r="M219" s="1" t="s">
        <v>166</v>
      </c>
      <c r="N219" s="1" t="s">
        <v>765</v>
      </c>
      <c r="O219" s="1" t="s">
        <v>39</v>
      </c>
      <c r="P219" s="1">
        <v>5</v>
      </c>
      <c r="Q219" s="1">
        <v>1021.28</v>
      </c>
      <c r="R219" s="1">
        <v>0.1</v>
      </c>
      <c r="S219" s="1">
        <v>4595.76</v>
      </c>
      <c r="T219" s="1">
        <f t="shared" si="18"/>
        <v>4595.76</v>
      </c>
      <c r="U219" s="1">
        <v>3396.8</v>
      </c>
      <c r="V219" s="3">
        <f>IF(T219=0,"",X219/T219)</f>
        <v>0.26088394520166414</v>
      </c>
      <c r="W219" s="1">
        <v>1198.96</v>
      </c>
      <c r="X219" s="1">
        <f>T219-U219</f>
        <v>1198.96</v>
      </c>
      <c r="Y219" s="1" t="s">
        <v>110</v>
      </c>
      <c r="Z219" s="1" t="s">
        <v>76</v>
      </c>
      <c r="AA219" s="1">
        <f t="shared" si="15"/>
        <v>94</v>
      </c>
      <c r="AB219" s="2" t="str">
        <f t="shared" si="19"/>
        <v>Clean</v>
      </c>
      <c r="AC219" s="2"/>
    </row>
    <row r="220" spans="1:29">
      <c r="A220" s="1" t="s">
        <v>766</v>
      </c>
      <c r="B220" s="2">
        <v>45714</v>
      </c>
      <c r="C220" s="2" t="str">
        <f t="shared" si="16"/>
        <v>February</v>
      </c>
      <c r="D220" s="1">
        <f t="shared" si="17"/>
        <v>2025</v>
      </c>
      <c r="E220" s="2">
        <v>45715</v>
      </c>
      <c r="F220" s="1" t="s">
        <v>767</v>
      </c>
      <c r="G220" s="1" t="s">
        <v>122</v>
      </c>
      <c r="H220" s="1" t="s">
        <v>98</v>
      </c>
      <c r="I220" s="1" t="s">
        <v>71</v>
      </c>
      <c r="J220" s="1" t="s">
        <v>188</v>
      </c>
      <c r="K220" s="1" t="s">
        <v>189</v>
      </c>
      <c r="L220" s="1" t="s">
        <v>49</v>
      </c>
      <c r="M220" s="1" t="s">
        <v>166</v>
      </c>
      <c r="N220" s="1" t="s">
        <v>768</v>
      </c>
      <c r="O220" s="1" t="s">
        <v>67</v>
      </c>
      <c r="P220" s="1">
        <v>5</v>
      </c>
      <c r="Q220" s="1">
        <v>258.27999999999997</v>
      </c>
      <c r="R220" s="1">
        <v>0</v>
      </c>
      <c r="S220" s="1">
        <v>1291.4000000000001</v>
      </c>
      <c r="T220" s="1">
        <f t="shared" si="18"/>
        <v>1291.3999999999999</v>
      </c>
      <c r="U220" s="1">
        <v>756.93</v>
      </c>
      <c r="V220" s="3">
        <f>IF(T220=0,"",X220/T220)</f>
        <v>0.41386866966083319</v>
      </c>
      <c r="W220" s="1">
        <v>534.47</v>
      </c>
      <c r="X220" s="1">
        <f>T220-U220</f>
        <v>534.46999999999991</v>
      </c>
      <c r="Y220" s="1" t="s">
        <v>40</v>
      </c>
      <c r="Z220" s="1" t="s">
        <v>41</v>
      </c>
      <c r="AA220" s="1">
        <f t="shared" si="15"/>
        <v>1</v>
      </c>
      <c r="AB220" s="2" t="str">
        <f t="shared" si="19"/>
        <v>Clean</v>
      </c>
      <c r="AC220" s="2"/>
    </row>
    <row r="221" spans="1:29">
      <c r="A221" s="1" t="s">
        <v>769</v>
      </c>
      <c r="B221" s="2">
        <v>45461</v>
      </c>
      <c r="C221" s="2" t="str">
        <f t="shared" si="16"/>
        <v>June</v>
      </c>
      <c r="D221" s="1">
        <f t="shared" si="17"/>
        <v>2024</v>
      </c>
      <c r="E221" s="2">
        <v>45462</v>
      </c>
      <c r="F221" s="1" t="s">
        <v>770</v>
      </c>
      <c r="G221" s="1" t="s">
        <v>126</v>
      </c>
      <c r="H221" s="1" t="s">
        <v>32</v>
      </c>
      <c r="I221" s="1" t="s">
        <v>46</v>
      </c>
      <c r="J221" s="1" t="s">
        <v>153</v>
      </c>
      <c r="K221" s="1" t="s">
        <v>154</v>
      </c>
      <c r="L221" s="1" t="s">
        <v>82</v>
      </c>
      <c r="M221" s="1" t="s">
        <v>283</v>
      </c>
      <c r="N221" s="1" t="s">
        <v>771</v>
      </c>
      <c r="O221" s="1" t="s">
        <v>58</v>
      </c>
      <c r="P221" s="1">
        <v>2</v>
      </c>
      <c r="Q221" s="1">
        <v>121.49</v>
      </c>
      <c r="R221" s="1">
        <v>0.85</v>
      </c>
      <c r="S221" s="1">
        <v>242.98</v>
      </c>
      <c r="T221" s="1">
        <f t="shared" si="18"/>
        <v>36.447000000000003</v>
      </c>
      <c r="U221" s="1">
        <v>161.41999999999999</v>
      </c>
      <c r="V221" s="3">
        <f>IF(T221=0,"",X221/T221)</f>
        <v>-3.4288967541910162</v>
      </c>
      <c r="W221" s="1">
        <v>81.56</v>
      </c>
      <c r="X221" s="1">
        <f>T221-U221</f>
        <v>-124.97299999999998</v>
      </c>
      <c r="Y221" s="1" t="s">
        <v>40</v>
      </c>
      <c r="Z221" s="1" t="s">
        <v>41</v>
      </c>
      <c r="AA221" s="1">
        <f t="shared" si="15"/>
        <v>1</v>
      </c>
      <c r="AB221" s="2" t="str">
        <f t="shared" si="19"/>
        <v>Clean</v>
      </c>
      <c r="AC221" s="2"/>
    </row>
    <row r="222" spans="1:29">
      <c r="A222" s="1" t="s">
        <v>772</v>
      </c>
      <c r="B222" s="2">
        <v>45538</v>
      </c>
      <c r="C222" s="2" t="str">
        <f t="shared" si="16"/>
        <v>September</v>
      </c>
      <c r="D222" s="1">
        <f t="shared" si="17"/>
        <v>2024</v>
      </c>
      <c r="E222" s="2">
        <v>45538</v>
      </c>
      <c r="F222" s="1" t="s">
        <v>773</v>
      </c>
      <c r="G222" s="1" t="s">
        <v>140</v>
      </c>
      <c r="H222" s="1" t="s">
        <v>32</v>
      </c>
      <c r="I222" s="1" t="s">
        <v>62</v>
      </c>
      <c r="J222" s="1" t="s">
        <v>193</v>
      </c>
      <c r="K222" s="1" t="s">
        <v>194</v>
      </c>
      <c r="L222" s="1" t="s">
        <v>36</v>
      </c>
      <c r="M222" s="1" t="s">
        <v>132</v>
      </c>
      <c r="N222" s="1" t="s">
        <v>774</v>
      </c>
      <c r="O222" s="1" t="s">
        <v>58</v>
      </c>
      <c r="P222" s="1">
        <v>4</v>
      </c>
      <c r="Q222" s="1">
        <v>2810.17</v>
      </c>
      <c r="R222" s="1">
        <v>0.15</v>
      </c>
      <c r="S222" s="1">
        <v>9554.58</v>
      </c>
      <c r="T222" s="1">
        <f t="shared" si="18"/>
        <v>9554.5779999999995</v>
      </c>
      <c r="U222" s="1">
        <v>6068.47</v>
      </c>
      <c r="V222" s="3">
        <f>IF(T222=0,"",X222/T222)</f>
        <v>0.36486258210462036</v>
      </c>
      <c r="W222" s="1">
        <v>3486.11</v>
      </c>
      <c r="X222" s="1">
        <f>T222-U222</f>
        <v>3486.1079999999993</v>
      </c>
      <c r="Y222" s="1" t="s">
        <v>110</v>
      </c>
      <c r="Z222" s="1" t="s">
        <v>76</v>
      </c>
      <c r="AA222" s="1">
        <f t="shared" si="15"/>
        <v>0</v>
      </c>
      <c r="AB222" s="2" t="str">
        <f t="shared" si="19"/>
        <v>Clean</v>
      </c>
      <c r="AC222" s="2"/>
    </row>
    <row r="223" spans="1:29">
      <c r="A223" s="1" t="s">
        <v>775</v>
      </c>
      <c r="B223" s="2">
        <v>45992</v>
      </c>
      <c r="C223" s="2" t="str">
        <f t="shared" si="16"/>
        <v>December</v>
      </c>
      <c r="D223" s="1">
        <f t="shared" si="17"/>
        <v>2025</v>
      </c>
      <c r="E223" s="2">
        <v>45672</v>
      </c>
      <c r="F223" s="1" t="s">
        <v>776</v>
      </c>
      <c r="G223" s="1" t="s">
        <v>44</v>
      </c>
      <c r="H223" s="1" t="s">
        <v>98</v>
      </c>
      <c r="I223" s="1" t="s">
        <v>62</v>
      </c>
      <c r="J223" s="1" t="s">
        <v>183</v>
      </c>
      <c r="K223" s="1" t="s">
        <v>184</v>
      </c>
      <c r="L223" s="1" t="s">
        <v>49</v>
      </c>
      <c r="M223" s="1" t="s">
        <v>74</v>
      </c>
      <c r="N223" s="1" t="s">
        <v>777</v>
      </c>
      <c r="O223" s="1" t="s">
        <v>52</v>
      </c>
      <c r="P223" s="1">
        <v>4</v>
      </c>
      <c r="Q223" s="1">
        <v>1531.53</v>
      </c>
      <c r="R223" s="1">
        <v>0.2</v>
      </c>
      <c r="S223" s="1">
        <v>4900.8999999999996</v>
      </c>
      <c r="T223" s="1">
        <f t="shared" si="18"/>
        <v>4900.8959999999997</v>
      </c>
      <c r="U223" s="1">
        <v>3552.69</v>
      </c>
      <c r="V223" s="3">
        <f>IF(T223=0,"",X223/T223)</f>
        <v>0.27509377877024932</v>
      </c>
      <c r="W223" s="1">
        <v>1348.21</v>
      </c>
      <c r="X223" s="1">
        <f>T223-U223</f>
        <v>1348.2059999999997</v>
      </c>
      <c r="Y223" s="1" t="s">
        <v>40</v>
      </c>
      <c r="Z223" s="1" t="s">
        <v>41</v>
      </c>
      <c r="AA223" s="4">
        <f t="shared" si="15"/>
        <v>-320</v>
      </c>
      <c r="AB223" s="2" t="str">
        <f t="shared" si="19"/>
        <v>Invalid</v>
      </c>
      <c r="AC223" s="2"/>
    </row>
    <row r="224" spans="1:29">
      <c r="A224" s="1" t="s">
        <v>778</v>
      </c>
      <c r="B224" s="2">
        <v>45776</v>
      </c>
      <c r="C224" s="2" t="str">
        <f t="shared" si="16"/>
        <v>April</v>
      </c>
      <c r="D224" s="1">
        <f t="shared" si="17"/>
        <v>2025</v>
      </c>
      <c r="E224" s="2">
        <v>45693</v>
      </c>
      <c r="F224" s="1" t="s">
        <v>779</v>
      </c>
      <c r="G224" s="1" t="s">
        <v>79</v>
      </c>
      <c r="H224" s="1" t="s">
        <v>45</v>
      </c>
      <c r="I224" s="1" t="s">
        <v>71</v>
      </c>
      <c r="J224" s="1" t="s">
        <v>198</v>
      </c>
      <c r="K224" s="1" t="s">
        <v>199</v>
      </c>
      <c r="L224" s="1" t="s">
        <v>36</v>
      </c>
      <c r="M224" s="1" t="s">
        <v>132</v>
      </c>
      <c r="N224" s="1" t="s">
        <v>780</v>
      </c>
      <c r="O224" s="1" t="s">
        <v>58</v>
      </c>
      <c r="P224" s="1">
        <v>6</v>
      </c>
      <c r="Q224" s="1">
        <v>4308.09</v>
      </c>
      <c r="R224" s="1">
        <v>0</v>
      </c>
      <c r="S224" s="1">
        <v>25848.54</v>
      </c>
      <c r="T224" s="1">
        <f t="shared" si="18"/>
        <v>25848.54</v>
      </c>
      <c r="U224" s="1">
        <v>17729.09</v>
      </c>
      <c r="V224" s="3">
        <f>IF(T224=0,"",X224/T224)</f>
        <v>0.31411638723115504</v>
      </c>
      <c r="W224" s="1">
        <v>8119.45</v>
      </c>
      <c r="X224" s="1">
        <f>T224-U224</f>
        <v>8119.4500000000007</v>
      </c>
      <c r="Y224" s="1" t="s">
        <v>40</v>
      </c>
      <c r="Z224" s="1" t="s">
        <v>41</v>
      </c>
      <c r="AA224" s="4">
        <f t="shared" si="15"/>
        <v>-83</v>
      </c>
      <c r="AB224" s="2" t="str">
        <f t="shared" si="19"/>
        <v>Invalid</v>
      </c>
      <c r="AC224" s="2"/>
    </row>
    <row r="225" spans="1:29">
      <c r="A225" s="1" t="s">
        <v>781</v>
      </c>
      <c r="B225" s="2">
        <v>45707</v>
      </c>
      <c r="C225" s="2" t="str">
        <f t="shared" si="16"/>
        <v>February</v>
      </c>
      <c r="D225" s="1">
        <f t="shared" si="17"/>
        <v>2025</v>
      </c>
      <c r="E225" s="2">
        <v>45714</v>
      </c>
      <c r="F225" s="1" t="s">
        <v>782</v>
      </c>
      <c r="G225" s="1" t="s">
        <v>44</v>
      </c>
      <c r="H225" s="1" t="s">
        <v>98</v>
      </c>
      <c r="I225" s="1" t="s">
        <v>71</v>
      </c>
      <c r="J225" s="1" t="s">
        <v>72</v>
      </c>
      <c r="K225" s="1" t="s">
        <v>73</v>
      </c>
      <c r="L225" s="1" t="s">
        <v>49</v>
      </c>
      <c r="M225" s="1" t="s">
        <v>65</v>
      </c>
      <c r="N225" s="1" t="s">
        <v>783</v>
      </c>
      <c r="O225" s="1" t="s">
        <v>58</v>
      </c>
      <c r="P225" s="1">
        <v>3</v>
      </c>
      <c r="Q225" s="1">
        <v>490.3</v>
      </c>
      <c r="R225" s="1">
        <v>0.2</v>
      </c>
      <c r="S225" s="1">
        <v>1176.72</v>
      </c>
      <c r="T225" s="1">
        <f t="shared" si="18"/>
        <v>1176.72</v>
      </c>
      <c r="U225" s="1">
        <v>654.33000000000004</v>
      </c>
      <c r="V225" s="3">
        <f>IF(T225=0,"",X225/T225)</f>
        <v>0.44393738527432181</v>
      </c>
      <c r="W225" s="1">
        <v>522.39</v>
      </c>
      <c r="X225" s="1">
        <f>T225-U225</f>
        <v>522.39</v>
      </c>
      <c r="Y225" s="1" t="s">
        <v>119</v>
      </c>
      <c r="Z225" s="1" t="s">
        <v>111</v>
      </c>
      <c r="AA225" s="1">
        <f t="shared" si="15"/>
        <v>7</v>
      </c>
      <c r="AB225" s="2" t="str">
        <f t="shared" si="19"/>
        <v>Clean</v>
      </c>
      <c r="AC225" s="2"/>
    </row>
    <row r="226" spans="1:29">
      <c r="A226" s="1" t="s">
        <v>784</v>
      </c>
      <c r="B226" s="2">
        <v>45522</v>
      </c>
      <c r="C226" s="2" t="str">
        <f t="shared" si="16"/>
        <v>August</v>
      </c>
      <c r="D226" s="1">
        <f t="shared" si="17"/>
        <v>2024</v>
      </c>
      <c r="E226" s="2">
        <v>45528</v>
      </c>
      <c r="F226" s="1" t="s">
        <v>785</v>
      </c>
      <c r="G226" s="1" t="s">
        <v>61</v>
      </c>
      <c r="H226" s="1" t="s">
        <v>32</v>
      </c>
      <c r="I226" s="1" t="s">
        <v>62</v>
      </c>
      <c r="J226" s="1" t="s">
        <v>92</v>
      </c>
      <c r="K226" s="1" t="s">
        <v>93</v>
      </c>
      <c r="L226" s="1" t="s">
        <v>49</v>
      </c>
      <c r="M226" s="1" t="s">
        <v>74</v>
      </c>
      <c r="N226" s="1" t="s">
        <v>786</v>
      </c>
      <c r="O226" s="1" t="s">
        <v>58</v>
      </c>
      <c r="P226" s="1">
        <v>7</v>
      </c>
      <c r="Q226" s="1">
        <v>557.21</v>
      </c>
      <c r="R226" s="1">
        <v>0.1</v>
      </c>
      <c r="S226" s="1">
        <v>3510.42</v>
      </c>
      <c r="T226" s="1">
        <f t="shared" si="18"/>
        <v>3510.4230000000002</v>
      </c>
      <c r="U226" s="1">
        <v>2191.5</v>
      </c>
      <c r="V226" s="3">
        <f>IF(T226=0,"",X226/T226)</f>
        <v>0.37571625983535323</v>
      </c>
      <c r="W226" s="1">
        <v>1213.48</v>
      </c>
      <c r="X226" s="1">
        <f>T226-U226</f>
        <v>1318.9230000000002</v>
      </c>
      <c r="Y226" s="1" t="s">
        <v>40</v>
      </c>
      <c r="Z226" s="1" t="s">
        <v>41</v>
      </c>
      <c r="AA226" s="1">
        <f t="shared" si="15"/>
        <v>6</v>
      </c>
      <c r="AB226" s="2" t="str">
        <f t="shared" si="19"/>
        <v>Clean</v>
      </c>
      <c r="AC226" s="2" t="s">
        <v>392</v>
      </c>
    </row>
    <row r="227" spans="1:29">
      <c r="A227" s="1" t="s">
        <v>787</v>
      </c>
      <c r="B227" s="2">
        <v>45331</v>
      </c>
      <c r="C227" s="2" t="str">
        <f t="shared" si="16"/>
        <v>February</v>
      </c>
      <c r="D227" s="1">
        <f t="shared" si="17"/>
        <v>2024</v>
      </c>
      <c r="E227" s="2">
        <v>45574</v>
      </c>
      <c r="F227" s="1" t="s">
        <v>788</v>
      </c>
      <c r="G227" s="1" t="s">
        <v>44</v>
      </c>
      <c r="H227" s="1" t="s">
        <v>98</v>
      </c>
      <c r="I227" s="1" t="s">
        <v>71</v>
      </c>
      <c r="J227" s="1" t="s">
        <v>198</v>
      </c>
      <c r="K227" s="1" t="s">
        <v>199</v>
      </c>
      <c r="L227" s="1" t="s">
        <v>82</v>
      </c>
      <c r="M227" s="1" t="s">
        <v>179</v>
      </c>
      <c r="N227" s="1" t="s">
        <v>789</v>
      </c>
      <c r="O227" s="1" t="s">
        <v>67</v>
      </c>
      <c r="P227" s="1">
        <v>6</v>
      </c>
      <c r="Q227" s="1">
        <v>1032.47</v>
      </c>
      <c r="R227" s="1">
        <v>0.15</v>
      </c>
      <c r="S227" s="1">
        <v>5265.6</v>
      </c>
      <c r="T227" s="1">
        <f t="shared" si="18"/>
        <v>5265.5969999999998</v>
      </c>
      <c r="U227" s="1">
        <v>4293.1099999999997</v>
      </c>
      <c r="V227" s="3">
        <f>IF(T227=0,"",X227/T227)</f>
        <v>0.18468694053114967</v>
      </c>
      <c r="W227" s="1">
        <v>787.57</v>
      </c>
      <c r="X227" s="1">
        <f>T227-U227</f>
        <v>972.48700000000008</v>
      </c>
      <c r="Y227" s="1" t="s">
        <v>40</v>
      </c>
      <c r="Z227" s="1" t="s">
        <v>41</v>
      </c>
      <c r="AA227" s="1">
        <f t="shared" si="15"/>
        <v>243</v>
      </c>
      <c r="AB227" s="2" t="str">
        <f t="shared" si="19"/>
        <v>Clean</v>
      </c>
      <c r="AC227" s="2"/>
    </row>
    <row r="228" spans="1:29">
      <c r="A228" s="1" t="s">
        <v>790</v>
      </c>
      <c r="B228" s="2">
        <v>45934</v>
      </c>
      <c r="C228" s="2" t="str">
        <f t="shared" si="16"/>
        <v>October</v>
      </c>
      <c r="D228" s="1">
        <f t="shared" si="17"/>
        <v>2025</v>
      </c>
      <c r="E228" s="2">
        <v>45762</v>
      </c>
      <c r="F228" s="1" t="s">
        <v>791</v>
      </c>
      <c r="G228" s="1" t="s">
        <v>170</v>
      </c>
      <c r="H228" s="1" t="s">
        <v>103</v>
      </c>
      <c r="I228" s="1" t="s">
        <v>213</v>
      </c>
      <c r="J228" s="1" t="s">
        <v>193</v>
      </c>
      <c r="K228" s="1" t="s">
        <v>194</v>
      </c>
      <c r="L228" s="1" t="s">
        <v>82</v>
      </c>
      <c r="M228" s="1" t="s">
        <v>88</v>
      </c>
      <c r="N228" s="1" t="s">
        <v>792</v>
      </c>
      <c r="O228" s="1" t="s">
        <v>52</v>
      </c>
      <c r="P228" s="1">
        <v>1</v>
      </c>
      <c r="Q228" s="1">
        <v>2208.27</v>
      </c>
      <c r="R228" s="1">
        <v>0.1</v>
      </c>
      <c r="S228" s="1">
        <v>1987.44</v>
      </c>
      <c r="T228" s="1">
        <f t="shared" si="18"/>
        <v>1987.443</v>
      </c>
      <c r="U228" s="1">
        <v>1110.23</v>
      </c>
      <c r="V228" s="3">
        <f>IF(T228=0,"",X228/T228)</f>
        <v>0.44137768982556985</v>
      </c>
      <c r="W228" s="1">
        <v>877.21</v>
      </c>
      <c r="X228" s="1">
        <f>T228-U228</f>
        <v>877.21299999999997</v>
      </c>
      <c r="Y228" s="1" t="s">
        <v>40</v>
      </c>
      <c r="Z228" s="1" t="s">
        <v>41</v>
      </c>
      <c r="AA228" s="4">
        <f t="shared" si="15"/>
        <v>-172</v>
      </c>
      <c r="AB228" s="2" t="s">
        <v>459</v>
      </c>
      <c r="AC228" s="2"/>
    </row>
    <row r="229" spans="1:29">
      <c r="A229" s="1" t="s">
        <v>793</v>
      </c>
      <c r="B229" s="2">
        <v>45419</v>
      </c>
      <c r="C229" s="2" t="str">
        <f t="shared" si="16"/>
        <v>May</v>
      </c>
      <c r="D229" s="1">
        <f t="shared" si="17"/>
        <v>2024</v>
      </c>
      <c r="E229" s="2">
        <v>45633</v>
      </c>
      <c r="F229" s="1" t="s">
        <v>794</v>
      </c>
      <c r="G229" s="1" t="s">
        <v>70</v>
      </c>
      <c r="H229" s="1" t="s">
        <v>45</v>
      </c>
      <c r="I229" s="1" t="s">
        <v>71</v>
      </c>
      <c r="J229" s="1" t="s">
        <v>198</v>
      </c>
      <c r="K229" s="1" t="s">
        <v>199</v>
      </c>
      <c r="L229" s="1" t="s">
        <v>36</v>
      </c>
      <c r="M229" s="1" t="s">
        <v>161</v>
      </c>
      <c r="N229" s="1" t="s">
        <v>795</v>
      </c>
      <c r="O229" s="1" t="s">
        <v>58</v>
      </c>
      <c r="P229" s="1">
        <v>3</v>
      </c>
      <c r="Q229" s="1">
        <v>577.75</v>
      </c>
      <c r="R229" s="1">
        <v>0.15</v>
      </c>
      <c r="S229" s="1">
        <v>1473.26</v>
      </c>
      <c r="T229" s="1">
        <f t="shared" si="18"/>
        <v>1473.2625</v>
      </c>
      <c r="U229" s="1">
        <v>899.86</v>
      </c>
      <c r="V229" s="3">
        <f>IF(T229=0,"",X229/T229)</f>
        <v>0.38920592901808065</v>
      </c>
      <c r="W229" s="1">
        <v>573.4</v>
      </c>
      <c r="X229" s="1">
        <f>T229-U229</f>
        <v>573.40250000000003</v>
      </c>
      <c r="Y229" s="1" t="s">
        <v>40</v>
      </c>
      <c r="Z229" s="1" t="s">
        <v>41</v>
      </c>
      <c r="AA229" s="1">
        <f t="shared" si="15"/>
        <v>214</v>
      </c>
      <c r="AB229" s="2" t="str">
        <f t="shared" si="19"/>
        <v>Clean</v>
      </c>
      <c r="AC229" s="2"/>
    </row>
    <row r="230" spans="1:29">
      <c r="A230" s="1" t="s">
        <v>796</v>
      </c>
      <c r="B230" s="2">
        <v>45406</v>
      </c>
      <c r="C230" s="2" t="str">
        <f t="shared" si="16"/>
        <v>April</v>
      </c>
      <c r="D230" s="1">
        <f t="shared" si="17"/>
        <v>2024</v>
      </c>
      <c r="E230" s="2">
        <v>45410</v>
      </c>
      <c r="F230" s="1" t="s">
        <v>797</v>
      </c>
      <c r="G230" s="1" t="s">
        <v>31</v>
      </c>
      <c r="H230" s="1" t="s">
        <v>45</v>
      </c>
      <c r="I230" s="1" t="s">
        <v>62</v>
      </c>
      <c r="J230" s="1" t="s">
        <v>63</v>
      </c>
      <c r="K230" s="1" t="s">
        <v>64</v>
      </c>
      <c r="L230" s="1" t="s">
        <v>36</v>
      </c>
      <c r="M230" s="1" t="s">
        <v>99</v>
      </c>
      <c r="N230" s="1" t="s">
        <v>798</v>
      </c>
      <c r="O230" s="1" t="s">
        <v>39</v>
      </c>
      <c r="P230" s="1">
        <v>1</v>
      </c>
      <c r="Q230" s="1">
        <v>3194.37</v>
      </c>
      <c r="R230" s="1">
        <v>0.15</v>
      </c>
      <c r="S230" s="1">
        <v>2715.21</v>
      </c>
      <c r="T230" s="1">
        <f t="shared" si="18"/>
        <v>2715.2145</v>
      </c>
      <c r="U230" s="1">
        <v>1551.55</v>
      </c>
      <c r="V230" s="3">
        <f>IF(T230=0,"",X230/T230)</f>
        <v>0.42857184948003191</v>
      </c>
      <c r="W230" s="1">
        <v>1163.6600000000001</v>
      </c>
      <c r="X230" s="1">
        <f>T230-U230</f>
        <v>1163.6645000000001</v>
      </c>
      <c r="Y230" s="1" t="s">
        <v>40</v>
      </c>
      <c r="Z230" s="1" t="s">
        <v>41</v>
      </c>
      <c r="AA230" s="1">
        <f t="shared" si="15"/>
        <v>4</v>
      </c>
      <c r="AB230" s="2" t="str">
        <f t="shared" si="19"/>
        <v>Clean</v>
      </c>
      <c r="AC230" s="2"/>
    </row>
    <row r="231" spans="1:29">
      <c r="A231" s="1" t="s">
        <v>799</v>
      </c>
      <c r="B231" s="2">
        <v>45836</v>
      </c>
      <c r="C231" s="2" t="str">
        <f t="shared" si="16"/>
        <v>June</v>
      </c>
      <c r="D231" s="1">
        <f t="shared" si="17"/>
        <v>2025</v>
      </c>
      <c r="E231" s="2">
        <v>45842</v>
      </c>
      <c r="F231" s="1" t="s">
        <v>800</v>
      </c>
      <c r="G231" s="1" t="s">
        <v>149</v>
      </c>
      <c r="H231" s="1" t="s">
        <v>32</v>
      </c>
      <c r="I231" s="1" t="s">
        <v>62</v>
      </c>
      <c r="J231" s="1" t="s">
        <v>63</v>
      </c>
      <c r="K231" s="1" t="s">
        <v>64</v>
      </c>
      <c r="L231" s="1" t="s">
        <v>49</v>
      </c>
      <c r="M231" s="1" t="s">
        <v>166</v>
      </c>
      <c r="N231" s="1" t="s">
        <v>801</v>
      </c>
      <c r="O231" s="1" t="s">
        <v>58</v>
      </c>
      <c r="P231" s="1">
        <v>3</v>
      </c>
      <c r="Q231" s="1">
        <v>2886.23</v>
      </c>
      <c r="R231" s="1">
        <v>0</v>
      </c>
      <c r="S231" s="1">
        <v>8658.69</v>
      </c>
      <c r="T231" s="1">
        <f t="shared" si="18"/>
        <v>8658.69</v>
      </c>
      <c r="U231" s="1">
        <v>5535.94</v>
      </c>
      <c r="V231" s="3">
        <f>IF(T231=0,"",X231/T231)</f>
        <v>0.36064924370776652</v>
      </c>
      <c r="W231" s="1">
        <v>3122.75</v>
      </c>
      <c r="X231" s="1">
        <f>T231-U231</f>
        <v>3122.7500000000009</v>
      </c>
      <c r="Y231" s="1" t="s">
        <v>110</v>
      </c>
      <c r="Z231" s="1" t="s">
        <v>111</v>
      </c>
      <c r="AA231" s="1">
        <f t="shared" si="15"/>
        <v>6</v>
      </c>
      <c r="AB231" s="2" t="str">
        <f t="shared" si="19"/>
        <v>Clean</v>
      </c>
      <c r="AC231" s="2"/>
    </row>
    <row r="232" spans="1:29">
      <c r="A232" s="1" t="s">
        <v>802</v>
      </c>
      <c r="B232" s="2">
        <v>45440</v>
      </c>
      <c r="C232" s="2" t="str">
        <f t="shared" si="16"/>
        <v>May</v>
      </c>
      <c r="D232" s="1">
        <f t="shared" si="17"/>
        <v>2024</v>
      </c>
      <c r="E232" s="2">
        <v>45357</v>
      </c>
      <c r="F232" s="1" t="s">
        <v>803</v>
      </c>
      <c r="G232" s="1" t="s">
        <v>87</v>
      </c>
      <c r="H232" s="1" t="s">
        <v>45</v>
      </c>
      <c r="I232" s="1" t="s">
        <v>33</v>
      </c>
      <c r="J232" s="1" t="s">
        <v>34</v>
      </c>
      <c r="K232" s="1" t="s">
        <v>35</v>
      </c>
      <c r="L232" s="1" t="s">
        <v>36</v>
      </c>
      <c r="M232" s="1" t="s">
        <v>37</v>
      </c>
      <c r="N232" s="1" t="s">
        <v>804</v>
      </c>
      <c r="O232" s="1" t="s">
        <v>67</v>
      </c>
      <c r="P232" s="1">
        <v>8</v>
      </c>
      <c r="Q232" s="1">
        <v>1540.33</v>
      </c>
      <c r="R232" s="1">
        <v>0.1</v>
      </c>
      <c r="S232" s="1">
        <v>11090.38</v>
      </c>
      <c r="T232" s="1">
        <f t="shared" si="18"/>
        <v>11090.376</v>
      </c>
      <c r="U232" s="1">
        <v>8840.9500000000007</v>
      </c>
      <c r="V232" s="3">
        <f>IF(T232=0,"",X232/T232)</f>
        <v>0.20282684734944958</v>
      </c>
      <c r="W232" s="1">
        <v>2249.4299999999998</v>
      </c>
      <c r="X232" s="1">
        <f>T232-U232</f>
        <v>2249.4259999999995</v>
      </c>
      <c r="Y232" s="1" t="s">
        <v>40</v>
      </c>
      <c r="Z232" s="1" t="s">
        <v>41</v>
      </c>
      <c r="AA232" s="4">
        <f t="shared" si="15"/>
        <v>-83</v>
      </c>
      <c r="AB232" s="2" t="str">
        <f t="shared" si="19"/>
        <v>Invalid</v>
      </c>
      <c r="AC232" s="2"/>
    </row>
    <row r="233" spans="1:29">
      <c r="A233" s="1" t="s">
        <v>805</v>
      </c>
      <c r="B233" s="2">
        <v>45327</v>
      </c>
      <c r="C233" s="2" t="str">
        <f t="shared" si="16"/>
        <v>February</v>
      </c>
      <c r="D233" s="1">
        <f t="shared" si="17"/>
        <v>2024</v>
      </c>
      <c r="E233" s="2">
        <v>45414</v>
      </c>
      <c r="F233" s="1" t="s">
        <v>806</v>
      </c>
      <c r="G233" s="1" t="s">
        <v>70</v>
      </c>
      <c r="H233" s="1" t="s">
        <v>98</v>
      </c>
      <c r="I233" s="1" t="s">
        <v>33</v>
      </c>
      <c r="J233" s="1" t="s">
        <v>34</v>
      </c>
      <c r="K233" s="1" t="s">
        <v>35</v>
      </c>
      <c r="L233" s="1" t="s">
        <v>36</v>
      </c>
      <c r="M233" s="1" t="s">
        <v>99</v>
      </c>
      <c r="N233" s="1" t="s">
        <v>807</v>
      </c>
      <c r="O233" s="1" t="s">
        <v>58</v>
      </c>
      <c r="P233" s="1">
        <v>7</v>
      </c>
      <c r="Q233" s="1">
        <v>2183.38</v>
      </c>
      <c r="R233" s="1">
        <v>0.25</v>
      </c>
      <c r="S233" s="1">
        <v>11462.74</v>
      </c>
      <c r="T233" s="1">
        <f t="shared" si="18"/>
        <v>11462.744999999999</v>
      </c>
      <c r="U233" s="1">
        <v>7163.54</v>
      </c>
      <c r="V233" s="3">
        <f>IF(T233=0,"",X233/T233)</f>
        <v>0.37505894094302888</v>
      </c>
      <c r="W233" s="1">
        <v>4299.2</v>
      </c>
      <c r="X233" s="1">
        <f>T233-U233</f>
        <v>4299.204999999999</v>
      </c>
      <c r="Y233" s="1" t="s">
        <v>110</v>
      </c>
      <c r="Z233" s="1" t="s">
        <v>76</v>
      </c>
      <c r="AA233" s="1">
        <f t="shared" si="15"/>
        <v>87</v>
      </c>
      <c r="AB233" s="2" t="str">
        <f t="shared" si="19"/>
        <v>Clean</v>
      </c>
      <c r="AC233" s="2"/>
    </row>
    <row r="234" spans="1:29">
      <c r="A234" s="1" t="s">
        <v>808</v>
      </c>
      <c r="B234" s="2">
        <v>45753</v>
      </c>
      <c r="C234" s="2" t="str">
        <f t="shared" si="16"/>
        <v>April</v>
      </c>
      <c r="D234" s="1">
        <f t="shared" si="17"/>
        <v>2025</v>
      </c>
      <c r="E234" s="2">
        <v>45936</v>
      </c>
      <c r="F234" s="1" t="s">
        <v>809</v>
      </c>
      <c r="G234" s="1" t="s">
        <v>126</v>
      </c>
      <c r="H234" s="1" t="s">
        <v>32</v>
      </c>
      <c r="I234" s="1" t="s">
        <v>62</v>
      </c>
      <c r="J234" s="1" t="s">
        <v>92</v>
      </c>
      <c r="K234" s="1" t="s">
        <v>93</v>
      </c>
      <c r="L234" s="1" t="s">
        <v>82</v>
      </c>
      <c r="M234" s="1" t="s">
        <v>179</v>
      </c>
      <c r="N234" s="1" t="s">
        <v>810</v>
      </c>
      <c r="O234" s="1" t="s">
        <v>67</v>
      </c>
      <c r="P234" s="1">
        <v>4</v>
      </c>
      <c r="Q234" s="1">
        <v>223.37</v>
      </c>
      <c r="R234" s="1">
        <v>0.25</v>
      </c>
      <c r="S234" s="1">
        <v>670.11</v>
      </c>
      <c r="T234" s="1">
        <f t="shared" si="18"/>
        <v>670.11</v>
      </c>
      <c r="U234" s="1">
        <v>559.57000000000005</v>
      </c>
      <c r="V234" s="3">
        <f>IF(T234=0,"",X234/T234)</f>
        <v>0.16495799197146732</v>
      </c>
      <c r="W234" s="1">
        <v>110.54</v>
      </c>
      <c r="X234" s="1">
        <f>T234-U234</f>
        <v>110.53999999999996</v>
      </c>
      <c r="Y234" s="1" t="s">
        <v>40</v>
      </c>
      <c r="Z234" s="1" t="s">
        <v>41</v>
      </c>
      <c r="AA234" s="1">
        <f t="shared" si="15"/>
        <v>183</v>
      </c>
      <c r="AB234" s="2" t="str">
        <f t="shared" si="19"/>
        <v>Clean</v>
      </c>
      <c r="AC234" s="2"/>
    </row>
    <row r="235" spans="1:29">
      <c r="A235" s="1" t="s">
        <v>811</v>
      </c>
      <c r="B235" s="2">
        <v>45579</v>
      </c>
      <c r="C235" s="2" t="str">
        <f t="shared" si="16"/>
        <v>October</v>
      </c>
      <c r="D235" s="1">
        <f t="shared" si="17"/>
        <v>2024</v>
      </c>
      <c r="E235" s="2">
        <v>45579</v>
      </c>
      <c r="F235" s="1" t="s">
        <v>812</v>
      </c>
      <c r="G235" s="1" t="s">
        <v>79</v>
      </c>
      <c r="H235" s="1" t="s">
        <v>98</v>
      </c>
      <c r="I235" s="1" t="s">
        <v>62</v>
      </c>
      <c r="J235" s="1" t="s">
        <v>183</v>
      </c>
      <c r="K235" s="1" t="s">
        <v>184</v>
      </c>
      <c r="L235" s="1" t="s">
        <v>49</v>
      </c>
      <c r="M235" s="1" t="s">
        <v>166</v>
      </c>
      <c r="N235" s="1" t="s">
        <v>813</v>
      </c>
      <c r="O235" s="1" t="s">
        <v>213</v>
      </c>
      <c r="P235" s="1">
        <v>8</v>
      </c>
      <c r="Q235" s="1">
        <v>3904.59</v>
      </c>
      <c r="R235" s="1">
        <v>0</v>
      </c>
      <c r="S235" s="1">
        <v>31236.720000000001</v>
      </c>
      <c r="T235" s="1">
        <f t="shared" si="18"/>
        <v>31236.720000000001</v>
      </c>
      <c r="U235" s="1">
        <v>26377.7</v>
      </c>
      <c r="V235" s="3">
        <f>IF(T235=0,"",X235/T235)</f>
        <v>0.15555474454424154</v>
      </c>
      <c r="W235" s="1">
        <v>4859.0200000000004</v>
      </c>
      <c r="X235" s="1">
        <f>T235-U235</f>
        <v>4859.0200000000004</v>
      </c>
      <c r="Y235" s="1" t="s">
        <v>40</v>
      </c>
      <c r="Z235" s="1" t="s">
        <v>41</v>
      </c>
      <c r="AA235" s="1">
        <f t="shared" si="15"/>
        <v>0</v>
      </c>
      <c r="AB235" s="2" t="str">
        <f t="shared" si="19"/>
        <v>Warning</v>
      </c>
      <c r="AC235" s="2"/>
    </row>
    <row r="236" spans="1:29">
      <c r="A236" s="1" t="s">
        <v>814</v>
      </c>
      <c r="B236" s="2">
        <v>45537</v>
      </c>
      <c r="C236" s="2" t="str">
        <f t="shared" si="16"/>
        <v>September</v>
      </c>
      <c r="D236" s="1">
        <f t="shared" si="17"/>
        <v>2024</v>
      </c>
      <c r="E236" s="2">
        <v>45360</v>
      </c>
      <c r="F236" s="1" t="s">
        <v>815</v>
      </c>
      <c r="G236" s="1" t="s">
        <v>273</v>
      </c>
      <c r="H236" s="1" t="s">
        <v>103</v>
      </c>
      <c r="I236" s="1" t="s">
        <v>33</v>
      </c>
      <c r="J236" s="1" t="s">
        <v>359</v>
      </c>
      <c r="K236" s="1" t="s">
        <v>360</v>
      </c>
      <c r="L236" s="1" t="s">
        <v>49</v>
      </c>
      <c r="M236" s="1" t="s">
        <v>65</v>
      </c>
      <c r="N236" s="1" t="s">
        <v>816</v>
      </c>
      <c r="O236" s="1" t="s">
        <v>58</v>
      </c>
      <c r="P236" s="1">
        <v>9</v>
      </c>
      <c r="Q236" s="1">
        <v>1353.61</v>
      </c>
      <c r="R236" s="1">
        <v>0.1</v>
      </c>
      <c r="S236" s="1">
        <v>10964.24</v>
      </c>
      <c r="T236" s="1">
        <f t="shared" si="18"/>
        <v>10964.241</v>
      </c>
      <c r="U236" s="1">
        <v>9262.4699999999993</v>
      </c>
      <c r="V236" s="3">
        <f>IF(T236=0,"",X236/T236)</f>
        <v>0.15521101734265058</v>
      </c>
      <c r="W236" s="1">
        <v>1701.77</v>
      </c>
      <c r="X236" s="1">
        <f>T236-U236</f>
        <v>1701.7710000000006</v>
      </c>
      <c r="Y236" s="1" t="s">
        <v>40</v>
      </c>
      <c r="Z236" s="1" t="s">
        <v>41</v>
      </c>
      <c r="AA236" s="4">
        <f t="shared" si="15"/>
        <v>-177</v>
      </c>
      <c r="AB236" s="2" t="str">
        <f t="shared" si="19"/>
        <v>Invalid</v>
      </c>
      <c r="AC236" s="2"/>
    </row>
    <row r="237" spans="1:29">
      <c r="A237" s="1" t="s">
        <v>817</v>
      </c>
      <c r="B237" s="2">
        <v>45598</v>
      </c>
      <c r="C237" s="2" t="str">
        <f t="shared" si="16"/>
        <v>November</v>
      </c>
      <c r="D237" s="1">
        <f t="shared" si="17"/>
        <v>2024</v>
      </c>
      <c r="E237" s="2">
        <v>45599</v>
      </c>
      <c r="F237" s="1" t="s">
        <v>818</v>
      </c>
      <c r="G237" s="1" t="s">
        <v>126</v>
      </c>
      <c r="H237" s="1" t="s">
        <v>45</v>
      </c>
      <c r="I237" s="1" t="s">
        <v>71</v>
      </c>
      <c r="J237" s="1" t="s">
        <v>34</v>
      </c>
      <c r="K237" s="1" t="s">
        <v>117</v>
      </c>
      <c r="L237" s="1" t="s">
        <v>36</v>
      </c>
      <c r="M237" s="1" t="s">
        <v>132</v>
      </c>
      <c r="N237" s="1" t="s">
        <v>819</v>
      </c>
      <c r="O237" s="1" t="s">
        <v>67</v>
      </c>
      <c r="P237" s="1">
        <v>6</v>
      </c>
      <c r="Q237" s="1">
        <v>2671.29</v>
      </c>
      <c r="R237" s="1">
        <v>0.05</v>
      </c>
      <c r="S237" s="1">
        <v>15226.35</v>
      </c>
      <c r="T237" s="1">
        <f t="shared" si="18"/>
        <v>15226.352999999999</v>
      </c>
      <c r="U237" s="1">
        <v>11145.28</v>
      </c>
      <c r="V237" s="3">
        <f>IF(T237=0,"",X237/T237)</f>
        <v>0.26802695300706603</v>
      </c>
      <c r="W237" s="1">
        <v>4081.07</v>
      </c>
      <c r="X237" s="1">
        <f>T237-U237</f>
        <v>4081.0729999999985</v>
      </c>
      <c r="Y237" s="1" t="s">
        <v>40</v>
      </c>
      <c r="Z237" s="1" t="s">
        <v>41</v>
      </c>
      <c r="AA237" s="1">
        <f t="shared" si="15"/>
        <v>1</v>
      </c>
      <c r="AB237" s="2" t="str">
        <f t="shared" si="19"/>
        <v>Clean</v>
      </c>
      <c r="AC237" s="2"/>
    </row>
    <row r="238" spans="1:29">
      <c r="A238" s="1" t="s">
        <v>820</v>
      </c>
      <c r="B238" s="2">
        <v>45579</v>
      </c>
      <c r="C238" s="2" t="str">
        <f t="shared" si="16"/>
        <v>October</v>
      </c>
      <c r="D238" s="1">
        <f t="shared" si="17"/>
        <v>2024</v>
      </c>
      <c r="E238" s="2">
        <v>45586</v>
      </c>
      <c r="F238" s="1" t="s">
        <v>821</v>
      </c>
      <c r="G238" s="1" t="s">
        <v>122</v>
      </c>
      <c r="H238" s="1" t="s">
        <v>98</v>
      </c>
      <c r="I238" s="1" t="s">
        <v>33</v>
      </c>
      <c r="J238" s="1" t="s">
        <v>144</v>
      </c>
      <c r="K238" s="1" t="s">
        <v>145</v>
      </c>
      <c r="L238" s="1" t="s">
        <v>49</v>
      </c>
      <c r="M238" s="1" t="s">
        <v>166</v>
      </c>
      <c r="N238" s="1" t="s">
        <v>822</v>
      </c>
      <c r="O238" s="1" t="s">
        <v>58</v>
      </c>
      <c r="P238" s="1">
        <v>6</v>
      </c>
      <c r="Q238" s="1">
        <v>4062.78</v>
      </c>
      <c r="R238" s="1">
        <v>0</v>
      </c>
      <c r="S238" s="1">
        <v>24376.68</v>
      </c>
      <c r="T238" s="1">
        <f t="shared" si="18"/>
        <v>24376.68</v>
      </c>
      <c r="U238" s="1">
        <v>18533.39</v>
      </c>
      <c r="V238" s="3">
        <f>IF(T238=0,"",X238/T238)</f>
        <v>0.23970819652224998</v>
      </c>
      <c r="W238" s="1">
        <v>5843.29</v>
      </c>
      <c r="X238" s="1">
        <f>T238-U238</f>
        <v>5843.2900000000009</v>
      </c>
      <c r="Y238" s="1" t="s">
        <v>40</v>
      </c>
      <c r="Z238" s="1" t="s">
        <v>41</v>
      </c>
      <c r="AA238" s="1">
        <f t="shared" si="15"/>
        <v>7</v>
      </c>
      <c r="AB238" s="2" t="str">
        <f t="shared" si="19"/>
        <v>Clean</v>
      </c>
      <c r="AC238" s="2"/>
    </row>
    <row r="239" spans="1:29">
      <c r="A239" s="1" t="s">
        <v>823</v>
      </c>
      <c r="B239" s="2">
        <v>45531</v>
      </c>
      <c r="C239" s="2" t="str">
        <f t="shared" si="16"/>
        <v>August</v>
      </c>
      <c r="D239" s="1">
        <f t="shared" si="17"/>
        <v>2024</v>
      </c>
      <c r="E239" s="2">
        <v>45531</v>
      </c>
      <c r="F239" s="1" t="s">
        <v>824</v>
      </c>
      <c r="G239" s="1" t="s">
        <v>44</v>
      </c>
      <c r="H239" s="1" t="s">
        <v>32</v>
      </c>
      <c r="I239" s="1" t="s">
        <v>33</v>
      </c>
      <c r="J239" s="1" t="s">
        <v>245</v>
      </c>
      <c r="K239" s="1" t="s">
        <v>246</v>
      </c>
      <c r="L239" s="1" t="s">
        <v>82</v>
      </c>
      <c r="M239" s="1" t="s">
        <v>88</v>
      </c>
      <c r="N239" s="1" t="s">
        <v>825</v>
      </c>
      <c r="O239" s="1" t="s">
        <v>67</v>
      </c>
      <c r="P239" s="1">
        <v>9</v>
      </c>
      <c r="Q239" s="1">
        <v>2330.3000000000002</v>
      </c>
      <c r="R239" s="1">
        <v>0</v>
      </c>
      <c r="S239" s="1">
        <v>20972.7</v>
      </c>
      <c r="T239" s="1">
        <f t="shared" si="18"/>
        <v>20972.7</v>
      </c>
      <c r="U239" s="1">
        <v>13504.88</v>
      </c>
      <c r="V239" s="3">
        <f>IF(T239=0,"",X239/T239)</f>
        <v>0.35607337157352181</v>
      </c>
      <c r="W239" s="1">
        <v>7467.82</v>
      </c>
      <c r="X239" s="1">
        <f>T239-U239</f>
        <v>7467.8200000000015</v>
      </c>
      <c r="Y239" s="1" t="s">
        <v>40</v>
      </c>
      <c r="Z239" s="1" t="s">
        <v>41</v>
      </c>
      <c r="AA239" s="1">
        <f t="shared" si="15"/>
        <v>0</v>
      </c>
      <c r="AB239" s="2" t="str">
        <f t="shared" si="19"/>
        <v>Clean</v>
      </c>
      <c r="AC239" s="2"/>
    </row>
    <row r="240" spans="1:29">
      <c r="A240" s="1" t="s">
        <v>826</v>
      </c>
      <c r="B240" s="2">
        <v>45303</v>
      </c>
      <c r="C240" s="2" t="str">
        <f t="shared" si="16"/>
        <v>January</v>
      </c>
      <c r="D240" s="1">
        <f t="shared" si="17"/>
        <v>2024</v>
      </c>
      <c r="E240" s="2">
        <v>45308</v>
      </c>
      <c r="F240" s="1" t="s">
        <v>827</v>
      </c>
      <c r="G240" s="1" t="s">
        <v>61</v>
      </c>
      <c r="H240" s="1" t="s">
        <v>32</v>
      </c>
      <c r="I240" s="1" t="s">
        <v>62</v>
      </c>
      <c r="J240" s="1" t="s">
        <v>92</v>
      </c>
      <c r="K240" s="1" t="s">
        <v>93</v>
      </c>
      <c r="L240" s="1" t="s">
        <v>36</v>
      </c>
      <c r="M240" s="1" t="s">
        <v>132</v>
      </c>
      <c r="N240" s="1" t="s">
        <v>828</v>
      </c>
      <c r="O240" s="1" t="s">
        <v>58</v>
      </c>
      <c r="P240" s="1">
        <v>7</v>
      </c>
      <c r="Q240" s="1">
        <v>4005.05</v>
      </c>
      <c r="R240" s="1">
        <v>0.55000000000000004</v>
      </c>
      <c r="S240" s="1">
        <v>26633.58</v>
      </c>
      <c r="T240" s="1">
        <f t="shared" si="18"/>
        <v>12615.907499999999</v>
      </c>
      <c r="U240" s="1">
        <v>18838.75</v>
      </c>
      <c r="V240" s="3">
        <f>IF(T240=0,"",X240/T240)</f>
        <v>-0.4932536561480021</v>
      </c>
      <c r="W240" s="1">
        <v>7794.83</v>
      </c>
      <c r="X240" s="1">
        <f>T240-U240</f>
        <v>-6222.8425000000007</v>
      </c>
      <c r="Y240" s="1" t="s">
        <v>40</v>
      </c>
      <c r="Z240" s="1" t="s">
        <v>41</v>
      </c>
      <c r="AA240" s="1">
        <f t="shared" si="15"/>
        <v>5</v>
      </c>
      <c r="AB240" s="2" t="str">
        <f t="shared" si="19"/>
        <v>Clean</v>
      </c>
      <c r="AC240" s="2"/>
    </row>
    <row r="241" spans="1:29">
      <c r="A241" s="1" t="s">
        <v>829</v>
      </c>
      <c r="B241" s="2">
        <v>45556</v>
      </c>
      <c r="C241" s="2" t="str">
        <f t="shared" si="16"/>
        <v>September</v>
      </c>
      <c r="D241" s="1">
        <f t="shared" si="17"/>
        <v>2024</v>
      </c>
      <c r="E241" s="2">
        <v>45556</v>
      </c>
      <c r="F241" s="1" t="s">
        <v>830</v>
      </c>
      <c r="G241" s="1" t="s">
        <v>273</v>
      </c>
      <c r="H241" s="1" t="s">
        <v>98</v>
      </c>
      <c r="I241" s="1" t="s">
        <v>62</v>
      </c>
      <c r="J241" s="1" t="s">
        <v>183</v>
      </c>
      <c r="K241" s="1" t="s">
        <v>184</v>
      </c>
      <c r="L241" s="1" t="s">
        <v>82</v>
      </c>
      <c r="M241" s="1" t="s">
        <v>283</v>
      </c>
      <c r="N241" s="1" t="s">
        <v>831</v>
      </c>
      <c r="O241" s="1" t="s">
        <v>58</v>
      </c>
      <c r="P241" s="1">
        <v>2</v>
      </c>
      <c r="Q241" s="1">
        <v>1960.06</v>
      </c>
      <c r="R241" s="1">
        <v>0.2</v>
      </c>
      <c r="S241" s="1">
        <v>3136.1</v>
      </c>
      <c r="T241" s="1">
        <f t="shared" si="18"/>
        <v>3136.096</v>
      </c>
      <c r="U241" s="1">
        <v>2279.4899999999998</v>
      </c>
      <c r="V241" s="3">
        <f>IF(T241=0,"",X241/T241)</f>
        <v>0.273144061916472</v>
      </c>
      <c r="W241" s="1">
        <v>856.61</v>
      </c>
      <c r="X241" s="1">
        <f>T241-U241</f>
        <v>856.60600000000022</v>
      </c>
      <c r="Y241" s="1" t="s">
        <v>40</v>
      </c>
      <c r="Z241" s="1" t="s">
        <v>41</v>
      </c>
      <c r="AA241" s="1">
        <f t="shared" si="15"/>
        <v>0</v>
      </c>
      <c r="AB241" s="2" t="str">
        <f t="shared" si="19"/>
        <v>Clean</v>
      </c>
      <c r="AC241" s="2"/>
    </row>
    <row r="242" spans="1:29">
      <c r="A242" s="1" t="s">
        <v>832</v>
      </c>
      <c r="B242" s="2">
        <v>45643</v>
      </c>
      <c r="C242" s="2" t="str">
        <f t="shared" si="16"/>
        <v>December</v>
      </c>
      <c r="D242" s="1">
        <f t="shared" si="17"/>
        <v>2024</v>
      </c>
      <c r="E242" s="2">
        <v>45649</v>
      </c>
      <c r="F242" s="1" t="s">
        <v>833</v>
      </c>
      <c r="G242" s="1" t="s">
        <v>136</v>
      </c>
      <c r="H242" s="1" t="s">
        <v>98</v>
      </c>
      <c r="I242" s="1" t="s">
        <v>62</v>
      </c>
      <c r="J242" s="1" t="s">
        <v>63</v>
      </c>
      <c r="K242" s="1" t="s">
        <v>64</v>
      </c>
      <c r="L242" s="1" t="s">
        <v>36</v>
      </c>
      <c r="M242" s="1" t="s">
        <v>161</v>
      </c>
      <c r="N242" s="1" t="s">
        <v>834</v>
      </c>
      <c r="O242" s="1" t="s">
        <v>58</v>
      </c>
      <c r="P242" s="1">
        <v>9</v>
      </c>
      <c r="Q242" s="1">
        <v>2315.1</v>
      </c>
      <c r="R242" s="1">
        <v>0</v>
      </c>
      <c r="S242" s="1">
        <v>20835.900000000001</v>
      </c>
      <c r="T242" s="1">
        <f t="shared" si="18"/>
        <v>20835.899999999998</v>
      </c>
      <c r="U242" s="1">
        <v>13928.19</v>
      </c>
      <c r="V242" s="3">
        <f>IF(T242=0,"",X242/T242)</f>
        <v>0.33152923559817421</v>
      </c>
      <c r="W242" s="1">
        <v>6907.71</v>
      </c>
      <c r="X242" s="1">
        <f>T242-U242</f>
        <v>6907.7099999999973</v>
      </c>
      <c r="Y242" s="1" t="s">
        <v>40</v>
      </c>
      <c r="Z242" s="1" t="s">
        <v>41</v>
      </c>
      <c r="AA242" s="1">
        <f t="shared" si="15"/>
        <v>6</v>
      </c>
      <c r="AB242" s="2" t="str">
        <f t="shared" si="19"/>
        <v>Clean</v>
      </c>
      <c r="AC242" s="2"/>
    </row>
    <row r="243" spans="1:29">
      <c r="A243" s="1" t="s">
        <v>835</v>
      </c>
      <c r="B243" s="2">
        <v>45844</v>
      </c>
      <c r="C243" s="2" t="str">
        <f t="shared" si="16"/>
        <v>July</v>
      </c>
      <c r="D243" s="1">
        <f t="shared" si="17"/>
        <v>2025</v>
      </c>
      <c r="E243" s="2">
        <v>45815</v>
      </c>
      <c r="F243" s="1" t="s">
        <v>836</v>
      </c>
      <c r="G243" s="1" t="s">
        <v>140</v>
      </c>
      <c r="H243" s="1" t="s">
        <v>98</v>
      </c>
      <c r="I243" s="1" t="s">
        <v>33</v>
      </c>
      <c r="J243" s="1" t="s">
        <v>245</v>
      </c>
      <c r="K243" s="1" t="s">
        <v>246</v>
      </c>
      <c r="L243" s="1" t="s">
        <v>36</v>
      </c>
      <c r="M243" s="1" t="s">
        <v>132</v>
      </c>
      <c r="N243" s="1" t="s">
        <v>837</v>
      </c>
      <c r="O243" s="1" t="s">
        <v>67</v>
      </c>
      <c r="P243" s="1">
        <v>1</v>
      </c>
      <c r="Q243" s="1">
        <v>1617.2</v>
      </c>
      <c r="R243" s="1">
        <v>0.25</v>
      </c>
      <c r="S243" s="1">
        <v>1212.9000000000001</v>
      </c>
      <c r="T243" s="1">
        <f t="shared" si="18"/>
        <v>1212.9000000000001</v>
      </c>
      <c r="U243" s="1">
        <v>690.52</v>
      </c>
      <c r="V243" s="3">
        <f>IF(T243=0,"",X243/T243)</f>
        <v>0.4306867837414462</v>
      </c>
      <c r="W243" s="1">
        <v>522.38</v>
      </c>
      <c r="X243" s="1">
        <f>T243-U243</f>
        <v>522.38000000000011</v>
      </c>
      <c r="Y243" s="1" t="s">
        <v>119</v>
      </c>
      <c r="Z243" s="1" t="s">
        <v>111</v>
      </c>
      <c r="AA243" s="4">
        <f t="shared" si="15"/>
        <v>-29</v>
      </c>
      <c r="AB243" s="2" t="str">
        <f t="shared" si="19"/>
        <v>Invalid</v>
      </c>
      <c r="AC243" s="2"/>
    </row>
    <row r="244" spans="1:29">
      <c r="A244" s="1" t="s">
        <v>838</v>
      </c>
      <c r="B244" s="2">
        <v>45840</v>
      </c>
      <c r="C244" s="2" t="str">
        <f t="shared" si="16"/>
        <v>July</v>
      </c>
      <c r="D244" s="1">
        <f t="shared" si="17"/>
        <v>2025</v>
      </c>
      <c r="E244" s="2">
        <v>45840</v>
      </c>
      <c r="F244" s="1" t="s">
        <v>839</v>
      </c>
      <c r="G244" s="1" t="s">
        <v>61</v>
      </c>
      <c r="H244" s="1" t="s">
        <v>32</v>
      </c>
      <c r="I244" s="1" t="s">
        <v>33</v>
      </c>
      <c r="J244" s="1" t="s">
        <v>144</v>
      </c>
      <c r="K244" s="1" t="s">
        <v>145</v>
      </c>
      <c r="L244" s="1" t="s">
        <v>36</v>
      </c>
      <c r="M244" s="1" t="s">
        <v>56</v>
      </c>
      <c r="N244" s="1" t="s">
        <v>840</v>
      </c>
      <c r="O244" s="1" t="s">
        <v>39</v>
      </c>
      <c r="P244" s="1">
        <v>3</v>
      </c>
      <c r="Q244" s="1">
        <v>1999.24</v>
      </c>
      <c r="R244" s="1">
        <v>0.05</v>
      </c>
      <c r="S244" s="1">
        <v>5697.83</v>
      </c>
      <c r="T244" s="1">
        <f t="shared" si="18"/>
        <v>5697.8339999999998</v>
      </c>
      <c r="U244" s="1">
        <v>4251.5</v>
      </c>
      <c r="V244" s="3">
        <f>IF(T244=0,"",X244/T244)</f>
        <v>0.25383926593860051</v>
      </c>
      <c r="W244" s="1">
        <v>1446.33</v>
      </c>
      <c r="X244" s="1">
        <f>T244-U244</f>
        <v>1446.3339999999998</v>
      </c>
      <c r="Y244" s="1" t="s">
        <v>40</v>
      </c>
      <c r="Z244" s="1" t="s">
        <v>41</v>
      </c>
      <c r="AA244" s="1">
        <f t="shared" si="15"/>
        <v>0</v>
      </c>
      <c r="AB244" s="2" t="str">
        <f t="shared" si="19"/>
        <v>Clean</v>
      </c>
      <c r="AC244" s="2"/>
    </row>
    <row r="245" spans="1:29">
      <c r="A245" s="1" t="s">
        <v>841</v>
      </c>
      <c r="B245" s="2">
        <v>45867</v>
      </c>
      <c r="C245" s="2" t="str">
        <f t="shared" si="16"/>
        <v>July</v>
      </c>
      <c r="D245" s="1">
        <f t="shared" si="17"/>
        <v>2025</v>
      </c>
      <c r="E245" s="2">
        <v>45696</v>
      </c>
      <c r="F245" s="1" t="s">
        <v>842</v>
      </c>
      <c r="G245" s="1" t="s">
        <v>140</v>
      </c>
      <c r="H245" s="1" t="s">
        <v>45</v>
      </c>
      <c r="I245" s="1" t="s">
        <v>213</v>
      </c>
      <c r="J245" s="1" t="s">
        <v>80</v>
      </c>
      <c r="K245" s="1" t="s">
        <v>81</v>
      </c>
      <c r="L245" s="1" t="s">
        <v>82</v>
      </c>
      <c r="M245" s="1" t="s">
        <v>83</v>
      </c>
      <c r="N245" s="1" t="s">
        <v>843</v>
      </c>
      <c r="O245" s="1" t="s">
        <v>58</v>
      </c>
      <c r="P245" s="1">
        <v>1</v>
      </c>
      <c r="Q245" s="1">
        <v>4499.46</v>
      </c>
      <c r="R245" s="1">
        <v>0.1</v>
      </c>
      <c r="S245" s="1">
        <v>4049.51</v>
      </c>
      <c r="T245" s="1">
        <f t="shared" si="18"/>
        <v>4049.5140000000001</v>
      </c>
      <c r="U245" s="1">
        <v>2509.1999999999998</v>
      </c>
      <c r="V245" s="3">
        <f>IF(T245=0,"",X245/T245)</f>
        <v>0.38037008885510715</v>
      </c>
      <c r="W245" s="1">
        <v>1540.31</v>
      </c>
      <c r="X245" s="1">
        <f>T245-U245</f>
        <v>1540.3140000000003</v>
      </c>
      <c r="Y245" s="1" t="s">
        <v>40</v>
      </c>
      <c r="Z245" s="1" t="s">
        <v>682</v>
      </c>
      <c r="AA245" s="4">
        <f t="shared" si="15"/>
        <v>-171</v>
      </c>
      <c r="AB245" s="2" t="s">
        <v>459</v>
      </c>
      <c r="AC245" s="2"/>
    </row>
    <row r="246" spans="1:29">
      <c r="A246" s="1" t="s">
        <v>844</v>
      </c>
      <c r="B246" s="2">
        <v>45527</v>
      </c>
      <c r="C246" s="2" t="str">
        <f t="shared" si="16"/>
        <v>August</v>
      </c>
      <c r="D246" s="1">
        <f t="shared" si="17"/>
        <v>2024</v>
      </c>
      <c r="E246" s="2">
        <v>45528</v>
      </c>
      <c r="F246" s="1" t="s">
        <v>845</v>
      </c>
      <c r="G246" s="1" t="s">
        <v>87</v>
      </c>
      <c r="H246" s="1" t="s">
        <v>32</v>
      </c>
      <c r="I246" s="1" t="s">
        <v>62</v>
      </c>
      <c r="J246" s="1" t="s">
        <v>63</v>
      </c>
      <c r="K246" s="1" t="s">
        <v>64</v>
      </c>
      <c r="L246" s="1" t="s">
        <v>49</v>
      </c>
      <c r="M246" s="1" t="s">
        <v>166</v>
      </c>
      <c r="N246" s="1" t="s">
        <v>846</v>
      </c>
      <c r="O246" s="1" t="s">
        <v>52</v>
      </c>
      <c r="P246" s="1">
        <v>6</v>
      </c>
      <c r="Q246" s="1">
        <v>1021.89</v>
      </c>
      <c r="R246" s="1">
        <v>0</v>
      </c>
      <c r="S246" s="1">
        <v>6131.34</v>
      </c>
      <c r="T246" s="1">
        <f t="shared" si="18"/>
        <v>6131.34</v>
      </c>
      <c r="U246" s="1">
        <v>4060.88</v>
      </c>
      <c r="V246" s="3">
        <f>IF(T246=0,"",X246/T246)</f>
        <v>0.33768474754295147</v>
      </c>
      <c r="W246" s="1">
        <v>2070.46</v>
      </c>
      <c r="X246" s="1">
        <f>T246-U246</f>
        <v>2070.46</v>
      </c>
      <c r="Y246" s="1" t="s">
        <v>40</v>
      </c>
      <c r="Z246" s="1" t="s">
        <v>41</v>
      </c>
      <c r="AA246" s="1">
        <f t="shared" si="15"/>
        <v>1</v>
      </c>
      <c r="AB246" s="2" t="str">
        <f t="shared" si="19"/>
        <v>Clean</v>
      </c>
      <c r="AC246" s="2"/>
    </row>
    <row r="247" spans="1:29">
      <c r="A247" s="1" t="s">
        <v>847</v>
      </c>
      <c r="B247" s="2">
        <v>45583</v>
      </c>
      <c r="C247" s="2" t="str">
        <f t="shared" si="16"/>
        <v>October</v>
      </c>
      <c r="D247" s="1">
        <f t="shared" si="17"/>
        <v>2024</v>
      </c>
      <c r="E247" s="2">
        <v>45589</v>
      </c>
      <c r="F247" s="1" t="s">
        <v>848</v>
      </c>
      <c r="G247" s="1" t="s">
        <v>87</v>
      </c>
      <c r="H247" s="1" t="s">
        <v>103</v>
      </c>
      <c r="I247" s="1" t="s">
        <v>62</v>
      </c>
      <c r="J247" s="1" t="s">
        <v>193</v>
      </c>
      <c r="K247" s="1" t="s">
        <v>194</v>
      </c>
      <c r="L247" s="1" t="s">
        <v>49</v>
      </c>
      <c r="M247" s="1" t="s">
        <v>74</v>
      </c>
      <c r="N247" s="1" t="s">
        <v>849</v>
      </c>
      <c r="O247" s="1" t="s">
        <v>39</v>
      </c>
      <c r="P247" s="1">
        <v>3</v>
      </c>
      <c r="Q247" s="1">
        <v>3275.93</v>
      </c>
      <c r="R247" s="1">
        <v>0</v>
      </c>
      <c r="S247" s="1">
        <v>9827.7900000000009</v>
      </c>
      <c r="T247" s="1">
        <f t="shared" si="18"/>
        <v>9827.7899999999991</v>
      </c>
      <c r="U247" s="1">
        <v>5478.28</v>
      </c>
      <c r="V247" s="3">
        <f>IF(T247=0,"",X247/T247)</f>
        <v>0.44257254174132737</v>
      </c>
      <c r="W247" s="1">
        <v>4349.51</v>
      </c>
      <c r="X247" s="1">
        <f>T247-U247</f>
        <v>4349.5099999999993</v>
      </c>
      <c r="Y247" s="1" t="s">
        <v>40</v>
      </c>
      <c r="Z247" s="1" t="s">
        <v>41</v>
      </c>
      <c r="AA247" s="1">
        <f t="shared" si="15"/>
        <v>6</v>
      </c>
      <c r="AB247" s="2" t="str">
        <f t="shared" si="19"/>
        <v>Clean</v>
      </c>
      <c r="AC247" s="2"/>
    </row>
    <row r="248" spans="1:29">
      <c r="A248" s="1" t="s">
        <v>850</v>
      </c>
      <c r="B248" s="2">
        <v>45387</v>
      </c>
      <c r="C248" s="2" t="str">
        <f t="shared" si="16"/>
        <v>April</v>
      </c>
      <c r="D248" s="1">
        <f t="shared" si="17"/>
        <v>2024</v>
      </c>
      <c r="E248" s="2">
        <v>45540</v>
      </c>
      <c r="F248" s="1" t="s">
        <v>851</v>
      </c>
      <c r="G248" s="1" t="s">
        <v>70</v>
      </c>
      <c r="H248" s="1" t="s">
        <v>98</v>
      </c>
      <c r="I248" s="1" t="s">
        <v>33</v>
      </c>
      <c r="J248" s="1" t="s">
        <v>130</v>
      </c>
      <c r="K248" s="1" t="s">
        <v>131</v>
      </c>
      <c r="L248" s="1" t="s">
        <v>82</v>
      </c>
      <c r="M248" s="1" t="s">
        <v>283</v>
      </c>
      <c r="N248" s="1" t="s">
        <v>852</v>
      </c>
      <c r="O248" s="1" t="s">
        <v>52</v>
      </c>
      <c r="P248" s="1">
        <v>3</v>
      </c>
      <c r="Q248" s="1">
        <v>231.95</v>
      </c>
      <c r="R248" s="1">
        <v>0.25</v>
      </c>
      <c r="S248" s="1">
        <v>521.89</v>
      </c>
      <c r="T248" s="1">
        <f t="shared" si="18"/>
        <v>521.88749999999993</v>
      </c>
      <c r="U248" s="1">
        <v>444.52</v>
      </c>
      <c r="V248" s="3">
        <f>IF(T248=0,"",X248/T248)</f>
        <v>0.14824555100476627</v>
      </c>
      <c r="W248" s="1">
        <v>77.37</v>
      </c>
      <c r="X248" s="1">
        <f>T248-U248</f>
        <v>77.36749999999995</v>
      </c>
      <c r="Y248" s="1" t="s">
        <v>110</v>
      </c>
      <c r="Z248" s="1" t="s">
        <v>76</v>
      </c>
      <c r="AA248" s="1">
        <f t="shared" si="15"/>
        <v>153</v>
      </c>
      <c r="AB248" s="2" t="str">
        <f t="shared" si="19"/>
        <v>Clean</v>
      </c>
      <c r="AC248" s="2"/>
    </row>
    <row r="249" spans="1:29">
      <c r="A249" s="1" t="s">
        <v>853</v>
      </c>
      <c r="B249" s="2">
        <v>45498</v>
      </c>
      <c r="C249" s="2" t="str">
        <f t="shared" si="16"/>
        <v>July</v>
      </c>
      <c r="D249" s="1">
        <f t="shared" si="17"/>
        <v>2024</v>
      </c>
      <c r="E249" s="2">
        <v>45299</v>
      </c>
      <c r="F249" s="1" t="s">
        <v>854</v>
      </c>
      <c r="G249" s="1" t="s">
        <v>126</v>
      </c>
      <c r="H249" s="1" t="s">
        <v>98</v>
      </c>
      <c r="I249" s="1" t="s">
        <v>33</v>
      </c>
      <c r="J249" s="1" t="s">
        <v>34</v>
      </c>
      <c r="K249" s="1" t="s">
        <v>35</v>
      </c>
      <c r="L249" s="1" t="s">
        <v>82</v>
      </c>
      <c r="M249" s="1" t="s">
        <v>83</v>
      </c>
      <c r="N249" s="1" t="s">
        <v>855</v>
      </c>
      <c r="O249" s="1" t="s">
        <v>39</v>
      </c>
      <c r="P249" s="1">
        <v>8</v>
      </c>
      <c r="Q249" s="1">
        <v>2493.4</v>
      </c>
      <c r="R249" s="1">
        <v>0.25</v>
      </c>
      <c r="S249" s="1">
        <v>14960.4</v>
      </c>
      <c r="T249" s="1">
        <f t="shared" si="18"/>
        <v>14960.400000000001</v>
      </c>
      <c r="U249" s="1">
        <v>12500.84</v>
      </c>
      <c r="V249" s="3">
        <f>IF(T249=0,"",X249/T249)</f>
        <v>0.16440469506162944</v>
      </c>
      <c r="W249" s="1">
        <v>2459.56</v>
      </c>
      <c r="X249" s="1">
        <f>T249-U249</f>
        <v>2459.5600000000013</v>
      </c>
      <c r="Y249" s="1" t="s">
        <v>40</v>
      </c>
      <c r="Z249" s="1" t="s">
        <v>41</v>
      </c>
      <c r="AA249" s="4">
        <f t="shared" si="15"/>
        <v>-199</v>
      </c>
      <c r="AB249" s="2" t="str">
        <f t="shared" si="19"/>
        <v>Invalid</v>
      </c>
      <c r="AC249" s="2"/>
    </row>
    <row r="250" spans="1:29">
      <c r="A250" s="1" t="s">
        <v>856</v>
      </c>
      <c r="B250" s="2">
        <v>45445</v>
      </c>
      <c r="C250" s="2" t="str">
        <f t="shared" si="16"/>
        <v>June</v>
      </c>
      <c r="D250" s="1">
        <f t="shared" si="17"/>
        <v>2024</v>
      </c>
      <c r="E250" s="2">
        <v>45479</v>
      </c>
      <c r="F250" s="1" t="s">
        <v>857</v>
      </c>
      <c r="G250" s="1" t="s">
        <v>149</v>
      </c>
      <c r="H250" s="1" t="s">
        <v>103</v>
      </c>
      <c r="I250" s="1" t="s">
        <v>46</v>
      </c>
      <c r="J250" s="1" t="s">
        <v>47</v>
      </c>
      <c r="K250" s="1" t="s">
        <v>48</v>
      </c>
      <c r="L250" s="1" t="s">
        <v>36</v>
      </c>
      <c r="M250" s="1" t="s">
        <v>99</v>
      </c>
      <c r="N250" s="1" t="s">
        <v>858</v>
      </c>
      <c r="O250" s="1" t="s">
        <v>39</v>
      </c>
      <c r="P250" s="1">
        <v>9</v>
      </c>
      <c r="Q250" s="1">
        <v>787.91</v>
      </c>
      <c r="R250" s="1">
        <v>0.15</v>
      </c>
      <c r="S250" s="1">
        <v>6027.51</v>
      </c>
      <c r="T250" s="1">
        <f t="shared" si="18"/>
        <v>6027.5114999999996</v>
      </c>
      <c r="U250" s="1">
        <v>4883.82</v>
      </c>
      <c r="V250" s="3">
        <f>IF(T250=0,"",X250/T250)</f>
        <v>0.18974522072666306</v>
      </c>
      <c r="W250" s="1">
        <v>1143.69</v>
      </c>
      <c r="X250" s="1">
        <f>T250-U250</f>
        <v>1143.6914999999999</v>
      </c>
      <c r="Y250" s="1" t="s">
        <v>40</v>
      </c>
      <c r="Z250" s="1" t="s">
        <v>41</v>
      </c>
      <c r="AA250" s="1">
        <f t="shared" si="15"/>
        <v>34</v>
      </c>
      <c r="AB250" s="2" t="str">
        <f t="shared" si="19"/>
        <v>Clean</v>
      </c>
      <c r="AC250" s="2"/>
    </row>
    <row r="251" spans="1:29">
      <c r="A251" s="1" t="s">
        <v>859</v>
      </c>
      <c r="B251" s="2">
        <v>45870</v>
      </c>
      <c r="C251" s="2" t="str">
        <f t="shared" si="16"/>
        <v>August</v>
      </c>
      <c r="D251" s="1">
        <f t="shared" si="17"/>
        <v>2025</v>
      </c>
      <c r="E251" s="2">
        <v>45871</v>
      </c>
      <c r="F251" s="1" t="s">
        <v>860</v>
      </c>
      <c r="G251" s="1" t="s">
        <v>44</v>
      </c>
      <c r="H251" s="1" t="s">
        <v>98</v>
      </c>
      <c r="I251" s="1" t="s">
        <v>33</v>
      </c>
      <c r="J251" s="1" t="s">
        <v>34</v>
      </c>
      <c r="K251" s="1" t="s">
        <v>35</v>
      </c>
      <c r="L251" s="1" t="s">
        <v>49</v>
      </c>
      <c r="M251" s="1" t="s">
        <v>65</v>
      </c>
      <c r="N251" s="1" t="s">
        <v>861</v>
      </c>
      <c r="O251" s="1" t="s">
        <v>58</v>
      </c>
      <c r="P251" s="1">
        <v>4</v>
      </c>
      <c r="Q251" s="1">
        <v>2790.29</v>
      </c>
      <c r="R251" s="1">
        <v>0.2</v>
      </c>
      <c r="S251" s="1">
        <v>8928.93</v>
      </c>
      <c r="T251" s="1">
        <f t="shared" si="18"/>
        <v>8928.9279999999999</v>
      </c>
      <c r="U251" s="1">
        <v>5634.38</v>
      </c>
      <c r="V251" s="3">
        <f>IF(T251=0,"",X251/T251)</f>
        <v>0.36897464062875185</v>
      </c>
      <c r="W251" s="1">
        <v>3294.55</v>
      </c>
      <c r="X251" s="1">
        <f>T251-U251</f>
        <v>3294.5479999999998</v>
      </c>
      <c r="Y251" s="1" t="s">
        <v>40</v>
      </c>
      <c r="Z251" s="1" t="s">
        <v>41</v>
      </c>
      <c r="AA251" s="1">
        <f t="shared" si="15"/>
        <v>1</v>
      </c>
      <c r="AB251" s="2" t="str">
        <f t="shared" si="19"/>
        <v>Clean</v>
      </c>
      <c r="AC251" s="2"/>
    </row>
    <row r="252" spans="1:29">
      <c r="A252" s="1" t="s">
        <v>862</v>
      </c>
      <c r="B252" s="2">
        <v>45343</v>
      </c>
      <c r="C252" s="2" t="str">
        <f t="shared" si="16"/>
        <v>February</v>
      </c>
      <c r="D252" s="1">
        <f t="shared" si="17"/>
        <v>2024</v>
      </c>
      <c r="E252" s="2">
        <v>45349</v>
      </c>
      <c r="F252" s="1" t="s">
        <v>863</v>
      </c>
      <c r="G252" s="1" t="s">
        <v>61</v>
      </c>
      <c r="H252" s="1" t="s">
        <v>45</v>
      </c>
      <c r="I252" s="1" t="s">
        <v>46</v>
      </c>
      <c r="J252" s="1" t="s">
        <v>107</v>
      </c>
      <c r="K252" s="1" t="s">
        <v>108</v>
      </c>
      <c r="L252" s="1" t="s">
        <v>49</v>
      </c>
      <c r="M252" s="1" t="s">
        <v>65</v>
      </c>
      <c r="N252" s="1" t="s">
        <v>864</v>
      </c>
      <c r="O252" s="1" t="s">
        <v>67</v>
      </c>
      <c r="P252" s="1">
        <v>5</v>
      </c>
      <c r="Q252" s="1">
        <v>3373.86</v>
      </c>
      <c r="R252" s="1">
        <v>0.15</v>
      </c>
      <c r="S252" s="1">
        <v>14338.9</v>
      </c>
      <c r="T252" s="1">
        <f t="shared" si="18"/>
        <v>14338.904999999999</v>
      </c>
      <c r="U252" s="1">
        <v>11897.65</v>
      </c>
      <c r="V252" s="3">
        <f>IF(T252=0,"",X252/T252)</f>
        <v>0.17025393501107647</v>
      </c>
      <c r="W252" s="1">
        <v>2441.25</v>
      </c>
      <c r="X252" s="1">
        <f>T252-U252</f>
        <v>2441.2549999999992</v>
      </c>
      <c r="Y252" s="1" t="s">
        <v>119</v>
      </c>
      <c r="Z252" s="1" t="s">
        <v>111</v>
      </c>
      <c r="AA252" s="1">
        <f t="shared" si="15"/>
        <v>6</v>
      </c>
      <c r="AB252" s="2" t="str">
        <f t="shared" si="19"/>
        <v>Clean</v>
      </c>
      <c r="AC252" s="2"/>
    </row>
    <row r="253" spans="1:29">
      <c r="A253" s="1" t="s">
        <v>865</v>
      </c>
      <c r="B253" s="2">
        <v>45812</v>
      </c>
      <c r="C253" s="2" t="str">
        <f t="shared" si="16"/>
        <v>June</v>
      </c>
      <c r="D253" s="1">
        <f t="shared" si="17"/>
        <v>2025</v>
      </c>
      <c r="E253" s="2">
        <v>45757</v>
      </c>
      <c r="F253" s="1" t="s">
        <v>866</v>
      </c>
      <c r="G253" s="1" t="s">
        <v>70</v>
      </c>
      <c r="H253" s="1" t="s">
        <v>98</v>
      </c>
      <c r="I253" s="1" t="s">
        <v>71</v>
      </c>
      <c r="J253" s="1" t="s">
        <v>188</v>
      </c>
      <c r="K253" s="1" t="s">
        <v>189</v>
      </c>
      <c r="L253" s="1" t="s">
        <v>49</v>
      </c>
      <c r="M253" s="1" t="s">
        <v>50</v>
      </c>
      <c r="N253" s="1" t="s">
        <v>867</v>
      </c>
      <c r="O253" s="1" t="s">
        <v>39</v>
      </c>
      <c r="P253" s="1">
        <v>6</v>
      </c>
      <c r="Q253" s="1">
        <v>1022.16</v>
      </c>
      <c r="R253" s="1">
        <v>0</v>
      </c>
      <c r="S253" s="1">
        <v>6132.96</v>
      </c>
      <c r="T253" s="1">
        <f t="shared" si="18"/>
        <v>6132.96</v>
      </c>
      <c r="U253" s="1">
        <v>4881.1000000000004</v>
      </c>
      <c r="V253" s="3">
        <f>IF(T253=0,"",X253/T253)</f>
        <v>0.20412003339333692</v>
      </c>
      <c r="W253" s="1">
        <v>1251.8599999999999</v>
      </c>
      <c r="X253" s="1">
        <f>T253-U253</f>
        <v>1251.8599999999997</v>
      </c>
      <c r="Y253" s="1" t="s">
        <v>40</v>
      </c>
      <c r="Z253" s="1" t="s">
        <v>41</v>
      </c>
      <c r="AA253" s="4">
        <f t="shared" si="15"/>
        <v>-55</v>
      </c>
      <c r="AB253" s="2" t="str">
        <f t="shared" si="19"/>
        <v>Invalid</v>
      </c>
      <c r="AC253" s="2"/>
    </row>
    <row r="254" spans="1:29">
      <c r="A254" s="1" t="s">
        <v>868</v>
      </c>
      <c r="B254" s="2">
        <v>45833</v>
      </c>
      <c r="C254" s="2" t="str">
        <f t="shared" si="16"/>
        <v>June</v>
      </c>
      <c r="D254" s="1">
        <f t="shared" si="17"/>
        <v>2025</v>
      </c>
      <c r="E254" s="2">
        <v>45836</v>
      </c>
      <c r="F254" s="1" t="s">
        <v>869</v>
      </c>
      <c r="G254" s="1" t="s">
        <v>61</v>
      </c>
      <c r="H254" s="1" t="s">
        <v>98</v>
      </c>
      <c r="I254" s="1" t="s">
        <v>33</v>
      </c>
      <c r="J254" s="1" t="s">
        <v>245</v>
      </c>
      <c r="K254" s="1" t="s">
        <v>246</v>
      </c>
      <c r="L254" s="1" t="s">
        <v>36</v>
      </c>
      <c r="M254" s="1" t="s">
        <v>132</v>
      </c>
      <c r="N254" s="1" t="s">
        <v>870</v>
      </c>
      <c r="O254" s="1" t="s">
        <v>58</v>
      </c>
      <c r="P254" s="1">
        <v>2</v>
      </c>
      <c r="Q254" s="1">
        <v>1455.92</v>
      </c>
      <c r="R254" s="1">
        <v>0.2</v>
      </c>
      <c r="S254" s="1">
        <v>2329.4699999999998</v>
      </c>
      <c r="T254" s="1">
        <f t="shared" si="18"/>
        <v>2329.4720000000002</v>
      </c>
      <c r="U254" s="1">
        <v>1603.62</v>
      </c>
      <c r="V254" s="3">
        <f>IF(T254=0,"",X254/T254)</f>
        <v>0.31159507390515973</v>
      </c>
      <c r="W254" s="1">
        <v>725.85</v>
      </c>
      <c r="X254" s="1">
        <f>T254-U254</f>
        <v>725.85200000000032</v>
      </c>
      <c r="Y254" s="1" t="s">
        <v>119</v>
      </c>
      <c r="Z254" s="1" t="s">
        <v>111</v>
      </c>
      <c r="AA254" s="1">
        <f t="shared" si="15"/>
        <v>3</v>
      </c>
      <c r="AB254" s="2" t="str">
        <f t="shared" si="19"/>
        <v>Clean</v>
      </c>
      <c r="AC254" s="2"/>
    </row>
    <row r="255" spans="1:29">
      <c r="A255" s="1" t="s">
        <v>871</v>
      </c>
      <c r="B255" s="2">
        <v>45635</v>
      </c>
      <c r="C255" s="2" t="str">
        <f t="shared" si="16"/>
        <v>December</v>
      </c>
      <c r="D255" s="1">
        <f t="shared" si="17"/>
        <v>2024</v>
      </c>
      <c r="E255" s="2">
        <v>45548</v>
      </c>
      <c r="F255" s="1" t="s">
        <v>872</v>
      </c>
      <c r="G255" s="1" t="s">
        <v>122</v>
      </c>
      <c r="H255" s="1" t="s">
        <v>45</v>
      </c>
      <c r="I255" s="1" t="s">
        <v>33</v>
      </c>
      <c r="J255" s="1" t="s">
        <v>34</v>
      </c>
      <c r="K255" s="1" t="s">
        <v>35</v>
      </c>
      <c r="L255" s="1" t="s">
        <v>82</v>
      </c>
      <c r="M255" s="1" t="s">
        <v>179</v>
      </c>
      <c r="N255" s="1" t="s">
        <v>873</v>
      </c>
      <c r="O255" s="1" t="s">
        <v>52</v>
      </c>
      <c r="P255" s="1">
        <v>6</v>
      </c>
      <c r="Q255" s="1">
        <v>832.79</v>
      </c>
      <c r="R255" s="1">
        <v>0.05</v>
      </c>
      <c r="S255" s="1">
        <v>4746.8999999999996</v>
      </c>
      <c r="T255" s="1">
        <f t="shared" si="18"/>
        <v>4746.9029999999993</v>
      </c>
      <c r="U255" s="1">
        <v>2825.38</v>
      </c>
      <c r="V255" s="3">
        <f>IF(T255=0,"",X255/T255)</f>
        <v>0.40479508428969363</v>
      </c>
      <c r="W255" s="1">
        <v>1472.89</v>
      </c>
      <c r="X255" s="1">
        <f>T255-U255</f>
        <v>1921.5229999999992</v>
      </c>
      <c r="Y255" s="1" t="s">
        <v>110</v>
      </c>
      <c r="Z255" s="1" t="s">
        <v>76</v>
      </c>
      <c r="AA255" s="4">
        <f t="shared" si="15"/>
        <v>-87</v>
      </c>
      <c r="AB255" s="2" t="str">
        <f t="shared" si="19"/>
        <v>Invalid</v>
      </c>
      <c r="AC255" s="2"/>
    </row>
    <row r="256" spans="1:29">
      <c r="A256" s="1" t="s">
        <v>874</v>
      </c>
      <c r="B256" s="2">
        <v>45658</v>
      </c>
      <c r="C256" s="2" t="str">
        <f t="shared" si="16"/>
        <v>January</v>
      </c>
      <c r="D256" s="1">
        <f t="shared" si="17"/>
        <v>2025</v>
      </c>
      <c r="E256" s="2">
        <v>45717</v>
      </c>
      <c r="F256" s="1" t="s">
        <v>875</v>
      </c>
      <c r="G256" s="1" t="s">
        <v>70</v>
      </c>
      <c r="H256" s="1" t="s">
        <v>32</v>
      </c>
      <c r="I256" s="1" t="s">
        <v>71</v>
      </c>
      <c r="J256" s="1" t="s">
        <v>80</v>
      </c>
      <c r="K256" s="1" t="s">
        <v>81</v>
      </c>
      <c r="L256" s="1" t="s">
        <v>82</v>
      </c>
      <c r="M256" s="1" t="s">
        <v>83</v>
      </c>
      <c r="N256" s="1" t="s">
        <v>876</v>
      </c>
      <c r="O256" s="1" t="s">
        <v>52</v>
      </c>
      <c r="P256" s="1">
        <v>7</v>
      </c>
      <c r="Q256" s="1">
        <v>1000.55</v>
      </c>
      <c r="R256" s="1">
        <v>0.2</v>
      </c>
      <c r="S256" s="1">
        <v>5603.08</v>
      </c>
      <c r="T256" s="1">
        <f t="shared" si="18"/>
        <v>5603.08</v>
      </c>
      <c r="U256" s="1">
        <v>3132.52</v>
      </c>
      <c r="V256" s="3">
        <f>IF(T256=0,"",X256/T256)</f>
        <v>0.44092891766671188</v>
      </c>
      <c r="W256" s="1">
        <v>2470.56</v>
      </c>
      <c r="X256" s="1">
        <f>T256-U256</f>
        <v>2470.56</v>
      </c>
      <c r="Y256" s="1" t="s">
        <v>40</v>
      </c>
      <c r="Z256" s="1" t="s">
        <v>111</v>
      </c>
      <c r="AA256" s="1">
        <f t="shared" si="15"/>
        <v>59</v>
      </c>
      <c r="AB256" s="2" t="str">
        <f t="shared" si="19"/>
        <v>Clean</v>
      </c>
      <c r="AC256" s="2"/>
    </row>
    <row r="257" spans="1:29">
      <c r="A257" s="1" t="s">
        <v>877</v>
      </c>
      <c r="B257" s="2">
        <v>45749</v>
      </c>
      <c r="C257" s="2" t="str">
        <f t="shared" si="16"/>
        <v>April</v>
      </c>
      <c r="D257" s="1">
        <f t="shared" si="17"/>
        <v>2025</v>
      </c>
      <c r="E257" s="2">
        <v>45698</v>
      </c>
      <c r="F257" s="1" t="s">
        <v>878</v>
      </c>
      <c r="G257" s="1" t="s">
        <v>55</v>
      </c>
      <c r="H257" s="1" t="s">
        <v>98</v>
      </c>
      <c r="I257" s="1" t="s">
        <v>71</v>
      </c>
      <c r="J257" s="1" t="s">
        <v>72</v>
      </c>
      <c r="K257" s="1" t="s">
        <v>73</v>
      </c>
      <c r="L257" s="1" t="s">
        <v>82</v>
      </c>
      <c r="M257" s="1" t="s">
        <v>179</v>
      </c>
      <c r="N257" s="1" t="s">
        <v>879</v>
      </c>
      <c r="O257" s="1" t="s">
        <v>58</v>
      </c>
      <c r="P257" s="1">
        <v>7</v>
      </c>
      <c r="Q257" s="1">
        <v>1830</v>
      </c>
      <c r="R257" s="1">
        <v>0</v>
      </c>
      <c r="S257" s="1">
        <v>12810</v>
      </c>
      <c r="T257" s="1">
        <f t="shared" si="18"/>
        <v>12810</v>
      </c>
      <c r="U257" s="1">
        <v>9334.1200000000008</v>
      </c>
      <c r="V257" s="3">
        <f>IF(T257=0,"",X257/T257)</f>
        <v>0.27134113973458229</v>
      </c>
      <c r="W257" s="1">
        <v>3475.88</v>
      </c>
      <c r="X257" s="1">
        <f>T257-U257</f>
        <v>3475.8799999999992</v>
      </c>
      <c r="Y257" s="1" t="s">
        <v>40</v>
      </c>
      <c r="Z257" s="1" t="s">
        <v>41</v>
      </c>
      <c r="AA257" s="4">
        <f t="shared" si="15"/>
        <v>-51</v>
      </c>
      <c r="AB257" s="2" t="str">
        <f t="shared" si="19"/>
        <v>Invalid</v>
      </c>
      <c r="AC257" s="2"/>
    </row>
    <row r="258" spans="1:29">
      <c r="A258" s="1" t="s">
        <v>880</v>
      </c>
      <c r="B258" s="2">
        <v>45423</v>
      </c>
      <c r="C258" s="2" t="str">
        <f t="shared" si="16"/>
        <v>May</v>
      </c>
      <c r="D258" s="1">
        <f t="shared" si="17"/>
        <v>2024</v>
      </c>
      <c r="E258" s="2">
        <v>45362</v>
      </c>
      <c r="F258" s="1" t="s">
        <v>881</v>
      </c>
      <c r="G258" s="1" t="s">
        <v>70</v>
      </c>
      <c r="H258" s="1" t="s">
        <v>32</v>
      </c>
      <c r="I258" s="1" t="s">
        <v>46</v>
      </c>
      <c r="J258" s="1" t="s">
        <v>107</v>
      </c>
      <c r="K258" s="1" t="s">
        <v>108</v>
      </c>
      <c r="L258" s="1" t="s">
        <v>49</v>
      </c>
      <c r="M258" s="1" t="s">
        <v>50</v>
      </c>
      <c r="N258" s="1" t="s">
        <v>882</v>
      </c>
      <c r="O258" s="1" t="s">
        <v>58</v>
      </c>
      <c r="P258" s="1">
        <v>9</v>
      </c>
      <c r="Q258" s="1">
        <v>2260.61</v>
      </c>
      <c r="R258" s="1">
        <v>0.05</v>
      </c>
      <c r="S258" s="1">
        <v>19328.22</v>
      </c>
      <c r="T258" s="1">
        <f t="shared" si="18"/>
        <v>19328.215500000002</v>
      </c>
      <c r="U258" s="1">
        <v>12039.5</v>
      </c>
      <c r="V258" s="3">
        <f>IF(T258=0,"",X258/T258)</f>
        <v>0.3771023507058891</v>
      </c>
      <c r="W258" s="1">
        <v>7288.72</v>
      </c>
      <c r="X258" s="1">
        <f>T258-U258</f>
        <v>7288.7155000000021</v>
      </c>
      <c r="Y258" s="1" t="s">
        <v>40</v>
      </c>
      <c r="Z258" s="1" t="s">
        <v>41</v>
      </c>
      <c r="AA258" s="4">
        <f t="shared" ref="AA258:AA321" si="20">E258-B258</f>
        <v>-61</v>
      </c>
      <c r="AB258" s="2" t="str">
        <f t="shared" si="19"/>
        <v>Invalid</v>
      </c>
      <c r="AC258" s="2"/>
    </row>
    <row r="259" spans="1:29">
      <c r="A259" s="1" t="s">
        <v>883</v>
      </c>
      <c r="B259" s="2">
        <v>45908</v>
      </c>
      <c r="C259" s="2" t="str">
        <f t="shared" ref="C259:C322" si="21">TEXT(B259,"mmmm")</f>
        <v>September</v>
      </c>
      <c r="D259" s="1">
        <f t="shared" ref="D259:D322" si="22">YEAR(B259)</f>
        <v>2025</v>
      </c>
      <c r="E259" s="2">
        <v>45999</v>
      </c>
      <c r="F259" s="1" t="s">
        <v>884</v>
      </c>
      <c r="G259" s="1" t="s">
        <v>170</v>
      </c>
      <c r="H259" s="1" t="s">
        <v>98</v>
      </c>
      <c r="I259" s="1" t="s">
        <v>62</v>
      </c>
      <c r="J259" s="1" t="s">
        <v>183</v>
      </c>
      <c r="K259" s="1" t="s">
        <v>184</v>
      </c>
      <c r="L259" s="1" t="s">
        <v>82</v>
      </c>
      <c r="M259" s="1" t="s">
        <v>83</v>
      </c>
      <c r="N259" s="1" t="s">
        <v>885</v>
      </c>
      <c r="O259" s="1" t="s">
        <v>39</v>
      </c>
      <c r="P259" s="1">
        <v>2</v>
      </c>
      <c r="Q259" s="1">
        <v>3237.27</v>
      </c>
      <c r="R259" s="1">
        <v>0</v>
      </c>
      <c r="S259" s="1">
        <v>6474.54</v>
      </c>
      <c r="T259" s="1">
        <f t="shared" ref="T259:T322" si="23">P259*Q259*(1-R259)</f>
        <v>6474.54</v>
      </c>
      <c r="U259" s="1">
        <v>5095.91</v>
      </c>
      <c r="V259" s="3">
        <f>IF(T259=0,"",X259/T259)</f>
        <v>0.21293095725719513</v>
      </c>
      <c r="W259" s="1">
        <v>1378.63</v>
      </c>
      <c r="X259" s="1">
        <f>T259-U259</f>
        <v>1378.63</v>
      </c>
      <c r="Y259" s="1" t="s">
        <v>40</v>
      </c>
      <c r="Z259" s="1" t="s">
        <v>76</v>
      </c>
      <c r="AA259" s="1">
        <f t="shared" si="20"/>
        <v>91</v>
      </c>
      <c r="AB259" s="2" t="str">
        <f t="shared" ref="AB259:AB322" si="24">IF(OR(AA259&lt;0,R259&lt;0),"Invalid",IF(OR(I259="Unknown",O259="Unknown"),"Warning","Clean"))</f>
        <v>Clean</v>
      </c>
      <c r="AC259" s="2"/>
    </row>
    <row r="260" spans="1:29">
      <c r="A260" s="1" t="s">
        <v>886</v>
      </c>
      <c r="B260" s="2">
        <v>45656</v>
      </c>
      <c r="C260" s="2" t="str">
        <f t="shared" si="21"/>
        <v>December</v>
      </c>
      <c r="D260" s="1">
        <f t="shared" si="22"/>
        <v>2024</v>
      </c>
      <c r="E260" s="2">
        <v>45748</v>
      </c>
      <c r="F260" s="1" t="s">
        <v>887</v>
      </c>
      <c r="G260" s="1" t="s">
        <v>140</v>
      </c>
      <c r="H260" s="1" t="s">
        <v>98</v>
      </c>
      <c r="I260" s="1" t="s">
        <v>62</v>
      </c>
      <c r="J260" s="1" t="s">
        <v>256</v>
      </c>
      <c r="K260" s="1" t="s">
        <v>257</v>
      </c>
      <c r="L260" s="1" t="s">
        <v>49</v>
      </c>
      <c r="M260" s="1" t="s">
        <v>50</v>
      </c>
      <c r="N260" s="1" t="s">
        <v>888</v>
      </c>
      <c r="O260" s="1" t="s">
        <v>52</v>
      </c>
      <c r="P260" s="1">
        <v>2</v>
      </c>
      <c r="Q260" s="1">
        <v>3720.07</v>
      </c>
      <c r="R260" s="1">
        <v>0.25</v>
      </c>
      <c r="S260" s="1">
        <v>5580.11</v>
      </c>
      <c r="T260" s="1">
        <f t="shared" si="23"/>
        <v>5580.1050000000005</v>
      </c>
      <c r="U260" s="1">
        <v>4307.01</v>
      </c>
      <c r="V260" s="3">
        <f>IF(T260=0,"",X260/T260)</f>
        <v>0.22814893268137429</v>
      </c>
      <c r="W260" s="1">
        <v>1273.0999999999999</v>
      </c>
      <c r="X260" s="1">
        <f>T260-U260</f>
        <v>1273.0950000000003</v>
      </c>
      <c r="Y260" s="1" t="s">
        <v>40</v>
      </c>
      <c r="Z260" s="1" t="s">
        <v>41</v>
      </c>
      <c r="AA260" s="1">
        <f t="shared" si="20"/>
        <v>92</v>
      </c>
      <c r="AB260" s="2" t="str">
        <f t="shared" si="24"/>
        <v>Clean</v>
      </c>
      <c r="AC260" s="2"/>
    </row>
    <row r="261" spans="1:29">
      <c r="A261" s="1" t="s">
        <v>889</v>
      </c>
      <c r="B261" s="2">
        <v>45464</v>
      </c>
      <c r="C261" s="2" t="str">
        <f t="shared" si="21"/>
        <v>June</v>
      </c>
      <c r="D261" s="1">
        <f t="shared" si="22"/>
        <v>2024</v>
      </c>
      <c r="E261" s="2">
        <v>45472</v>
      </c>
      <c r="F261" s="1" t="s">
        <v>890</v>
      </c>
      <c r="G261" s="1" t="s">
        <v>87</v>
      </c>
      <c r="H261" s="1" t="s">
        <v>32</v>
      </c>
      <c r="I261" s="1" t="s">
        <v>62</v>
      </c>
      <c r="J261" s="1" t="s">
        <v>256</v>
      </c>
      <c r="K261" s="1" t="s">
        <v>257</v>
      </c>
      <c r="L261" s="1" t="s">
        <v>82</v>
      </c>
      <c r="M261" s="1" t="s">
        <v>283</v>
      </c>
      <c r="N261" s="1" t="s">
        <v>891</v>
      </c>
      <c r="O261" s="1" t="s">
        <v>67</v>
      </c>
      <c r="P261" s="1">
        <v>8</v>
      </c>
      <c r="Q261" s="1">
        <v>2853.92</v>
      </c>
      <c r="R261" s="1">
        <v>0.2</v>
      </c>
      <c r="S261" s="1">
        <v>18265.09</v>
      </c>
      <c r="T261" s="1">
        <f t="shared" si="23"/>
        <v>18265.088</v>
      </c>
      <c r="U261" s="1">
        <v>10437.14</v>
      </c>
      <c r="V261" s="3">
        <f>IF(T261=0,"",X261/T261)</f>
        <v>0.42857433810338064</v>
      </c>
      <c r="W261" s="1">
        <v>7827.95</v>
      </c>
      <c r="X261" s="1">
        <f>T261-U261</f>
        <v>7827.9480000000003</v>
      </c>
      <c r="Y261" s="1" t="s">
        <v>40</v>
      </c>
      <c r="Z261" s="1" t="s">
        <v>41</v>
      </c>
      <c r="AA261" s="1">
        <f t="shared" si="20"/>
        <v>8</v>
      </c>
      <c r="AB261" s="2" t="str">
        <f t="shared" si="24"/>
        <v>Clean</v>
      </c>
      <c r="AC261" s="2"/>
    </row>
    <row r="262" spans="1:29">
      <c r="A262" s="1" t="s">
        <v>892</v>
      </c>
      <c r="B262" s="2">
        <v>45923</v>
      </c>
      <c r="C262" s="2" t="str">
        <f t="shared" si="21"/>
        <v>September</v>
      </c>
      <c r="D262" s="1">
        <f t="shared" si="22"/>
        <v>2025</v>
      </c>
      <c r="E262" s="2">
        <v>45927</v>
      </c>
      <c r="F262" s="1" t="s">
        <v>893</v>
      </c>
      <c r="G262" s="1" t="s">
        <v>97</v>
      </c>
      <c r="H262" s="1" t="s">
        <v>98</v>
      </c>
      <c r="I262" s="1" t="s">
        <v>46</v>
      </c>
      <c r="J262" s="1" t="s">
        <v>107</v>
      </c>
      <c r="K262" s="1" t="s">
        <v>108</v>
      </c>
      <c r="L262" s="1" t="s">
        <v>36</v>
      </c>
      <c r="M262" s="1" t="s">
        <v>161</v>
      </c>
      <c r="N262" s="1" t="s">
        <v>894</v>
      </c>
      <c r="O262" s="1" t="s">
        <v>52</v>
      </c>
      <c r="P262" s="1">
        <v>7</v>
      </c>
      <c r="Q262" s="1">
        <v>2897.12</v>
      </c>
      <c r="R262" s="1">
        <v>0.25</v>
      </c>
      <c r="S262" s="1">
        <v>15209.88</v>
      </c>
      <c r="T262" s="1">
        <f t="shared" si="23"/>
        <v>15209.880000000001</v>
      </c>
      <c r="U262" s="1">
        <v>10891.15</v>
      </c>
      <c r="V262" s="3">
        <f>IF(T262=0,"",X262/T262)</f>
        <v>0.28394241111698454</v>
      </c>
      <c r="W262" s="1">
        <v>4318.7299999999996</v>
      </c>
      <c r="X262" s="1">
        <f>T262-U262</f>
        <v>4318.7300000000014</v>
      </c>
      <c r="Y262" s="1" t="s">
        <v>163</v>
      </c>
      <c r="Z262" s="1" t="s">
        <v>111</v>
      </c>
      <c r="AA262" s="1">
        <f t="shared" si="20"/>
        <v>4</v>
      </c>
      <c r="AB262" s="2" t="str">
        <f t="shared" si="24"/>
        <v>Clean</v>
      </c>
      <c r="AC262" s="2"/>
    </row>
    <row r="263" spans="1:29">
      <c r="A263" s="1" t="s">
        <v>895</v>
      </c>
      <c r="B263" s="2">
        <v>45826</v>
      </c>
      <c r="C263" s="2" t="str">
        <f t="shared" si="21"/>
        <v>June</v>
      </c>
      <c r="D263" s="1">
        <f t="shared" si="22"/>
        <v>2025</v>
      </c>
      <c r="E263" s="2">
        <v>45832</v>
      </c>
      <c r="F263" s="1" t="s">
        <v>896</v>
      </c>
      <c r="G263" s="1" t="s">
        <v>140</v>
      </c>
      <c r="H263" s="1" t="s">
        <v>98</v>
      </c>
      <c r="I263" s="1" t="s">
        <v>33</v>
      </c>
      <c r="J263" s="1" t="s">
        <v>34</v>
      </c>
      <c r="K263" s="1" t="s">
        <v>35</v>
      </c>
      <c r="L263" s="1" t="s">
        <v>36</v>
      </c>
      <c r="M263" s="1" t="s">
        <v>99</v>
      </c>
      <c r="N263" s="1" t="s">
        <v>897</v>
      </c>
      <c r="O263" s="1" t="s">
        <v>67</v>
      </c>
      <c r="P263" s="1">
        <v>3</v>
      </c>
      <c r="Q263" s="1">
        <v>686.74</v>
      </c>
      <c r="R263" s="1">
        <v>0.2</v>
      </c>
      <c r="S263" s="1">
        <v>1648.18</v>
      </c>
      <c r="T263" s="1">
        <f t="shared" si="23"/>
        <v>1648.1760000000004</v>
      </c>
      <c r="U263" s="1">
        <v>987.91</v>
      </c>
      <c r="V263" s="3">
        <f>IF(T263=0,"",X263/T263)</f>
        <v>0.40060406170214846</v>
      </c>
      <c r="W263" s="1">
        <v>660.27</v>
      </c>
      <c r="X263" s="1">
        <f>T263-U263</f>
        <v>660.26600000000042</v>
      </c>
      <c r="Y263" s="1" t="s">
        <v>163</v>
      </c>
      <c r="Z263" s="1" t="s">
        <v>76</v>
      </c>
      <c r="AA263" s="1">
        <f t="shared" si="20"/>
        <v>6</v>
      </c>
      <c r="AB263" s="2" t="str">
        <f t="shared" si="24"/>
        <v>Clean</v>
      </c>
      <c r="AC263" s="2"/>
    </row>
    <row r="264" spans="1:29">
      <c r="A264" s="1" t="s">
        <v>898</v>
      </c>
      <c r="B264" s="2">
        <v>45803</v>
      </c>
      <c r="C264" s="2" t="str">
        <f t="shared" si="21"/>
        <v>May</v>
      </c>
      <c r="D264" s="1">
        <f t="shared" si="22"/>
        <v>2025</v>
      </c>
      <c r="E264" s="2">
        <v>45663</v>
      </c>
      <c r="F264" s="1" t="s">
        <v>633</v>
      </c>
      <c r="G264" s="1" t="s">
        <v>61</v>
      </c>
      <c r="H264" s="1" t="s">
        <v>45</v>
      </c>
      <c r="I264" s="1" t="s">
        <v>33</v>
      </c>
      <c r="J264" s="1" t="s">
        <v>359</v>
      </c>
      <c r="K264" s="1" t="s">
        <v>360</v>
      </c>
      <c r="L264" s="1" t="s">
        <v>82</v>
      </c>
      <c r="M264" s="1" t="s">
        <v>179</v>
      </c>
      <c r="N264" s="1" t="s">
        <v>899</v>
      </c>
      <c r="O264" s="1" t="s">
        <v>52</v>
      </c>
      <c r="P264" s="1">
        <v>4</v>
      </c>
      <c r="Q264" s="1">
        <v>3349.86</v>
      </c>
      <c r="R264" s="1">
        <v>0</v>
      </c>
      <c r="S264" s="1">
        <v>13399.44</v>
      </c>
      <c r="T264" s="1">
        <f t="shared" si="23"/>
        <v>13399.44</v>
      </c>
      <c r="U264" s="1">
        <v>8581.35</v>
      </c>
      <c r="V264" s="3">
        <f>IF(T264=0,"",X264/T264)</f>
        <v>0.3595739821962709</v>
      </c>
      <c r="W264" s="1">
        <v>4818.09</v>
      </c>
      <c r="X264" s="1">
        <f>T264-U264</f>
        <v>4818.09</v>
      </c>
      <c r="Y264" s="1" t="s">
        <v>119</v>
      </c>
      <c r="Z264" s="1" t="s">
        <v>111</v>
      </c>
      <c r="AA264" s="4">
        <f t="shared" si="20"/>
        <v>-140</v>
      </c>
      <c r="AB264" s="2" t="str">
        <f t="shared" si="24"/>
        <v>Invalid</v>
      </c>
      <c r="AC264" s="2"/>
    </row>
    <row r="265" spans="1:29">
      <c r="A265" s="1" t="s">
        <v>900</v>
      </c>
      <c r="B265" s="2">
        <v>45816</v>
      </c>
      <c r="C265" s="2" t="str">
        <f t="shared" si="21"/>
        <v>June</v>
      </c>
      <c r="D265" s="1">
        <f t="shared" si="22"/>
        <v>2025</v>
      </c>
      <c r="E265" s="2">
        <v>45938</v>
      </c>
      <c r="F265" s="1" t="s">
        <v>901</v>
      </c>
      <c r="G265" s="1" t="s">
        <v>149</v>
      </c>
      <c r="H265" s="1" t="s">
        <v>45</v>
      </c>
      <c r="I265" s="1" t="s">
        <v>33</v>
      </c>
      <c r="J265" s="1" t="s">
        <v>359</v>
      </c>
      <c r="K265" s="1" t="s">
        <v>360</v>
      </c>
      <c r="L265" s="1" t="s">
        <v>36</v>
      </c>
      <c r="M265" s="1" t="s">
        <v>161</v>
      </c>
      <c r="N265" s="1" t="s">
        <v>902</v>
      </c>
      <c r="O265" s="1" t="s">
        <v>39</v>
      </c>
      <c r="P265" s="1">
        <v>9</v>
      </c>
      <c r="Q265" s="1">
        <v>4042.45</v>
      </c>
      <c r="R265" s="1">
        <v>0.1</v>
      </c>
      <c r="S265" s="1">
        <v>32743.84</v>
      </c>
      <c r="T265" s="1">
        <f t="shared" si="23"/>
        <v>32743.844999999998</v>
      </c>
      <c r="U265" s="1">
        <v>22452.05</v>
      </c>
      <c r="V265" s="3">
        <f>IF(T265=0,"",X265/T265)</f>
        <v>0.314312353970647</v>
      </c>
      <c r="W265" s="1">
        <v>10291.790000000001</v>
      </c>
      <c r="X265" s="1">
        <f>T265-U265</f>
        <v>10291.794999999998</v>
      </c>
      <c r="Y265" s="1" t="s">
        <v>119</v>
      </c>
      <c r="Z265" s="1" t="s">
        <v>111</v>
      </c>
      <c r="AA265" s="1">
        <f t="shared" si="20"/>
        <v>122</v>
      </c>
      <c r="AB265" s="2" t="str">
        <f t="shared" si="24"/>
        <v>Clean</v>
      </c>
      <c r="AC265" s="2"/>
    </row>
    <row r="266" spans="1:29">
      <c r="A266" s="1" t="s">
        <v>903</v>
      </c>
      <c r="B266" s="2">
        <v>45428</v>
      </c>
      <c r="C266" s="2" t="str">
        <f t="shared" si="21"/>
        <v>May</v>
      </c>
      <c r="D266" s="1">
        <f t="shared" si="22"/>
        <v>2024</v>
      </c>
      <c r="E266" s="2">
        <v>45433</v>
      </c>
      <c r="F266" s="1" t="s">
        <v>904</v>
      </c>
      <c r="G266" s="1" t="s">
        <v>170</v>
      </c>
      <c r="H266" s="1" t="s">
        <v>45</v>
      </c>
      <c r="I266" s="1" t="s">
        <v>46</v>
      </c>
      <c r="J266" s="1" t="s">
        <v>153</v>
      </c>
      <c r="K266" s="1" t="s">
        <v>154</v>
      </c>
      <c r="L266" s="1" t="s">
        <v>82</v>
      </c>
      <c r="M266" s="1" t="s">
        <v>88</v>
      </c>
      <c r="N266" s="1" t="s">
        <v>905</v>
      </c>
      <c r="O266" s="1" t="s">
        <v>67</v>
      </c>
      <c r="P266" s="1">
        <v>4</v>
      </c>
      <c r="Q266" s="1">
        <v>1503.07</v>
      </c>
      <c r="R266" s="1">
        <v>0</v>
      </c>
      <c r="S266" s="1">
        <v>6012.28</v>
      </c>
      <c r="T266" s="1">
        <f t="shared" si="23"/>
        <v>6012.28</v>
      </c>
      <c r="U266" s="1">
        <v>3927.64</v>
      </c>
      <c r="V266" s="3">
        <f>IF(T266=0,"",X266/T266)</f>
        <v>0.34673035853286938</v>
      </c>
      <c r="W266" s="1">
        <v>2084.64</v>
      </c>
      <c r="X266" s="1">
        <f>T266-U266</f>
        <v>2084.64</v>
      </c>
      <c r="Y266" s="1" t="s">
        <v>40</v>
      </c>
      <c r="Z266" s="1" t="s">
        <v>41</v>
      </c>
      <c r="AA266" s="1">
        <f t="shared" si="20"/>
        <v>5</v>
      </c>
      <c r="AB266" s="2" t="str">
        <f t="shared" si="24"/>
        <v>Clean</v>
      </c>
      <c r="AC266" s="2"/>
    </row>
    <row r="267" spans="1:29">
      <c r="A267" s="1" t="s">
        <v>906</v>
      </c>
      <c r="B267" s="2">
        <v>45610</v>
      </c>
      <c r="C267" s="2" t="str">
        <f t="shared" si="21"/>
        <v>November</v>
      </c>
      <c r="D267" s="1">
        <f t="shared" si="22"/>
        <v>2024</v>
      </c>
      <c r="E267" s="2">
        <v>45618</v>
      </c>
      <c r="F267" s="1" t="s">
        <v>907</v>
      </c>
      <c r="G267" s="1" t="s">
        <v>122</v>
      </c>
      <c r="H267" s="1" t="s">
        <v>98</v>
      </c>
      <c r="I267" s="1" t="s">
        <v>46</v>
      </c>
      <c r="J267" s="1" t="s">
        <v>153</v>
      </c>
      <c r="K267" s="1" t="s">
        <v>154</v>
      </c>
      <c r="L267" s="1" t="s">
        <v>49</v>
      </c>
      <c r="M267" s="1" t="s">
        <v>166</v>
      </c>
      <c r="N267" s="1" t="s">
        <v>908</v>
      </c>
      <c r="O267" s="1" t="s">
        <v>52</v>
      </c>
      <c r="P267" s="1">
        <v>1</v>
      </c>
      <c r="Q267" s="1">
        <v>582.37</v>
      </c>
      <c r="R267" s="1">
        <v>0.15</v>
      </c>
      <c r="S267" s="1">
        <v>495.01</v>
      </c>
      <c r="T267" s="1">
        <f t="shared" si="23"/>
        <v>495.0145</v>
      </c>
      <c r="U267" s="1">
        <v>285.13</v>
      </c>
      <c r="V267" s="3">
        <f>IF(T267=0,"",X267/T267)</f>
        <v>0.42399667080459258</v>
      </c>
      <c r="W267" s="1">
        <v>209.88</v>
      </c>
      <c r="X267" s="1">
        <f>T267-U267</f>
        <v>209.8845</v>
      </c>
      <c r="Y267" s="1" t="s">
        <v>110</v>
      </c>
      <c r="Z267" s="1" t="s">
        <v>76</v>
      </c>
      <c r="AA267" s="1">
        <f t="shared" si="20"/>
        <v>8</v>
      </c>
      <c r="AB267" s="2" t="str">
        <f t="shared" si="24"/>
        <v>Clean</v>
      </c>
      <c r="AC267" s="2"/>
    </row>
    <row r="268" spans="1:29">
      <c r="A268" s="1" t="s">
        <v>909</v>
      </c>
      <c r="B268" s="2">
        <v>45721</v>
      </c>
      <c r="C268" s="2" t="str">
        <f t="shared" si="21"/>
        <v>March</v>
      </c>
      <c r="D268" s="1">
        <f t="shared" si="22"/>
        <v>2025</v>
      </c>
      <c r="E268" s="2">
        <v>45935</v>
      </c>
      <c r="F268" s="1" t="s">
        <v>910</v>
      </c>
      <c r="G268" s="1" t="s">
        <v>87</v>
      </c>
      <c r="H268" s="1" t="s">
        <v>103</v>
      </c>
      <c r="I268" s="1" t="s">
        <v>71</v>
      </c>
      <c r="J268" s="1" t="s">
        <v>72</v>
      </c>
      <c r="K268" s="1" t="s">
        <v>73</v>
      </c>
      <c r="L268" s="1" t="s">
        <v>36</v>
      </c>
      <c r="M268" s="1" t="s">
        <v>132</v>
      </c>
      <c r="N268" s="1" t="s">
        <v>911</v>
      </c>
      <c r="O268" s="1" t="s">
        <v>39</v>
      </c>
      <c r="P268" s="1">
        <v>3</v>
      </c>
      <c r="Q268" s="1">
        <v>4339.24</v>
      </c>
      <c r="R268" s="1">
        <v>0</v>
      </c>
      <c r="S268" s="1">
        <v>13017.72</v>
      </c>
      <c r="T268" s="1">
        <f t="shared" si="23"/>
        <v>13017.72</v>
      </c>
      <c r="U268" s="1">
        <v>10170.57</v>
      </c>
      <c r="V268" s="3">
        <f>IF(T268=0,"",X268/T268)</f>
        <v>0.21871341525244051</v>
      </c>
      <c r="W268" s="1">
        <v>2847.15</v>
      </c>
      <c r="X268" s="1">
        <f>T268-U268</f>
        <v>2847.1499999999996</v>
      </c>
      <c r="Y268" s="1" t="s">
        <v>40</v>
      </c>
      <c r="Z268" s="1" t="s">
        <v>41</v>
      </c>
      <c r="AA268" s="1">
        <f t="shared" si="20"/>
        <v>214</v>
      </c>
      <c r="AB268" s="2" t="str">
        <f t="shared" si="24"/>
        <v>Clean</v>
      </c>
      <c r="AC268" s="2"/>
    </row>
    <row r="269" spans="1:29">
      <c r="A269" s="1" t="s">
        <v>912</v>
      </c>
      <c r="B269" s="2">
        <v>45805</v>
      </c>
      <c r="C269" s="2" t="str">
        <f t="shared" si="21"/>
        <v>May</v>
      </c>
      <c r="D269" s="1">
        <f t="shared" si="22"/>
        <v>2025</v>
      </c>
      <c r="E269" s="2">
        <v>45753</v>
      </c>
      <c r="F269" s="1" t="s">
        <v>913</v>
      </c>
      <c r="G269" s="1" t="s">
        <v>170</v>
      </c>
      <c r="H269" s="1" t="s">
        <v>98</v>
      </c>
      <c r="I269" s="1" t="s">
        <v>46</v>
      </c>
      <c r="J269" s="1" t="s">
        <v>237</v>
      </c>
      <c r="K269" s="1" t="s">
        <v>238</v>
      </c>
      <c r="L269" s="1" t="s">
        <v>49</v>
      </c>
      <c r="M269" s="1" t="s">
        <v>65</v>
      </c>
      <c r="N269" s="1" t="s">
        <v>914</v>
      </c>
      <c r="O269" s="1" t="s">
        <v>58</v>
      </c>
      <c r="P269" s="1">
        <v>4</v>
      </c>
      <c r="Q269" s="1">
        <v>261.8</v>
      </c>
      <c r="R269" s="1">
        <v>0.25</v>
      </c>
      <c r="S269" s="1">
        <v>785.4</v>
      </c>
      <c r="T269" s="1">
        <f t="shared" si="23"/>
        <v>785.40000000000009</v>
      </c>
      <c r="U269" s="1">
        <v>557.22</v>
      </c>
      <c r="V269" s="3">
        <f>IF(T269=0,"",X269/T269)</f>
        <v>0.29052711993888469</v>
      </c>
      <c r="W269" s="1">
        <v>228.18</v>
      </c>
      <c r="X269" s="1">
        <f>T269-U269</f>
        <v>228.18000000000006</v>
      </c>
      <c r="Y269" s="1" t="s">
        <v>40</v>
      </c>
      <c r="Z269" s="1" t="s">
        <v>41</v>
      </c>
      <c r="AA269" s="4">
        <f t="shared" si="20"/>
        <v>-52</v>
      </c>
      <c r="AB269" s="2" t="str">
        <f t="shared" si="24"/>
        <v>Invalid</v>
      </c>
      <c r="AC269" s="2"/>
    </row>
    <row r="270" spans="1:29">
      <c r="A270" s="1" t="s">
        <v>915</v>
      </c>
      <c r="B270" s="2">
        <v>45886</v>
      </c>
      <c r="C270" s="2" t="str">
        <f t="shared" si="21"/>
        <v>August</v>
      </c>
      <c r="D270" s="1">
        <f t="shared" si="22"/>
        <v>2025</v>
      </c>
      <c r="E270" s="2">
        <v>45886</v>
      </c>
      <c r="F270" s="1" t="s">
        <v>916</v>
      </c>
      <c r="G270" s="1" t="s">
        <v>136</v>
      </c>
      <c r="H270" s="1" t="s">
        <v>103</v>
      </c>
      <c r="I270" s="1" t="s">
        <v>33</v>
      </c>
      <c r="J270" s="1" t="s">
        <v>130</v>
      </c>
      <c r="K270" s="1" t="s">
        <v>131</v>
      </c>
      <c r="L270" s="1" t="s">
        <v>82</v>
      </c>
      <c r="M270" s="1" t="s">
        <v>83</v>
      </c>
      <c r="N270" s="1" t="s">
        <v>917</v>
      </c>
      <c r="O270" s="1" t="s">
        <v>58</v>
      </c>
      <c r="P270" s="1">
        <v>7</v>
      </c>
      <c r="Q270" s="1">
        <v>632.20000000000005</v>
      </c>
      <c r="R270" s="1">
        <v>0.25</v>
      </c>
      <c r="S270" s="1">
        <v>3319.05</v>
      </c>
      <c r="T270" s="1">
        <f t="shared" si="23"/>
        <v>3319.05</v>
      </c>
      <c r="U270" s="1">
        <v>2124.6</v>
      </c>
      <c r="V270" s="3">
        <f>IF(T270=0,"",X270/T270)</f>
        <v>0.35987707325891449</v>
      </c>
      <c r="W270" s="1">
        <v>1194.45</v>
      </c>
      <c r="X270" s="1">
        <f>T270-U270</f>
        <v>1194.4500000000003</v>
      </c>
      <c r="Y270" s="1" t="s">
        <v>40</v>
      </c>
      <c r="Z270" s="1" t="s">
        <v>41</v>
      </c>
      <c r="AA270" s="1">
        <f t="shared" si="20"/>
        <v>0</v>
      </c>
      <c r="AB270" s="2" t="str">
        <f t="shared" si="24"/>
        <v>Clean</v>
      </c>
      <c r="AC270" s="2"/>
    </row>
    <row r="271" spans="1:29">
      <c r="A271" s="1" t="s">
        <v>918</v>
      </c>
      <c r="B271" s="2">
        <v>45698</v>
      </c>
      <c r="C271" s="2" t="str">
        <f t="shared" si="21"/>
        <v>February</v>
      </c>
      <c r="D271" s="1">
        <f t="shared" si="22"/>
        <v>2025</v>
      </c>
      <c r="E271" s="2">
        <v>45700</v>
      </c>
      <c r="F271" s="1" t="s">
        <v>919</v>
      </c>
      <c r="G271" s="1" t="s">
        <v>126</v>
      </c>
      <c r="H271" s="1" t="s">
        <v>45</v>
      </c>
      <c r="I271" s="1" t="s">
        <v>71</v>
      </c>
      <c r="J271" s="1" t="s">
        <v>34</v>
      </c>
      <c r="K271" s="1" t="s">
        <v>117</v>
      </c>
      <c r="L271" s="1" t="s">
        <v>49</v>
      </c>
      <c r="M271" s="1" t="s">
        <v>50</v>
      </c>
      <c r="N271" s="1" t="s">
        <v>920</v>
      </c>
      <c r="O271" s="1" t="s">
        <v>52</v>
      </c>
      <c r="P271" s="1">
        <v>1</v>
      </c>
      <c r="Q271" s="1">
        <v>1925.86</v>
      </c>
      <c r="R271" s="1">
        <v>0</v>
      </c>
      <c r="S271" s="1">
        <v>1925.86</v>
      </c>
      <c r="T271" s="1">
        <f t="shared" si="23"/>
        <v>1925.86</v>
      </c>
      <c r="U271" s="1">
        <v>1321.89</v>
      </c>
      <c r="V271" s="3">
        <f>IF(T271=0,"",X271/T271)</f>
        <v>0.31361054282242729</v>
      </c>
      <c r="W271" s="1">
        <v>603.97</v>
      </c>
      <c r="X271" s="1">
        <f>T271-U271</f>
        <v>603.9699999999998</v>
      </c>
      <c r="Y271" s="1" t="s">
        <v>40</v>
      </c>
      <c r="Z271" s="1" t="s">
        <v>41</v>
      </c>
      <c r="AA271" s="1">
        <f t="shared" si="20"/>
        <v>2</v>
      </c>
      <c r="AB271" s="2" t="str">
        <f t="shared" si="24"/>
        <v>Clean</v>
      </c>
      <c r="AC271" s="2"/>
    </row>
    <row r="272" spans="1:29">
      <c r="A272" s="1" t="s">
        <v>921</v>
      </c>
      <c r="B272" s="2">
        <v>45303</v>
      </c>
      <c r="C272" s="2" t="str">
        <f t="shared" si="21"/>
        <v>January</v>
      </c>
      <c r="D272" s="1">
        <f t="shared" si="22"/>
        <v>2024</v>
      </c>
      <c r="E272" s="2">
        <v>45304</v>
      </c>
      <c r="F272" s="1" t="s">
        <v>922</v>
      </c>
      <c r="G272" s="1" t="s">
        <v>97</v>
      </c>
      <c r="H272" s="1" t="s">
        <v>98</v>
      </c>
      <c r="I272" s="1" t="s">
        <v>33</v>
      </c>
      <c r="J272" s="1" t="s">
        <v>144</v>
      </c>
      <c r="K272" s="1" t="s">
        <v>145</v>
      </c>
      <c r="L272" s="1" t="s">
        <v>82</v>
      </c>
      <c r="M272" s="1" t="s">
        <v>283</v>
      </c>
      <c r="N272" s="1" t="s">
        <v>923</v>
      </c>
      <c r="O272" s="1" t="s">
        <v>52</v>
      </c>
      <c r="P272" s="1">
        <v>3</v>
      </c>
      <c r="Q272" s="1">
        <v>827.44</v>
      </c>
      <c r="R272" s="1">
        <v>0</v>
      </c>
      <c r="S272" s="1">
        <v>2482.3200000000002</v>
      </c>
      <c r="T272" s="1">
        <f t="shared" si="23"/>
        <v>2482.3200000000002</v>
      </c>
      <c r="U272" s="1">
        <v>1520.21</v>
      </c>
      <c r="V272" s="3">
        <f>IF(T272=0,"",X272/T272)</f>
        <v>0.38758500112797706</v>
      </c>
      <c r="W272" s="1">
        <v>962.11</v>
      </c>
      <c r="X272" s="1">
        <f>T272-U272</f>
        <v>962.11000000000013</v>
      </c>
      <c r="Y272" s="1" t="s">
        <v>40</v>
      </c>
      <c r="Z272" s="1" t="s">
        <v>41</v>
      </c>
      <c r="AA272" s="1">
        <f t="shared" si="20"/>
        <v>1</v>
      </c>
      <c r="AB272" s="2" t="str">
        <f t="shared" si="24"/>
        <v>Clean</v>
      </c>
      <c r="AC272" s="2"/>
    </row>
    <row r="273" spans="1:29">
      <c r="A273" s="1" t="s">
        <v>924</v>
      </c>
      <c r="B273" s="2">
        <v>45647</v>
      </c>
      <c r="C273" s="2" t="str">
        <f t="shared" si="21"/>
        <v>December</v>
      </c>
      <c r="D273" s="1">
        <f t="shared" si="22"/>
        <v>2024</v>
      </c>
      <c r="E273" s="2">
        <v>45651</v>
      </c>
      <c r="F273" s="1" t="s">
        <v>925</v>
      </c>
      <c r="G273" s="1" t="s">
        <v>97</v>
      </c>
      <c r="H273" s="1" t="s">
        <v>32</v>
      </c>
      <c r="I273" s="1" t="s">
        <v>62</v>
      </c>
      <c r="J273" s="1" t="s">
        <v>63</v>
      </c>
      <c r="K273" s="1" t="s">
        <v>64</v>
      </c>
      <c r="L273" s="1" t="s">
        <v>36</v>
      </c>
      <c r="M273" s="1" t="s">
        <v>161</v>
      </c>
      <c r="N273" s="1" t="s">
        <v>926</v>
      </c>
      <c r="O273" s="1" t="s">
        <v>67</v>
      </c>
      <c r="P273" s="1">
        <v>7</v>
      </c>
      <c r="Q273" s="1">
        <v>1667.75</v>
      </c>
      <c r="R273" s="1">
        <v>0</v>
      </c>
      <c r="S273" s="1">
        <v>11674.25</v>
      </c>
      <c r="T273" s="1">
        <f t="shared" si="23"/>
        <v>11674.25</v>
      </c>
      <c r="U273" s="1">
        <v>9621.19</v>
      </c>
      <c r="V273" s="3">
        <f>IF(T273=0,"",X273/T273)</f>
        <v>0.17586226095894808</v>
      </c>
      <c r="W273" s="1">
        <v>2053.06</v>
      </c>
      <c r="X273" s="1">
        <f>T273-U273</f>
        <v>2053.0599999999995</v>
      </c>
      <c r="Y273" s="1" t="s">
        <v>163</v>
      </c>
      <c r="Z273" s="1" t="s">
        <v>76</v>
      </c>
      <c r="AA273" s="1">
        <f t="shared" si="20"/>
        <v>4</v>
      </c>
      <c r="AB273" s="2" t="str">
        <f t="shared" si="24"/>
        <v>Clean</v>
      </c>
      <c r="AC273" s="2"/>
    </row>
    <row r="274" spans="1:29">
      <c r="A274" s="1" t="s">
        <v>784</v>
      </c>
      <c r="B274" s="2">
        <v>45522</v>
      </c>
      <c r="C274" s="2" t="str">
        <f t="shared" si="21"/>
        <v>August</v>
      </c>
      <c r="D274" s="1">
        <f t="shared" si="22"/>
        <v>2024</v>
      </c>
      <c r="E274" s="2">
        <v>45528</v>
      </c>
      <c r="F274" s="1" t="s">
        <v>785</v>
      </c>
      <c r="G274" s="1" t="s">
        <v>61</v>
      </c>
      <c r="H274" s="1" t="s">
        <v>32</v>
      </c>
      <c r="I274" s="1" t="s">
        <v>62</v>
      </c>
      <c r="J274" s="1" t="s">
        <v>92</v>
      </c>
      <c r="K274" s="1" t="s">
        <v>93</v>
      </c>
      <c r="L274" s="1" t="s">
        <v>49</v>
      </c>
      <c r="M274" s="1" t="s">
        <v>74</v>
      </c>
      <c r="N274" s="1" t="s">
        <v>786</v>
      </c>
      <c r="O274" s="1" t="s">
        <v>58</v>
      </c>
      <c r="P274" s="1">
        <v>7</v>
      </c>
      <c r="Q274" s="1">
        <v>557.21</v>
      </c>
      <c r="R274" s="1">
        <v>0.1</v>
      </c>
      <c r="S274" s="1">
        <v>3797.79</v>
      </c>
      <c r="T274" s="1">
        <f t="shared" si="23"/>
        <v>3510.4230000000002</v>
      </c>
      <c r="U274" s="1">
        <v>2191.5</v>
      </c>
      <c r="V274" s="3">
        <f>IF(T274=0,"",X274/T274)</f>
        <v>0.37571625983535323</v>
      </c>
      <c r="W274" s="1">
        <v>1213.48</v>
      </c>
      <c r="X274" s="1">
        <f>T274-U274</f>
        <v>1318.9230000000002</v>
      </c>
      <c r="Y274" s="1" t="s">
        <v>40</v>
      </c>
      <c r="Z274" s="1" t="s">
        <v>111</v>
      </c>
      <c r="AA274" s="1">
        <f t="shared" si="20"/>
        <v>6</v>
      </c>
      <c r="AB274" s="2" t="str">
        <f t="shared" si="24"/>
        <v>Clean</v>
      </c>
      <c r="AC274" s="2" t="s">
        <v>392</v>
      </c>
    </row>
    <row r="275" spans="1:29">
      <c r="A275" s="1" t="s">
        <v>927</v>
      </c>
      <c r="B275" s="2">
        <v>45701</v>
      </c>
      <c r="C275" s="2" t="str">
        <f t="shared" si="21"/>
        <v>February</v>
      </c>
      <c r="D275" s="1">
        <f t="shared" si="22"/>
        <v>2025</v>
      </c>
      <c r="E275" s="2">
        <v>45701</v>
      </c>
      <c r="F275" s="1" t="s">
        <v>928</v>
      </c>
      <c r="G275" s="1" t="s">
        <v>55</v>
      </c>
      <c r="H275" s="1" t="s">
        <v>32</v>
      </c>
      <c r="I275" s="1" t="s">
        <v>46</v>
      </c>
      <c r="J275" s="1" t="s">
        <v>153</v>
      </c>
      <c r="K275" s="1" t="s">
        <v>154</v>
      </c>
      <c r="L275" s="1" t="s">
        <v>36</v>
      </c>
      <c r="M275" s="1" t="s">
        <v>37</v>
      </c>
      <c r="N275" s="1" t="s">
        <v>929</v>
      </c>
      <c r="O275" s="1" t="s">
        <v>39</v>
      </c>
      <c r="P275" s="1">
        <v>9</v>
      </c>
      <c r="Q275" s="1">
        <v>2521.63</v>
      </c>
      <c r="R275" s="1">
        <v>0</v>
      </c>
      <c r="S275" s="1">
        <v>22694.67</v>
      </c>
      <c r="T275" s="1">
        <f t="shared" si="23"/>
        <v>22694.670000000002</v>
      </c>
      <c r="U275" s="1">
        <v>15405.36</v>
      </c>
      <c r="V275" s="3">
        <f>IF(T275=0,"",X275/T275)</f>
        <v>0.32119039404406413</v>
      </c>
      <c r="W275" s="1">
        <v>7289.31</v>
      </c>
      <c r="X275" s="1">
        <f>T275-U275</f>
        <v>7289.3100000000013</v>
      </c>
      <c r="Y275" s="1" t="s">
        <v>40</v>
      </c>
      <c r="Z275" s="1" t="s">
        <v>111</v>
      </c>
      <c r="AA275" s="1">
        <f t="shared" si="20"/>
        <v>0</v>
      </c>
      <c r="AB275" s="2" t="str">
        <f t="shared" si="24"/>
        <v>Clean</v>
      </c>
      <c r="AC275" s="2"/>
    </row>
    <row r="276" spans="1:29">
      <c r="A276" s="1" t="s">
        <v>930</v>
      </c>
      <c r="B276" s="2">
        <v>45477</v>
      </c>
      <c r="C276" s="2" t="str">
        <f t="shared" si="21"/>
        <v>July</v>
      </c>
      <c r="D276" s="1">
        <f t="shared" si="22"/>
        <v>2024</v>
      </c>
      <c r="E276" s="2">
        <v>45396</v>
      </c>
      <c r="F276" s="1" t="s">
        <v>931</v>
      </c>
      <c r="G276" s="1" t="s">
        <v>149</v>
      </c>
      <c r="H276" s="1" t="s">
        <v>32</v>
      </c>
      <c r="I276" s="1" t="s">
        <v>62</v>
      </c>
      <c r="J276" s="1" t="s">
        <v>193</v>
      </c>
      <c r="K276" s="1" t="s">
        <v>194</v>
      </c>
      <c r="L276" s="1" t="s">
        <v>82</v>
      </c>
      <c r="M276" s="1" t="s">
        <v>88</v>
      </c>
      <c r="N276" s="1" t="s">
        <v>932</v>
      </c>
      <c r="O276" s="1" t="s">
        <v>67</v>
      </c>
      <c r="P276" s="1">
        <v>6</v>
      </c>
      <c r="Q276" s="1">
        <v>4246.71</v>
      </c>
      <c r="R276" s="1">
        <v>0.15</v>
      </c>
      <c r="S276" s="1">
        <v>21658.22</v>
      </c>
      <c r="T276" s="1">
        <f t="shared" si="23"/>
        <v>21658.221000000001</v>
      </c>
      <c r="U276" s="1">
        <v>15490.69</v>
      </c>
      <c r="V276" s="3">
        <f>IF(T276=0,"",X276/T276)</f>
        <v>0.28476627881856043</v>
      </c>
      <c r="W276" s="1">
        <v>6167.53</v>
      </c>
      <c r="X276" s="1">
        <f>T276-U276</f>
        <v>6167.5310000000009</v>
      </c>
      <c r="Y276" s="1" t="s">
        <v>163</v>
      </c>
      <c r="Z276" s="1" t="s">
        <v>111</v>
      </c>
      <c r="AA276" s="4">
        <f t="shared" si="20"/>
        <v>-81</v>
      </c>
      <c r="AB276" s="2" t="str">
        <f t="shared" si="24"/>
        <v>Invalid</v>
      </c>
      <c r="AC276" s="2"/>
    </row>
    <row r="277" spans="1:29">
      <c r="A277" s="1" t="s">
        <v>933</v>
      </c>
      <c r="B277" s="2">
        <v>45337</v>
      </c>
      <c r="C277" s="2" t="str">
        <f t="shared" si="21"/>
        <v>February</v>
      </c>
      <c r="D277" s="1">
        <f t="shared" si="22"/>
        <v>2024</v>
      </c>
      <c r="E277" s="2">
        <v>45344</v>
      </c>
      <c r="F277" s="1" t="s">
        <v>934</v>
      </c>
      <c r="G277" s="1" t="s">
        <v>122</v>
      </c>
      <c r="H277" s="1" t="s">
        <v>45</v>
      </c>
      <c r="I277" s="1" t="s">
        <v>46</v>
      </c>
      <c r="J277" s="1" t="s">
        <v>107</v>
      </c>
      <c r="K277" s="1" t="s">
        <v>108</v>
      </c>
      <c r="L277" s="1" t="s">
        <v>49</v>
      </c>
      <c r="M277" s="1" t="s">
        <v>65</v>
      </c>
      <c r="N277" s="1" t="s">
        <v>935</v>
      </c>
      <c r="O277" s="1" t="s">
        <v>52</v>
      </c>
      <c r="P277" s="1">
        <v>1</v>
      </c>
      <c r="Q277" s="1">
        <v>980.51</v>
      </c>
      <c r="R277" s="1">
        <v>0</v>
      </c>
      <c r="S277" s="1">
        <v>980.51</v>
      </c>
      <c r="T277" s="1">
        <f t="shared" si="23"/>
        <v>980.51</v>
      </c>
      <c r="U277" s="1">
        <v>660.92</v>
      </c>
      <c r="V277" s="3">
        <f>IF(T277=0,"",X277/T277)</f>
        <v>0.32594262169687205</v>
      </c>
      <c r="W277" s="1">
        <v>319.58999999999997</v>
      </c>
      <c r="X277" s="1">
        <f>T277-U277</f>
        <v>319.59000000000003</v>
      </c>
      <c r="Y277" s="1" t="s">
        <v>40</v>
      </c>
      <c r="Z277" s="1" t="s">
        <v>41</v>
      </c>
      <c r="AA277" s="1">
        <f t="shared" si="20"/>
        <v>7</v>
      </c>
      <c r="AB277" s="2" t="str">
        <f t="shared" si="24"/>
        <v>Clean</v>
      </c>
      <c r="AC277" s="2"/>
    </row>
    <row r="278" spans="1:29">
      <c r="A278" s="1" t="s">
        <v>936</v>
      </c>
      <c r="B278" s="2">
        <v>45313</v>
      </c>
      <c r="C278" s="2" t="str">
        <f t="shared" si="21"/>
        <v>January</v>
      </c>
      <c r="D278" s="1">
        <f t="shared" si="22"/>
        <v>2024</v>
      </c>
      <c r="E278" s="2">
        <v>45314</v>
      </c>
      <c r="F278" s="1" t="s">
        <v>937</v>
      </c>
      <c r="G278" s="1" t="s">
        <v>136</v>
      </c>
      <c r="H278" s="1" t="s">
        <v>45</v>
      </c>
      <c r="I278" s="1" t="s">
        <v>213</v>
      </c>
      <c r="J278" s="1" t="s">
        <v>174</v>
      </c>
      <c r="K278" s="1" t="s">
        <v>175</v>
      </c>
      <c r="L278" s="1" t="s">
        <v>49</v>
      </c>
      <c r="M278" s="1" t="s">
        <v>74</v>
      </c>
      <c r="N278" s="1" t="s">
        <v>938</v>
      </c>
      <c r="O278" s="1" t="s">
        <v>39</v>
      </c>
      <c r="P278" s="1">
        <v>6</v>
      </c>
      <c r="Q278" s="1">
        <v>3391.53</v>
      </c>
      <c r="R278" s="4">
        <v>-0.14000000000000001</v>
      </c>
      <c r="S278" s="1">
        <v>15261.89</v>
      </c>
      <c r="T278" s="4">
        <f t="shared" si="23"/>
        <v>23198.065200000005</v>
      </c>
      <c r="U278" s="1">
        <v>8413.5300000000007</v>
      </c>
      <c r="V278" s="3"/>
      <c r="W278" s="1">
        <v>6848.36</v>
      </c>
      <c r="X278" s="1"/>
      <c r="Y278" s="1" t="s">
        <v>40</v>
      </c>
      <c r="Z278" s="1" t="s">
        <v>41</v>
      </c>
      <c r="AA278" s="1">
        <f t="shared" si="20"/>
        <v>1</v>
      </c>
      <c r="AB278" s="2" t="s">
        <v>459</v>
      </c>
      <c r="AC278" s="2"/>
    </row>
    <row r="279" spans="1:29">
      <c r="A279" s="1" t="s">
        <v>939</v>
      </c>
      <c r="B279" s="2">
        <v>45753</v>
      </c>
      <c r="C279" s="2" t="str">
        <f t="shared" si="21"/>
        <v>April</v>
      </c>
      <c r="D279" s="1">
        <f t="shared" si="22"/>
        <v>2025</v>
      </c>
      <c r="E279" s="2">
        <v>45753</v>
      </c>
      <c r="F279" s="1" t="s">
        <v>794</v>
      </c>
      <c r="G279" s="1" t="s">
        <v>55</v>
      </c>
      <c r="H279" s="1" t="s">
        <v>98</v>
      </c>
      <c r="I279" s="1" t="s">
        <v>33</v>
      </c>
      <c r="J279" s="1" t="s">
        <v>245</v>
      </c>
      <c r="K279" s="1" t="s">
        <v>246</v>
      </c>
      <c r="L279" s="1" t="s">
        <v>82</v>
      </c>
      <c r="M279" s="1" t="s">
        <v>83</v>
      </c>
      <c r="N279" s="1" t="s">
        <v>940</v>
      </c>
      <c r="O279" s="1" t="s">
        <v>39</v>
      </c>
      <c r="P279" s="1">
        <v>1</v>
      </c>
      <c r="Q279" s="1">
        <v>2133.73</v>
      </c>
      <c r="R279" s="1">
        <v>0.15</v>
      </c>
      <c r="S279" s="1">
        <v>2008.39</v>
      </c>
      <c r="T279" s="1">
        <f t="shared" si="23"/>
        <v>1813.6704999999999</v>
      </c>
      <c r="U279" s="1">
        <v>1002.57</v>
      </c>
      <c r="V279" s="3">
        <f>IF(T279=0,"",X279/T279)</f>
        <v>0.4472149158295291</v>
      </c>
      <c r="W279" s="1">
        <v>811.1</v>
      </c>
      <c r="X279" s="1">
        <f>T279-U279</f>
        <v>811.1004999999999</v>
      </c>
      <c r="Y279" s="1" t="s">
        <v>119</v>
      </c>
      <c r="Z279" s="1" t="s">
        <v>76</v>
      </c>
      <c r="AA279" s="1">
        <f t="shared" si="20"/>
        <v>0</v>
      </c>
      <c r="AB279" s="2" t="str">
        <f t="shared" si="24"/>
        <v>Clean</v>
      </c>
      <c r="AC279" s="2"/>
    </row>
    <row r="280" spans="1:29">
      <c r="A280" s="1" t="s">
        <v>941</v>
      </c>
      <c r="B280" s="2">
        <v>45841</v>
      </c>
      <c r="C280" s="2" t="str">
        <f t="shared" si="21"/>
        <v>July</v>
      </c>
      <c r="D280" s="1">
        <f t="shared" si="22"/>
        <v>2025</v>
      </c>
      <c r="E280" s="2">
        <v>45730</v>
      </c>
      <c r="F280" s="1" t="s">
        <v>942</v>
      </c>
      <c r="G280" s="1" t="s">
        <v>122</v>
      </c>
      <c r="H280" s="1" t="s">
        <v>45</v>
      </c>
      <c r="I280" s="1" t="s">
        <v>33</v>
      </c>
      <c r="J280" s="1" t="s">
        <v>359</v>
      </c>
      <c r="K280" s="1" t="s">
        <v>360</v>
      </c>
      <c r="L280" s="1" t="s">
        <v>82</v>
      </c>
      <c r="M280" s="1" t="s">
        <v>83</v>
      </c>
      <c r="N280" s="1" t="s">
        <v>943</v>
      </c>
      <c r="O280" s="1" t="s">
        <v>52</v>
      </c>
      <c r="P280" s="1">
        <v>1</v>
      </c>
      <c r="Q280" s="1">
        <v>3979.64</v>
      </c>
      <c r="R280" s="1">
        <v>0.05</v>
      </c>
      <c r="S280" s="1">
        <v>3780.66</v>
      </c>
      <c r="T280" s="1">
        <f t="shared" si="23"/>
        <v>3780.6579999999999</v>
      </c>
      <c r="U280" s="1">
        <v>2148.31</v>
      </c>
      <c r="V280" s="3">
        <f>IF(T280=0,"",X280/T280)</f>
        <v>0.43176293650470365</v>
      </c>
      <c r="W280" s="1">
        <v>1632.35</v>
      </c>
      <c r="X280" s="1">
        <f>T280-U280</f>
        <v>1632.348</v>
      </c>
      <c r="Y280" s="1" t="s">
        <v>40</v>
      </c>
      <c r="Z280" s="1" t="s">
        <v>111</v>
      </c>
      <c r="AA280" s="4">
        <f t="shared" si="20"/>
        <v>-111</v>
      </c>
      <c r="AB280" s="2" t="str">
        <f t="shared" si="24"/>
        <v>Invalid</v>
      </c>
      <c r="AC280" s="2"/>
    </row>
    <row r="281" spans="1:29">
      <c r="A281" s="1" t="s">
        <v>944</v>
      </c>
      <c r="B281" s="2">
        <v>45391</v>
      </c>
      <c r="C281" s="2" t="str">
        <f t="shared" si="21"/>
        <v>April</v>
      </c>
      <c r="D281" s="1">
        <f t="shared" si="22"/>
        <v>2024</v>
      </c>
      <c r="E281" s="2">
        <v>45569</v>
      </c>
      <c r="F281" s="1" t="s">
        <v>945</v>
      </c>
      <c r="G281" s="1" t="s">
        <v>149</v>
      </c>
      <c r="H281" s="1" t="s">
        <v>45</v>
      </c>
      <c r="I281" s="1" t="s">
        <v>71</v>
      </c>
      <c r="J281" s="1" t="s">
        <v>72</v>
      </c>
      <c r="K281" s="1" t="s">
        <v>73</v>
      </c>
      <c r="L281" s="1" t="s">
        <v>36</v>
      </c>
      <c r="M281" s="1" t="s">
        <v>132</v>
      </c>
      <c r="N281" s="1" t="s">
        <v>946</v>
      </c>
      <c r="O281" s="1" t="s">
        <v>58</v>
      </c>
      <c r="P281" s="1">
        <v>1</v>
      </c>
      <c r="Q281" s="1">
        <v>4359.12</v>
      </c>
      <c r="R281" s="1">
        <v>0.05</v>
      </c>
      <c r="S281" s="1">
        <v>4141.16</v>
      </c>
      <c r="T281" s="1">
        <f t="shared" si="23"/>
        <v>4141.1639999999998</v>
      </c>
      <c r="U281" s="1">
        <v>2754.17</v>
      </c>
      <c r="V281" s="3">
        <f>IF(T281=0,"",X281/T281)</f>
        <v>0.33492853700070796</v>
      </c>
      <c r="W281" s="1">
        <v>1386.99</v>
      </c>
      <c r="X281" s="1">
        <f>T281-U281</f>
        <v>1386.9939999999997</v>
      </c>
      <c r="Y281" s="1" t="s">
        <v>40</v>
      </c>
      <c r="Z281" s="1" t="s">
        <v>41</v>
      </c>
      <c r="AA281" s="1">
        <f t="shared" si="20"/>
        <v>178</v>
      </c>
      <c r="AB281" s="2" t="str">
        <f t="shared" si="24"/>
        <v>Clean</v>
      </c>
      <c r="AC281" s="2"/>
    </row>
    <row r="282" spans="1:29">
      <c r="A282" s="1" t="s">
        <v>947</v>
      </c>
      <c r="B282" s="2">
        <v>45649</v>
      </c>
      <c r="C282" s="2" t="str">
        <f t="shared" si="21"/>
        <v>December</v>
      </c>
      <c r="D282" s="1">
        <f t="shared" si="22"/>
        <v>2024</v>
      </c>
      <c r="E282" s="2">
        <v>45652</v>
      </c>
      <c r="F282" s="1" t="s">
        <v>948</v>
      </c>
      <c r="G282" s="1" t="s">
        <v>97</v>
      </c>
      <c r="H282" s="1" t="s">
        <v>32</v>
      </c>
      <c r="I282" s="1" t="s">
        <v>62</v>
      </c>
      <c r="J282" s="1" t="s">
        <v>183</v>
      </c>
      <c r="K282" s="1" t="s">
        <v>184</v>
      </c>
      <c r="L282" s="1" t="s">
        <v>82</v>
      </c>
      <c r="M282" s="1" t="s">
        <v>88</v>
      </c>
      <c r="N282" s="1" t="s">
        <v>949</v>
      </c>
      <c r="O282" s="1" t="s">
        <v>67</v>
      </c>
      <c r="P282" s="1">
        <v>9</v>
      </c>
      <c r="Q282" s="1">
        <v>993.67</v>
      </c>
      <c r="R282" s="1">
        <v>0</v>
      </c>
      <c r="S282" s="1">
        <v>8943.0300000000007</v>
      </c>
      <c r="T282" s="1">
        <f t="shared" si="23"/>
        <v>8943.0299999999988</v>
      </c>
      <c r="U282" s="1">
        <v>5165.38</v>
      </c>
      <c r="V282" s="3">
        <f>IF(T282=0,"",X282/T282)</f>
        <v>0.42241276167026154</v>
      </c>
      <c r="W282" s="1">
        <v>3777.65</v>
      </c>
      <c r="X282" s="1">
        <f>T282-U282</f>
        <v>3777.6499999999987</v>
      </c>
      <c r="Y282" s="1" t="s">
        <v>40</v>
      </c>
      <c r="Z282" s="1" t="s">
        <v>41</v>
      </c>
      <c r="AA282" s="1">
        <f t="shared" si="20"/>
        <v>3</v>
      </c>
      <c r="AB282" s="2" t="str">
        <f t="shared" si="24"/>
        <v>Clean</v>
      </c>
      <c r="AC282" s="2"/>
    </row>
    <row r="283" spans="1:29">
      <c r="A283" s="1" t="s">
        <v>950</v>
      </c>
      <c r="B283" s="2">
        <v>45863</v>
      </c>
      <c r="C283" s="2" t="str">
        <f t="shared" si="21"/>
        <v>July</v>
      </c>
      <c r="D283" s="1">
        <f t="shared" si="22"/>
        <v>2025</v>
      </c>
      <c r="E283" s="2">
        <v>45865</v>
      </c>
      <c r="F283" s="1" t="s">
        <v>951</v>
      </c>
      <c r="G283" s="1" t="s">
        <v>273</v>
      </c>
      <c r="H283" s="1" t="s">
        <v>32</v>
      </c>
      <c r="I283" s="1" t="s">
        <v>46</v>
      </c>
      <c r="J283" s="1" t="s">
        <v>237</v>
      </c>
      <c r="K283" s="1" t="s">
        <v>238</v>
      </c>
      <c r="L283" s="1" t="s">
        <v>36</v>
      </c>
      <c r="M283" s="1" t="s">
        <v>161</v>
      </c>
      <c r="N283" s="1" t="s">
        <v>952</v>
      </c>
      <c r="O283" s="1" t="s">
        <v>39</v>
      </c>
      <c r="P283" s="1">
        <v>6</v>
      </c>
      <c r="Q283" s="1">
        <v>3438.38</v>
      </c>
      <c r="R283" s="1">
        <v>0.2</v>
      </c>
      <c r="S283" s="1">
        <v>16504.22</v>
      </c>
      <c r="T283" s="1">
        <f t="shared" si="23"/>
        <v>16504.223999999998</v>
      </c>
      <c r="U283" s="1">
        <v>11262.71</v>
      </c>
      <c r="V283" s="3">
        <f>IF(T283=0,"",X283/T283)</f>
        <v>0.31758621308096641</v>
      </c>
      <c r="W283" s="1">
        <v>5241.51</v>
      </c>
      <c r="X283" s="1">
        <f>T283-U283</f>
        <v>5241.5139999999992</v>
      </c>
      <c r="Y283" s="1" t="s">
        <v>40</v>
      </c>
      <c r="Z283" s="1" t="s">
        <v>41</v>
      </c>
      <c r="AA283" s="1">
        <f t="shared" si="20"/>
        <v>2</v>
      </c>
      <c r="AB283" s="2" t="str">
        <f t="shared" si="24"/>
        <v>Clean</v>
      </c>
      <c r="AC283" s="2"/>
    </row>
    <row r="284" spans="1:29">
      <c r="A284" s="1" t="s">
        <v>953</v>
      </c>
      <c r="B284" s="2">
        <v>45301</v>
      </c>
      <c r="C284" s="2" t="str">
        <f t="shared" si="21"/>
        <v>January</v>
      </c>
      <c r="D284" s="1">
        <f t="shared" si="22"/>
        <v>2024</v>
      </c>
      <c r="E284" s="2">
        <v>45567</v>
      </c>
      <c r="F284" s="1" t="s">
        <v>954</v>
      </c>
      <c r="G284" s="1" t="s">
        <v>31</v>
      </c>
      <c r="H284" s="1" t="s">
        <v>103</v>
      </c>
      <c r="I284" s="1" t="s">
        <v>46</v>
      </c>
      <c r="J284" s="1" t="s">
        <v>174</v>
      </c>
      <c r="K284" s="1" t="s">
        <v>175</v>
      </c>
      <c r="L284" s="1" t="s">
        <v>49</v>
      </c>
      <c r="M284" s="1" t="s">
        <v>50</v>
      </c>
      <c r="N284" s="1" t="s">
        <v>955</v>
      </c>
      <c r="O284" s="1" t="s">
        <v>39</v>
      </c>
      <c r="P284" s="1">
        <v>2</v>
      </c>
      <c r="Q284" s="1">
        <v>2298</v>
      </c>
      <c r="R284" s="1">
        <v>0</v>
      </c>
      <c r="S284" s="1">
        <v>4596</v>
      </c>
      <c r="T284" s="1">
        <f t="shared" si="23"/>
        <v>4596</v>
      </c>
      <c r="U284" s="1">
        <v>3220.33</v>
      </c>
      <c r="V284" s="3">
        <f>IF(T284=0,"",X284/T284)</f>
        <v>0.29931897302001742</v>
      </c>
      <c r="W284" s="1">
        <v>1375.67</v>
      </c>
      <c r="X284" s="1">
        <f>T284-U284</f>
        <v>1375.67</v>
      </c>
      <c r="Y284" s="1" t="s">
        <v>40</v>
      </c>
      <c r="Z284" s="1" t="s">
        <v>41</v>
      </c>
      <c r="AA284" s="1">
        <f t="shared" si="20"/>
        <v>266</v>
      </c>
      <c r="AB284" s="2" t="str">
        <f t="shared" si="24"/>
        <v>Clean</v>
      </c>
      <c r="AC284" s="2"/>
    </row>
    <row r="285" spans="1:29">
      <c r="A285" s="1" t="s">
        <v>956</v>
      </c>
      <c r="B285" s="2">
        <v>45729</v>
      </c>
      <c r="C285" s="2" t="str">
        <f t="shared" si="21"/>
        <v>March</v>
      </c>
      <c r="D285" s="1">
        <f t="shared" si="22"/>
        <v>2025</v>
      </c>
      <c r="E285" s="2">
        <v>45736</v>
      </c>
      <c r="F285" s="1" t="s">
        <v>957</v>
      </c>
      <c r="G285" s="1" t="s">
        <v>79</v>
      </c>
      <c r="H285" s="1" t="s">
        <v>32</v>
      </c>
      <c r="I285" s="1" t="s">
        <v>71</v>
      </c>
      <c r="J285" s="1" t="s">
        <v>72</v>
      </c>
      <c r="K285" s="1" t="s">
        <v>73</v>
      </c>
      <c r="L285" s="1" t="s">
        <v>49</v>
      </c>
      <c r="M285" s="1" t="s">
        <v>65</v>
      </c>
      <c r="N285" s="1" t="s">
        <v>958</v>
      </c>
      <c r="O285" s="1" t="s">
        <v>58</v>
      </c>
      <c r="P285" s="1">
        <v>1</v>
      </c>
      <c r="Q285" s="1">
        <v>1814.01</v>
      </c>
      <c r="R285" s="1">
        <v>0</v>
      </c>
      <c r="S285" s="1">
        <v>1814.01</v>
      </c>
      <c r="T285" s="1">
        <f t="shared" si="23"/>
        <v>1814.01</v>
      </c>
      <c r="U285" s="1">
        <v>1033.47</v>
      </c>
      <c r="V285" s="3">
        <f>IF(T285=0,"",X285/T285)</f>
        <v>0.43028428729720342</v>
      </c>
      <c r="W285" s="1">
        <v>780.54</v>
      </c>
      <c r="X285" s="1">
        <f>T285-U285</f>
        <v>780.54</v>
      </c>
      <c r="Y285" s="1" t="s">
        <v>40</v>
      </c>
      <c r="Z285" s="1" t="s">
        <v>41</v>
      </c>
      <c r="AA285" s="1">
        <f t="shared" si="20"/>
        <v>7</v>
      </c>
      <c r="AB285" s="2" t="str">
        <f t="shared" si="24"/>
        <v>Clean</v>
      </c>
      <c r="AC285" s="2"/>
    </row>
    <row r="286" spans="1:29">
      <c r="A286" s="1" t="s">
        <v>959</v>
      </c>
      <c r="B286" s="2">
        <v>45634</v>
      </c>
      <c r="C286" s="2" t="str">
        <f t="shared" si="21"/>
        <v>December</v>
      </c>
      <c r="D286" s="1">
        <f t="shared" si="22"/>
        <v>2024</v>
      </c>
      <c r="E286" s="2">
        <v>45640</v>
      </c>
      <c r="F286" s="1" t="s">
        <v>960</v>
      </c>
      <c r="G286" s="1" t="s">
        <v>31</v>
      </c>
      <c r="H286" s="1" t="s">
        <v>32</v>
      </c>
      <c r="I286" s="1" t="s">
        <v>46</v>
      </c>
      <c r="J286" s="1" t="s">
        <v>47</v>
      </c>
      <c r="K286" s="1" t="s">
        <v>48</v>
      </c>
      <c r="L286" s="1" t="s">
        <v>49</v>
      </c>
      <c r="M286" s="1" t="s">
        <v>50</v>
      </c>
      <c r="N286" s="1" t="s">
        <v>961</v>
      </c>
      <c r="O286" s="1" t="s">
        <v>52</v>
      </c>
      <c r="P286" s="1">
        <v>3</v>
      </c>
      <c r="Q286" s="1">
        <v>1576.92</v>
      </c>
      <c r="R286" s="1">
        <v>0</v>
      </c>
      <c r="S286" s="1">
        <v>4730.76</v>
      </c>
      <c r="T286" s="1">
        <f t="shared" si="23"/>
        <v>4730.76</v>
      </c>
      <c r="U286" s="1">
        <v>3139.73</v>
      </c>
      <c r="V286" s="3">
        <f>IF(T286=0,"",X286/T286)</f>
        <v>0.33631594077907145</v>
      </c>
      <c r="W286" s="1">
        <v>1591.03</v>
      </c>
      <c r="X286" s="1">
        <f>T286-U286</f>
        <v>1591.0300000000002</v>
      </c>
      <c r="Y286" s="1" t="s">
        <v>40</v>
      </c>
      <c r="Z286" s="1" t="s">
        <v>111</v>
      </c>
      <c r="AA286" s="1">
        <f t="shared" si="20"/>
        <v>6</v>
      </c>
      <c r="AB286" s="2" t="str">
        <f t="shared" si="24"/>
        <v>Clean</v>
      </c>
      <c r="AC286" s="2"/>
    </row>
    <row r="287" spans="1:29">
      <c r="A287" s="1" t="s">
        <v>962</v>
      </c>
      <c r="B287" s="2">
        <v>45884</v>
      </c>
      <c r="C287" s="2" t="str">
        <f t="shared" si="21"/>
        <v>August</v>
      </c>
      <c r="D287" s="1">
        <f t="shared" si="22"/>
        <v>2025</v>
      </c>
      <c r="E287" s="2">
        <v>45889</v>
      </c>
      <c r="F287" s="1" t="s">
        <v>963</v>
      </c>
      <c r="G287" s="1" t="s">
        <v>87</v>
      </c>
      <c r="H287" s="1" t="s">
        <v>103</v>
      </c>
      <c r="I287" s="1" t="s">
        <v>33</v>
      </c>
      <c r="J287" s="1" t="s">
        <v>34</v>
      </c>
      <c r="K287" s="1" t="s">
        <v>35</v>
      </c>
      <c r="L287" s="1" t="s">
        <v>36</v>
      </c>
      <c r="M287" s="1" t="s">
        <v>132</v>
      </c>
      <c r="N287" s="1" t="s">
        <v>964</v>
      </c>
      <c r="O287" s="1" t="s">
        <v>67</v>
      </c>
      <c r="P287" s="1">
        <v>9</v>
      </c>
      <c r="Q287" s="1">
        <v>4081.77</v>
      </c>
      <c r="R287" s="1">
        <v>0</v>
      </c>
      <c r="S287" s="1">
        <v>36735.93</v>
      </c>
      <c r="T287" s="1">
        <f t="shared" si="23"/>
        <v>36735.93</v>
      </c>
      <c r="U287" s="1">
        <v>30820.84</v>
      </c>
      <c r="V287" s="3">
        <f>IF(T287=0,"",X287/T287)</f>
        <v>0.16101647624001897</v>
      </c>
      <c r="W287" s="1">
        <v>5915.09</v>
      </c>
      <c r="X287" s="1">
        <f>T287-U287</f>
        <v>5915.09</v>
      </c>
      <c r="Y287" s="1" t="s">
        <v>40</v>
      </c>
      <c r="Z287" s="1" t="s">
        <v>41</v>
      </c>
      <c r="AA287" s="1">
        <f t="shared" si="20"/>
        <v>5</v>
      </c>
      <c r="AB287" s="2" t="str">
        <f t="shared" si="24"/>
        <v>Clean</v>
      </c>
      <c r="AC287" s="2"/>
    </row>
    <row r="288" spans="1:29">
      <c r="A288" s="1" t="s">
        <v>965</v>
      </c>
      <c r="B288" s="2">
        <v>45350</v>
      </c>
      <c r="C288" s="2" t="str">
        <f t="shared" si="21"/>
        <v>February</v>
      </c>
      <c r="D288" s="1">
        <f t="shared" si="22"/>
        <v>2024</v>
      </c>
      <c r="E288" s="2">
        <v>45353</v>
      </c>
      <c r="F288" s="1" t="s">
        <v>966</v>
      </c>
      <c r="G288" s="1" t="s">
        <v>122</v>
      </c>
      <c r="H288" s="1" t="s">
        <v>45</v>
      </c>
      <c r="I288" s="1" t="s">
        <v>33</v>
      </c>
      <c r="J288" s="1" t="s">
        <v>359</v>
      </c>
      <c r="K288" s="1" t="s">
        <v>360</v>
      </c>
      <c r="L288" s="1" t="s">
        <v>49</v>
      </c>
      <c r="M288" s="1" t="s">
        <v>65</v>
      </c>
      <c r="N288" s="1" t="s">
        <v>967</v>
      </c>
      <c r="O288" s="1" t="s">
        <v>58</v>
      </c>
      <c r="P288" s="1">
        <v>7</v>
      </c>
      <c r="Q288" s="1">
        <v>701.8</v>
      </c>
      <c r="R288" s="1">
        <v>0.1</v>
      </c>
      <c r="S288" s="1">
        <v>4421.34</v>
      </c>
      <c r="T288" s="1">
        <f t="shared" si="23"/>
        <v>4421.3399999999992</v>
      </c>
      <c r="U288" s="1">
        <v>2489.98</v>
      </c>
      <c r="V288" s="3">
        <f>IF(T288=0,"",X288/T288)</f>
        <v>0.43682684435035524</v>
      </c>
      <c r="W288" s="1">
        <v>1931.36</v>
      </c>
      <c r="X288" s="1">
        <f>T288-U288</f>
        <v>1931.3599999999992</v>
      </c>
      <c r="Y288" s="1" t="s">
        <v>119</v>
      </c>
      <c r="Z288" s="1" t="s">
        <v>111</v>
      </c>
      <c r="AA288" s="1">
        <f t="shared" si="20"/>
        <v>3</v>
      </c>
      <c r="AB288" s="2" t="str">
        <f t="shared" si="24"/>
        <v>Clean</v>
      </c>
      <c r="AC288" s="2"/>
    </row>
    <row r="289" spans="1:29">
      <c r="A289" s="1" t="s">
        <v>968</v>
      </c>
      <c r="B289" s="2">
        <v>45540</v>
      </c>
      <c r="C289" s="2" t="str">
        <f t="shared" si="21"/>
        <v>September</v>
      </c>
      <c r="D289" s="1">
        <f t="shared" si="22"/>
        <v>2024</v>
      </c>
      <c r="E289" s="2">
        <v>45482</v>
      </c>
      <c r="F289" s="1" t="s">
        <v>969</v>
      </c>
      <c r="G289" s="1" t="s">
        <v>87</v>
      </c>
      <c r="H289" s="1" t="s">
        <v>45</v>
      </c>
      <c r="I289" s="1" t="s">
        <v>62</v>
      </c>
      <c r="J289" s="1" t="s">
        <v>256</v>
      </c>
      <c r="K289" s="1" t="s">
        <v>257</v>
      </c>
      <c r="L289" s="1" t="s">
        <v>82</v>
      </c>
      <c r="M289" s="1" t="s">
        <v>88</v>
      </c>
      <c r="N289" s="1" t="s">
        <v>970</v>
      </c>
      <c r="O289" s="1" t="s">
        <v>67</v>
      </c>
      <c r="P289" s="1">
        <v>3</v>
      </c>
      <c r="Q289" s="1">
        <v>2555.66</v>
      </c>
      <c r="R289" s="1">
        <v>0.15</v>
      </c>
      <c r="S289" s="1">
        <v>6516.93</v>
      </c>
      <c r="T289" s="1">
        <f t="shared" si="23"/>
        <v>6516.9329999999991</v>
      </c>
      <c r="U289" s="1">
        <v>4511.54</v>
      </c>
      <c r="V289" s="3">
        <f>IF(T289=0,"",X289/T289)</f>
        <v>0.30772036477895343</v>
      </c>
      <c r="W289" s="1">
        <v>2005.39</v>
      </c>
      <c r="X289" s="1">
        <f>T289-U289</f>
        <v>2005.3929999999991</v>
      </c>
      <c r="Y289" s="1" t="s">
        <v>40</v>
      </c>
      <c r="Z289" s="1" t="s">
        <v>76</v>
      </c>
      <c r="AA289" s="4">
        <f t="shared" si="20"/>
        <v>-58</v>
      </c>
      <c r="AB289" s="2" t="str">
        <f t="shared" si="24"/>
        <v>Invalid</v>
      </c>
      <c r="AC289" s="2"/>
    </row>
    <row r="290" spans="1:29">
      <c r="A290" s="1" t="s">
        <v>971</v>
      </c>
      <c r="B290" s="2">
        <v>45467</v>
      </c>
      <c r="C290" s="2" t="str">
        <f t="shared" si="21"/>
        <v>June</v>
      </c>
      <c r="D290" s="1">
        <f t="shared" si="22"/>
        <v>2024</v>
      </c>
      <c r="E290" s="2">
        <v>45467</v>
      </c>
      <c r="F290" s="1" t="s">
        <v>972</v>
      </c>
      <c r="G290" s="1" t="s">
        <v>149</v>
      </c>
      <c r="H290" s="1" t="s">
        <v>45</v>
      </c>
      <c r="I290" s="1" t="s">
        <v>46</v>
      </c>
      <c r="J290" s="1" t="s">
        <v>153</v>
      </c>
      <c r="K290" s="1" t="s">
        <v>154</v>
      </c>
      <c r="L290" s="1" t="s">
        <v>36</v>
      </c>
      <c r="M290" s="1" t="s">
        <v>161</v>
      </c>
      <c r="N290" s="1" t="s">
        <v>973</v>
      </c>
      <c r="O290" s="1" t="s">
        <v>52</v>
      </c>
      <c r="P290" s="1">
        <v>2</v>
      </c>
      <c r="Q290" s="1">
        <v>4359.8999999999996</v>
      </c>
      <c r="R290" s="1">
        <v>0.15</v>
      </c>
      <c r="S290" s="1">
        <v>7411.83</v>
      </c>
      <c r="T290" s="1">
        <f t="shared" si="23"/>
        <v>7411.829999999999</v>
      </c>
      <c r="U290" s="1">
        <v>4904.63</v>
      </c>
      <c r="V290" s="3">
        <f>IF(T290=0,"",X290/T290)</f>
        <v>0.3382700358750807</v>
      </c>
      <c r="W290" s="1">
        <v>2507.1999999999998</v>
      </c>
      <c r="X290" s="1">
        <f>T290-U290</f>
        <v>2507.1999999999989</v>
      </c>
      <c r="Y290" s="1" t="s">
        <v>40</v>
      </c>
      <c r="Z290" s="1" t="s">
        <v>41</v>
      </c>
      <c r="AA290" s="1">
        <f t="shared" si="20"/>
        <v>0</v>
      </c>
      <c r="AB290" s="2" t="str">
        <f t="shared" si="24"/>
        <v>Clean</v>
      </c>
      <c r="AC290" s="2"/>
    </row>
    <row r="291" spans="1:29">
      <c r="A291" s="1" t="s">
        <v>974</v>
      </c>
      <c r="B291" s="2">
        <v>45827</v>
      </c>
      <c r="C291" s="2" t="str">
        <f t="shared" si="21"/>
        <v>June</v>
      </c>
      <c r="D291" s="1">
        <f t="shared" si="22"/>
        <v>2025</v>
      </c>
      <c r="E291" s="2">
        <v>45835</v>
      </c>
      <c r="F291" s="1" t="s">
        <v>975</v>
      </c>
      <c r="G291" s="1" t="s">
        <v>31</v>
      </c>
      <c r="H291" s="1" t="s">
        <v>103</v>
      </c>
      <c r="I291" s="1" t="s">
        <v>62</v>
      </c>
      <c r="J291" s="1" t="s">
        <v>256</v>
      </c>
      <c r="K291" s="1" t="s">
        <v>257</v>
      </c>
      <c r="L291" s="1" t="s">
        <v>49</v>
      </c>
      <c r="M291" s="1" t="s">
        <v>166</v>
      </c>
      <c r="N291" s="1" t="s">
        <v>976</v>
      </c>
      <c r="O291" s="1" t="s">
        <v>58</v>
      </c>
      <c r="P291" s="1">
        <v>2</v>
      </c>
      <c r="Q291" s="1">
        <v>4346.6899999999996</v>
      </c>
      <c r="R291" s="1">
        <v>0.05</v>
      </c>
      <c r="S291" s="1">
        <v>8258.7099999999991</v>
      </c>
      <c r="T291" s="1">
        <f t="shared" si="23"/>
        <v>8258.7109999999993</v>
      </c>
      <c r="U291" s="1">
        <v>7018.97</v>
      </c>
      <c r="V291" s="3">
        <f>IF(T291=0,"",X291/T291)</f>
        <v>0.15011313508851432</v>
      </c>
      <c r="W291" s="1">
        <v>1239.74</v>
      </c>
      <c r="X291" s="1">
        <f>T291-U291</f>
        <v>1239.7409999999991</v>
      </c>
      <c r="Y291" s="1" t="s">
        <v>40</v>
      </c>
      <c r="Z291" s="1" t="s">
        <v>41</v>
      </c>
      <c r="AA291" s="1">
        <f t="shared" si="20"/>
        <v>8</v>
      </c>
      <c r="AB291" s="2" t="str">
        <f t="shared" si="24"/>
        <v>Clean</v>
      </c>
      <c r="AC291" s="2"/>
    </row>
    <row r="292" spans="1:29">
      <c r="A292" s="1" t="s">
        <v>977</v>
      </c>
      <c r="B292" s="2">
        <v>45891</v>
      </c>
      <c r="C292" s="2" t="str">
        <f t="shared" si="21"/>
        <v>August</v>
      </c>
      <c r="D292" s="1">
        <f t="shared" si="22"/>
        <v>2025</v>
      </c>
      <c r="E292" s="2">
        <v>45895</v>
      </c>
      <c r="F292" s="1" t="s">
        <v>978</v>
      </c>
      <c r="G292" s="1" t="s">
        <v>170</v>
      </c>
      <c r="H292" s="1" t="s">
        <v>103</v>
      </c>
      <c r="I292" s="1" t="s">
        <v>46</v>
      </c>
      <c r="J292" s="1" t="s">
        <v>237</v>
      </c>
      <c r="K292" s="1" t="s">
        <v>238</v>
      </c>
      <c r="L292" s="1" t="s">
        <v>49</v>
      </c>
      <c r="M292" s="1" t="s">
        <v>50</v>
      </c>
      <c r="N292" s="1" t="s">
        <v>979</v>
      </c>
      <c r="O292" s="1" t="s">
        <v>67</v>
      </c>
      <c r="P292" s="1">
        <v>1</v>
      </c>
      <c r="Q292" s="1">
        <v>1842.63</v>
      </c>
      <c r="R292" s="1">
        <v>0.1</v>
      </c>
      <c r="S292" s="1">
        <v>1658.37</v>
      </c>
      <c r="T292" s="1">
        <f t="shared" si="23"/>
        <v>1658.3670000000002</v>
      </c>
      <c r="U292" s="1">
        <v>971.12</v>
      </c>
      <c r="V292" s="3">
        <f>IF(T292=0,"",X292/T292)</f>
        <v>0.41441188832146331</v>
      </c>
      <c r="W292" s="1">
        <v>687.25</v>
      </c>
      <c r="X292" s="1">
        <f>T292-U292</f>
        <v>687.24700000000018</v>
      </c>
      <c r="Y292" s="1" t="s">
        <v>40</v>
      </c>
      <c r="Z292" s="1" t="s">
        <v>41</v>
      </c>
      <c r="AA292" s="1">
        <f t="shared" si="20"/>
        <v>4</v>
      </c>
      <c r="AB292" s="2" t="str">
        <f t="shared" si="24"/>
        <v>Clean</v>
      </c>
      <c r="AC292" s="2"/>
    </row>
    <row r="293" spans="1:29">
      <c r="A293" s="1" t="s">
        <v>980</v>
      </c>
      <c r="B293" s="2">
        <v>45387</v>
      </c>
      <c r="C293" s="2" t="str">
        <f t="shared" si="21"/>
        <v>April</v>
      </c>
      <c r="D293" s="1">
        <f t="shared" si="22"/>
        <v>2024</v>
      </c>
      <c r="E293" s="2">
        <v>45569</v>
      </c>
      <c r="F293" s="1" t="s">
        <v>981</v>
      </c>
      <c r="G293" s="1" t="s">
        <v>122</v>
      </c>
      <c r="H293" s="1" t="s">
        <v>103</v>
      </c>
      <c r="I293" s="1" t="s">
        <v>33</v>
      </c>
      <c r="J293" s="1" t="s">
        <v>34</v>
      </c>
      <c r="K293" s="1" t="s">
        <v>35</v>
      </c>
      <c r="L293" s="1" t="s">
        <v>36</v>
      </c>
      <c r="M293" s="1" t="s">
        <v>161</v>
      </c>
      <c r="N293" s="1" t="s">
        <v>982</v>
      </c>
      <c r="O293" s="1" t="s">
        <v>67</v>
      </c>
      <c r="P293" s="1">
        <v>4</v>
      </c>
      <c r="Q293" s="1">
        <v>3228.66</v>
      </c>
      <c r="R293" s="1">
        <v>0.25</v>
      </c>
      <c r="S293" s="1">
        <v>9685.98</v>
      </c>
      <c r="T293" s="1">
        <f t="shared" si="23"/>
        <v>9685.98</v>
      </c>
      <c r="U293" s="1">
        <v>7730.04</v>
      </c>
      <c r="V293" s="3">
        <f>IF(T293=0,"",X293/T293)</f>
        <v>0.20193516815025425</v>
      </c>
      <c r="W293" s="1">
        <v>1955.94</v>
      </c>
      <c r="X293" s="1">
        <f>T293-U293</f>
        <v>1955.9399999999996</v>
      </c>
      <c r="Y293" s="1" t="s">
        <v>40</v>
      </c>
      <c r="Z293" s="1" t="s">
        <v>41</v>
      </c>
      <c r="AA293" s="1">
        <f t="shared" si="20"/>
        <v>182</v>
      </c>
      <c r="AB293" s="2" t="str">
        <f t="shared" si="24"/>
        <v>Clean</v>
      </c>
      <c r="AC293" s="2"/>
    </row>
    <row r="294" spans="1:29">
      <c r="A294" s="1" t="s">
        <v>983</v>
      </c>
      <c r="B294" s="2">
        <v>45716</v>
      </c>
      <c r="C294" s="2" t="str">
        <f t="shared" si="21"/>
        <v>February</v>
      </c>
      <c r="D294" s="1">
        <f t="shared" si="22"/>
        <v>2025</v>
      </c>
      <c r="E294" s="2">
        <v>45719</v>
      </c>
      <c r="F294" s="1" t="s">
        <v>984</v>
      </c>
      <c r="G294" s="1" t="s">
        <v>273</v>
      </c>
      <c r="H294" s="1" t="s">
        <v>103</v>
      </c>
      <c r="I294" s="1" t="s">
        <v>33</v>
      </c>
      <c r="J294" s="1" t="s">
        <v>245</v>
      </c>
      <c r="K294" s="1" t="s">
        <v>246</v>
      </c>
      <c r="L294" s="1" t="s">
        <v>36</v>
      </c>
      <c r="M294" s="1" t="s">
        <v>56</v>
      </c>
      <c r="N294" s="1" t="s">
        <v>985</v>
      </c>
      <c r="O294" s="1" t="s">
        <v>52</v>
      </c>
      <c r="P294" s="1">
        <v>9</v>
      </c>
      <c r="Q294" s="1">
        <v>3748.95</v>
      </c>
      <c r="R294" s="1">
        <v>0</v>
      </c>
      <c r="S294" s="1">
        <v>33740.550000000003</v>
      </c>
      <c r="T294" s="1">
        <f t="shared" si="23"/>
        <v>33740.549999999996</v>
      </c>
      <c r="U294" s="1">
        <v>24621.89</v>
      </c>
      <c r="V294" s="3">
        <f>IF(T294=0,"",X294/T294)</f>
        <v>0.2702581908119458</v>
      </c>
      <c r="W294" s="1">
        <v>9118.66</v>
      </c>
      <c r="X294" s="1">
        <f>T294-U294</f>
        <v>9118.6599999999962</v>
      </c>
      <c r="Y294" s="1" t="s">
        <v>119</v>
      </c>
      <c r="Z294" s="1" t="s">
        <v>76</v>
      </c>
      <c r="AA294" s="1">
        <f t="shared" si="20"/>
        <v>3</v>
      </c>
      <c r="AB294" s="2" t="str">
        <f t="shared" si="24"/>
        <v>Clean</v>
      </c>
      <c r="AC294" s="2"/>
    </row>
    <row r="295" spans="1:29">
      <c r="A295" s="1" t="s">
        <v>986</v>
      </c>
      <c r="B295" s="2">
        <v>45358</v>
      </c>
      <c r="C295" s="2" t="str">
        <f t="shared" si="21"/>
        <v>March</v>
      </c>
      <c r="D295" s="1">
        <f t="shared" si="22"/>
        <v>2024</v>
      </c>
      <c r="E295" s="2">
        <v>45599</v>
      </c>
      <c r="F295" s="1" t="s">
        <v>987</v>
      </c>
      <c r="G295" s="1" t="s">
        <v>61</v>
      </c>
      <c r="H295" s="1" t="s">
        <v>103</v>
      </c>
      <c r="I295" s="1" t="s">
        <v>62</v>
      </c>
      <c r="J295" s="1" t="s">
        <v>63</v>
      </c>
      <c r="K295" s="1" t="s">
        <v>64</v>
      </c>
      <c r="L295" s="1" t="s">
        <v>82</v>
      </c>
      <c r="M295" s="1" t="s">
        <v>179</v>
      </c>
      <c r="N295" s="1" t="s">
        <v>988</v>
      </c>
      <c r="O295" s="1" t="s">
        <v>58</v>
      </c>
      <c r="P295" s="1">
        <v>2</v>
      </c>
      <c r="Q295" s="1">
        <v>4401.51</v>
      </c>
      <c r="R295" s="1">
        <v>0.65</v>
      </c>
      <c r="S295" s="1">
        <v>8362.8700000000008</v>
      </c>
      <c r="T295" s="1">
        <f t="shared" si="23"/>
        <v>3081.0569999999998</v>
      </c>
      <c r="U295" s="1">
        <v>6541.04</v>
      </c>
      <c r="V295" s="3">
        <f>IF(T295=0,"",X295/T295)</f>
        <v>-1.1229857156164267</v>
      </c>
      <c r="W295" s="1">
        <v>1821.83</v>
      </c>
      <c r="X295" s="1">
        <f>T295-U295</f>
        <v>-3459.9830000000002</v>
      </c>
      <c r="Y295" s="1" t="s">
        <v>40</v>
      </c>
      <c r="Z295" s="1" t="s">
        <v>41</v>
      </c>
      <c r="AA295" s="1">
        <f t="shared" si="20"/>
        <v>241</v>
      </c>
      <c r="AB295" s="2" t="str">
        <f t="shared" si="24"/>
        <v>Clean</v>
      </c>
      <c r="AC295" s="2"/>
    </row>
    <row r="296" spans="1:29">
      <c r="A296" s="1" t="s">
        <v>989</v>
      </c>
      <c r="B296" s="2">
        <v>45854</v>
      </c>
      <c r="C296" s="2" t="str">
        <f t="shared" si="21"/>
        <v>July</v>
      </c>
      <c r="D296" s="1">
        <f t="shared" si="22"/>
        <v>2025</v>
      </c>
      <c r="E296" s="2">
        <v>45860</v>
      </c>
      <c r="F296" s="1" t="s">
        <v>990</v>
      </c>
      <c r="G296" s="1" t="s">
        <v>122</v>
      </c>
      <c r="H296" s="1" t="s">
        <v>32</v>
      </c>
      <c r="I296" s="1" t="s">
        <v>46</v>
      </c>
      <c r="J296" s="1" t="s">
        <v>47</v>
      </c>
      <c r="K296" s="1" t="s">
        <v>48</v>
      </c>
      <c r="L296" s="1" t="s">
        <v>82</v>
      </c>
      <c r="M296" s="1" t="s">
        <v>179</v>
      </c>
      <c r="N296" s="1" t="s">
        <v>991</v>
      </c>
      <c r="O296" s="1" t="s">
        <v>39</v>
      </c>
      <c r="P296" s="1">
        <v>6</v>
      </c>
      <c r="Q296" s="1">
        <v>4159.33</v>
      </c>
      <c r="R296" s="1">
        <v>0.25</v>
      </c>
      <c r="S296" s="1">
        <v>18716.990000000002</v>
      </c>
      <c r="T296" s="1">
        <f t="shared" si="23"/>
        <v>18716.985000000001</v>
      </c>
      <c r="U296" s="1">
        <v>12282.43</v>
      </c>
      <c r="V296" s="3">
        <f>IF(T296=0,"",X296/T296)</f>
        <v>0.34378159730319813</v>
      </c>
      <c r="W296" s="1">
        <v>6434.56</v>
      </c>
      <c r="X296" s="1">
        <f>T296-U296</f>
        <v>6434.5550000000003</v>
      </c>
      <c r="Y296" s="1" t="s">
        <v>40</v>
      </c>
      <c r="Z296" s="1" t="s">
        <v>111</v>
      </c>
      <c r="AA296" s="1">
        <f t="shared" si="20"/>
        <v>6</v>
      </c>
      <c r="AB296" s="2" t="str">
        <f t="shared" si="24"/>
        <v>Clean</v>
      </c>
      <c r="AC296" s="2"/>
    </row>
    <row r="297" spans="1:29">
      <c r="A297" s="1" t="s">
        <v>992</v>
      </c>
      <c r="B297" s="2">
        <v>45833</v>
      </c>
      <c r="C297" s="2" t="str">
        <f t="shared" si="21"/>
        <v>June</v>
      </c>
      <c r="D297" s="1">
        <f t="shared" si="22"/>
        <v>2025</v>
      </c>
      <c r="E297" s="2">
        <v>45836</v>
      </c>
      <c r="F297" s="1" t="s">
        <v>993</v>
      </c>
      <c r="G297" s="1" t="s">
        <v>97</v>
      </c>
      <c r="H297" s="1" t="s">
        <v>45</v>
      </c>
      <c r="I297" s="1" t="s">
        <v>46</v>
      </c>
      <c r="J297" s="1" t="s">
        <v>174</v>
      </c>
      <c r="K297" s="1" t="s">
        <v>175</v>
      </c>
      <c r="L297" s="1" t="s">
        <v>36</v>
      </c>
      <c r="M297" s="1" t="s">
        <v>161</v>
      </c>
      <c r="N297" s="1" t="s">
        <v>994</v>
      </c>
      <c r="O297" s="1" t="s">
        <v>67</v>
      </c>
      <c r="P297" s="1">
        <v>3</v>
      </c>
      <c r="Q297" s="1">
        <v>3476.05</v>
      </c>
      <c r="R297" s="1">
        <v>0.1</v>
      </c>
      <c r="S297" s="1">
        <v>9385.34</v>
      </c>
      <c r="T297" s="1">
        <f t="shared" si="23"/>
        <v>9385.3350000000009</v>
      </c>
      <c r="U297" s="1">
        <v>5828.54</v>
      </c>
      <c r="V297" s="3">
        <f>IF(T297=0,"",X297/T297)</f>
        <v>0.37897368607513748</v>
      </c>
      <c r="W297" s="1">
        <v>3556.8</v>
      </c>
      <c r="X297" s="1">
        <f>T297-U297</f>
        <v>3556.795000000001</v>
      </c>
      <c r="Y297" s="1" t="s">
        <v>40</v>
      </c>
      <c r="Z297" s="1" t="s">
        <v>41</v>
      </c>
      <c r="AA297" s="1">
        <f t="shared" si="20"/>
        <v>3</v>
      </c>
      <c r="AB297" s="2" t="str">
        <f t="shared" si="24"/>
        <v>Clean</v>
      </c>
      <c r="AC297" s="2"/>
    </row>
    <row r="298" spans="1:29">
      <c r="A298" s="1" t="s">
        <v>995</v>
      </c>
      <c r="B298" s="2">
        <v>45801</v>
      </c>
      <c r="C298" s="2" t="str">
        <f t="shared" si="21"/>
        <v>May</v>
      </c>
      <c r="D298" s="1">
        <f t="shared" si="22"/>
        <v>2025</v>
      </c>
      <c r="E298" s="2">
        <v>45803</v>
      </c>
      <c r="F298" s="1" t="s">
        <v>996</v>
      </c>
      <c r="G298" s="1" t="s">
        <v>97</v>
      </c>
      <c r="H298" s="1" t="s">
        <v>103</v>
      </c>
      <c r="I298" s="1" t="s">
        <v>33</v>
      </c>
      <c r="J298" s="1" t="s">
        <v>245</v>
      </c>
      <c r="K298" s="1" t="s">
        <v>246</v>
      </c>
      <c r="L298" s="1" t="s">
        <v>49</v>
      </c>
      <c r="M298" s="1" t="s">
        <v>65</v>
      </c>
      <c r="N298" s="1" t="s">
        <v>997</v>
      </c>
      <c r="O298" s="1" t="s">
        <v>52</v>
      </c>
      <c r="P298" s="1">
        <v>6</v>
      </c>
      <c r="Q298" s="1">
        <v>3495.41</v>
      </c>
      <c r="R298" s="1">
        <v>0.15</v>
      </c>
      <c r="S298" s="1">
        <v>17826.59</v>
      </c>
      <c r="T298" s="1">
        <f t="shared" si="23"/>
        <v>17826.591</v>
      </c>
      <c r="U298" s="1">
        <v>10855.35</v>
      </c>
      <c r="V298" s="3">
        <f>IF(T298=0,"",X298/T298)</f>
        <v>0.39105855965394615</v>
      </c>
      <c r="W298" s="1">
        <v>6971.24</v>
      </c>
      <c r="X298" s="1">
        <f>T298-U298</f>
        <v>6971.241</v>
      </c>
      <c r="Y298" s="1" t="s">
        <v>40</v>
      </c>
      <c r="Z298" s="1" t="s">
        <v>41</v>
      </c>
      <c r="AA298" s="1">
        <f t="shared" si="20"/>
        <v>2</v>
      </c>
      <c r="AB298" s="2" t="str">
        <f t="shared" si="24"/>
        <v>Clean</v>
      </c>
      <c r="AC298" s="2"/>
    </row>
    <row r="299" spans="1:29">
      <c r="A299" s="1" t="s">
        <v>998</v>
      </c>
      <c r="B299" s="2">
        <v>45594</v>
      </c>
      <c r="C299" s="2" t="str">
        <f t="shared" si="21"/>
        <v>October</v>
      </c>
      <c r="D299" s="1">
        <f t="shared" si="22"/>
        <v>2024</v>
      </c>
      <c r="E299" s="2">
        <v>45454</v>
      </c>
      <c r="F299" s="1" t="s">
        <v>999</v>
      </c>
      <c r="G299" s="1" t="s">
        <v>140</v>
      </c>
      <c r="H299" s="1" t="s">
        <v>98</v>
      </c>
      <c r="I299" s="1" t="s">
        <v>62</v>
      </c>
      <c r="J299" s="1" t="s">
        <v>256</v>
      </c>
      <c r="K299" s="1" t="s">
        <v>257</v>
      </c>
      <c r="L299" s="1" t="s">
        <v>82</v>
      </c>
      <c r="M299" s="1" t="s">
        <v>88</v>
      </c>
      <c r="N299" s="1" t="s">
        <v>1000</v>
      </c>
      <c r="O299" s="1" t="s">
        <v>52</v>
      </c>
      <c r="P299" s="1">
        <v>6</v>
      </c>
      <c r="Q299" s="1">
        <v>1169.92</v>
      </c>
      <c r="R299" s="1">
        <v>0.15</v>
      </c>
      <c r="S299" s="1">
        <v>5966.59</v>
      </c>
      <c r="T299" s="1">
        <f t="shared" si="23"/>
        <v>5966.5920000000006</v>
      </c>
      <c r="U299" s="1">
        <v>3994.72</v>
      </c>
      <c r="V299" s="3">
        <f>IF(T299=0,"",X299/T299)</f>
        <v>0.33048547646629778</v>
      </c>
      <c r="W299" s="1">
        <v>1971.87</v>
      </c>
      <c r="X299" s="1">
        <f>T299-U299</f>
        <v>1971.8720000000008</v>
      </c>
      <c r="Y299" s="1" t="s">
        <v>40</v>
      </c>
      <c r="Z299" s="1" t="s">
        <v>41</v>
      </c>
      <c r="AA299" s="4">
        <f t="shared" si="20"/>
        <v>-140</v>
      </c>
      <c r="AB299" s="2" t="str">
        <f t="shared" si="24"/>
        <v>Invalid</v>
      </c>
      <c r="AC299" s="2"/>
    </row>
    <row r="300" spans="1:29">
      <c r="A300" s="1" t="s">
        <v>1001</v>
      </c>
      <c r="B300" s="2">
        <v>45680</v>
      </c>
      <c r="C300" s="2" t="str">
        <f t="shared" si="21"/>
        <v>January</v>
      </c>
      <c r="D300" s="1">
        <f t="shared" si="22"/>
        <v>2025</v>
      </c>
      <c r="E300" s="2">
        <v>45683</v>
      </c>
      <c r="F300" s="1" t="s">
        <v>1002</v>
      </c>
      <c r="G300" s="1" t="s">
        <v>55</v>
      </c>
      <c r="H300" s="1" t="s">
        <v>32</v>
      </c>
      <c r="I300" s="1" t="s">
        <v>62</v>
      </c>
      <c r="J300" s="1" t="s">
        <v>193</v>
      </c>
      <c r="K300" s="1" t="s">
        <v>194</v>
      </c>
      <c r="L300" s="1" t="s">
        <v>82</v>
      </c>
      <c r="M300" s="1" t="s">
        <v>88</v>
      </c>
      <c r="N300" s="1" t="s">
        <v>1003</v>
      </c>
      <c r="O300" s="1" t="s">
        <v>58</v>
      </c>
      <c r="P300" s="1">
        <v>7</v>
      </c>
      <c r="Q300" s="1">
        <v>348.49</v>
      </c>
      <c r="R300" s="1">
        <v>0.2</v>
      </c>
      <c r="S300" s="1">
        <v>1951.54</v>
      </c>
      <c r="T300" s="1">
        <f t="shared" si="23"/>
        <v>1951.5440000000003</v>
      </c>
      <c r="U300" s="1">
        <v>1609.95</v>
      </c>
      <c r="V300" s="3">
        <f>IF(T300=0,"",X300/T300)</f>
        <v>0.17503781621116421</v>
      </c>
      <c r="W300" s="1">
        <v>341.59</v>
      </c>
      <c r="X300" s="1">
        <f>T300-U300</f>
        <v>341.59400000000028</v>
      </c>
      <c r="Y300" s="1" t="s">
        <v>163</v>
      </c>
      <c r="Z300" s="1" t="s">
        <v>111</v>
      </c>
      <c r="AA300" s="1">
        <f t="shared" si="20"/>
        <v>3</v>
      </c>
      <c r="AB300" s="2" t="str">
        <f t="shared" si="24"/>
        <v>Clean</v>
      </c>
      <c r="AC300" s="2"/>
    </row>
    <row r="301" spans="1:29">
      <c r="A301" s="1" t="s">
        <v>1004</v>
      </c>
      <c r="B301" s="2">
        <v>45454</v>
      </c>
      <c r="C301" s="2" t="str">
        <f t="shared" si="21"/>
        <v>June</v>
      </c>
      <c r="D301" s="1">
        <f t="shared" si="22"/>
        <v>2024</v>
      </c>
      <c r="E301" s="2">
        <v>45637</v>
      </c>
      <c r="F301" s="1" t="s">
        <v>1005</v>
      </c>
      <c r="G301" s="1" t="s">
        <v>126</v>
      </c>
      <c r="H301" s="1" t="s">
        <v>45</v>
      </c>
      <c r="I301" s="1" t="s">
        <v>71</v>
      </c>
      <c r="J301" s="1" t="s">
        <v>188</v>
      </c>
      <c r="K301" s="1" t="s">
        <v>189</v>
      </c>
      <c r="L301" s="1" t="s">
        <v>82</v>
      </c>
      <c r="M301" s="1" t="s">
        <v>83</v>
      </c>
      <c r="N301" s="1" t="s">
        <v>1006</v>
      </c>
      <c r="O301" s="1" t="s">
        <v>67</v>
      </c>
      <c r="P301" s="1">
        <v>7</v>
      </c>
      <c r="Q301" s="1">
        <v>1719.05</v>
      </c>
      <c r="R301" s="1">
        <v>0.1</v>
      </c>
      <c r="S301" s="1">
        <v>10830.02</v>
      </c>
      <c r="T301" s="1">
        <f t="shared" si="23"/>
        <v>10830.015000000001</v>
      </c>
      <c r="U301" s="1">
        <v>7055.31</v>
      </c>
      <c r="V301" s="3">
        <f>IF(T301=0,"",X301/T301)</f>
        <v>0.34854106850267524</v>
      </c>
      <c r="W301" s="1">
        <v>3774.71</v>
      </c>
      <c r="X301" s="1">
        <f>T301-U301</f>
        <v>3774.7050000000008</v>
      </c>
      <c r="Y301" s="1" t="s">
        <v>40</v>
      </c>
      <c r="Z301" s="1" t="s">
        <v>41</v>
      </c>
      <c r="AA301" s="1">
        <f t="shared" si="20"/>
        <v>183</v>
      </c>
      <c r="AB301" s="2" t="str">
        <f t="shared" si="24"/>
        <v>Clean</v>
      </c>
      <c r="AC301" s="2"/>
    </row>
    <row r="302" spans="1:29">
      <c r="A302" s="1" t="s">
        <v>1007</v>
      </c>
      <c r="B302" s="2">
        <v>45397</v>
      </c>
      <c r="C302" s="2" t="str">
        <f t="shared" si="21"/>
        <v>April</v>
      </c>
      <c r="D302" s="1">
        <f t="shared" si="22"/>
        <v>2024</v>
      </c>
      <c r="E302" s="2">
        <v>45405</v>
      </c>
      <c r="F302" s="1" t="s">
        <v>1008</v>
      </c>
      <c r="G302" s="1" t="s">
        <v>170</v>
      </c>
      <c r="H302" s="1" t="s">
        <v>45</v>
      </c>
      <c r="I302" s="1" t="s">
        <v>33</v>
      </c>
      <c r="J302" s="1" t="s">
        <v>130</v>
      </c>
      <c r="K302" s="1" t="s">
        <v>131</v>
      </c>
      <c r="L302" s="1" t="s">
        <v>82</v>
      </c>
      <c r="M302" s="1" t="s">
        <v>83</v>
      </c>
      <c r="N302" s="1" t="s">
        <v>1009</v>
      </c>
      <c r="O302" s="1" t="s">
        <v>39</v>
      </c>
      <c r="P302" s="1">
        <v>9</v>
      </c>
      <c r="Q302" s="1">
        <v>3893.74</v>
      </c>
      <c r="R302" s="1">
        <v>0.1</v>
      </c>
      <c r="S302" s="1">
        <v>31539.29</v>
      </c>
      <c r="T302" s="1">
        <f t="shared" si="23"/>
        <v>31539.293999999998</v>
      </c>
      <c r="U302" s="1">
        <v>22100.14</v>
      </c>
      <c r="V302" s="3">
        <f>IF(T302=0,"",X302/T302)</f>
        <v>0.29928234918638313</v>
      </c>
      <c r="W302" s="1">
        <v>9439.15</v>
      </c>
      <c r="X302" s="1">
        <f>T302-U302</f>
        <v>9439.1539999999986</v>
      </c>
      <c r="Y302" s="1" t="s">
        <v>40</v>
      </c>
      <c r="Z302" s="1" t="s">
        <v>41</v>
      </c>
      <c r="AA302" s="1">
        <f t="shared" si="20"/>
        <v>8</v>
      </c>
      <c r="AB302" s="2" t="str">
        <f t="shared" si="24"/>
        <v>Clean</v>
      </c>
      <c r="AC302" s="2"/>
    </row>
    <row r="303" spans="1:29">
      <c r="A303" s="1" t="s">
        <v>1010</v>
      </c>
      <c r="B303" s="2">
        <v>45805</v>
      </c>
      <c r="C303" s="2" t="str">
        <f t="shared" si="21"/>
        <v>May</v>
      </c>
      <c r="D303" s="1">
        <f t="shared" si="22"/>
        <v>2025</v>
      </c>
      <c r="E303" s="2">
        <v>45663</v>
      </c>
      <c r="F303" s="1" t="s">
        <v>1011</v>
      </c>
      <c r="G303" s="1" t="s">
        <v>55</v>
      </c>
      <c r="H303" s="1" t="s">
        <v>103</v>
      </c>
      <c r="I303" s="1" t="s">
        <v>46</v>
      </c>
      <c r="J303" s="1" t="s">
        <v>153</v>
      </c>
      <c r="K303" s="1" t="s">
        <v>154</v>
      </c>
      <c r="L303" s="1" t="s">
        <v>82</v>
      </c>
      <c r="M303" s="1" t="s">
        <v>179</v>
      </c>
      <c r="N303" s="1" t="s">
        <v>1012</v>
      </c>
      <c r="O303" s="1" t="s">
        <v>52</v>
      </c>
      <c r="P303" s="1">
        <v>4</v>
      </c>
      <c r="Q303" s="1">
        <v>1654.11</v>
      </c>
      <c r="R303" s="1">
        <v>0.05</v>
      </c>
      <c r="S303" s="1">
        <v>6285.62</v>
      </c>
      <c r="T303" s="1">
        <f t="shared" si="23"/>
        <v>6285.6179999999995</v>
      </c>
      <c r="U303" s="1">
        <v>3705.38</v>
      </c>
      <c r="V303" s="3">
        <f>IF(T303=0,"",X303/T303)</f>
        <v>0.41049869718458865</v>
      </c>
      <c r="W303" s="1">
        <v>2580.2399999999998</v>
      </c>
      <c r="X303" s="1">
        <f>T303-U303</f>
        <v>2580.2379999999994</v>
      </c>
      <c r="Y303" s="1" t="s">
        <v>40</v>
      </c>
      <c r="Z303" s="1" t="s">
        <v>41</v>
      </c>
      <c r="AA303" s="4">
        <f t="shared" si="20"/>
        <v>-142</v>
      </c>
      <c r="AB303" s="2" t="str">
        <f t="shared" si="24"/>
        <v>Invalid</v>
      </c>
      <c r="AC303" s="2"/>
    </row>
    <row r="304" spans="1:29">
      <c r="A304" s="1" t="s">
        <v>1013</v>
      </c>
      <c r="B304" s="2">
        <v>45753</v>
      </c>
      <c r="C304" s="2" t="str">
        <f t="shared" si="21"/>
        <v>April</v>
      </c>
      <c r="D304" s="1">
        <f t="shared" si="22"/>
        <v>2025</v>
      </c>
      <c r="E304" s="2">
        <v>45997</v>
      </c>
      <c r="F304" s="1" t="s">
        <v>1014</v>
      </c>
      <c r="G304" s="1" t="s">
        <v>87</v>
      </c>
      <c r="H304" s="1" t="s">
        <v>32</v>
      </c>
      <c r="I304" s="1" t="s">
        <v>71</v>
      </c>
      <c r="J304" s="1" t="s">
        <v>198</v>
      </c>
      <c r="K304" s="1" t="s">
        <v>199</v>
      </c>
      <c r="L304" s="1" t="s">
        <v>36</v>
      </c>
      <c r="M304" s="1" t="s">
        <v>132</v>
      </c>
      <c r="N304" s="1" t="s">
        <v>1015</v>
      </c>
      <c r="O304" s="1" t="s">
        <v>52</v>
      </c>
      <c r="P304" s="1">
        <v>2</v>
      </c>
      <c r="Q304" s="1">
        <v>2703.28</v>
      </c>
      <c r="R304" s="1">
        <v>0.25</v>
      </c>
      <c r="S304" s="1">
        <v>4054.92</v>
      </c>
      <c r="T304" s="1">
        <f t="shared" si="23"/>
        <v>4054.92</v>
      </c>
      <c r="U304" s="1">
        <v>2424.83</v>
      </c>
      <c r="V304" s="3">
        <f>IF(T304=0,"",X304/T304)</f>
        <v>0.40200299882611745</v>
      </c>
      <c r="W304" s="1">
        <v>1630.09</v>
      </c>
      <c r="X304" s="1">
        <f>T304-U304</f>
        <v>1630.0900000000001</v>
      </c>
      <c r="Y304" s="1" t="s">
        <v>40</v>
      </c>
      <c r="Z304" s="1" t="s">
        <v>41</v>
      </c>
      <c r="AA304" s="1">
        <f t="shared" si="20"/>
        <v>244</v>
      </c>
      <c r="AB304" s="2" t="str">
        <f t="shared" si="24"/>
        <v>Clean</v>
      </c>
      <c r="AC304" s="2"/>
    </row>
    <row r="305" spans="1:29">
      <c r="A305" s="1" t="s">
        <v>1016</v>
      </c>
      <c r="B305" s="2">
        <v>45466</v>
      </c>
      <c r="C305" s="2" t="str">
        <f t="shared" si="21"/>
        <v>June</v>
      </c>
      <c r="D305" s="1">
        <f t="shared" si="22"/>
        <v>2024</v>
      </c>
      <c r="E305" s="2">
        <v>45471</v>
      </c>
      <c r="F305" s="1" t="s">
        <v>1017</v>
      </c>
      <c r="G305" s="1" t="s">
        <v>170</v>
      </c>
      <c r="H305" s="1" t="s">
        <v>103</v>
      </c>
      <c r="I305" s="1" t="s">
        <v>71</v>
      </c>
      <c r="J305" s="1" t="s">
        <v>188</v>
      </c>
      <c r="K305" s="1" t="s">
        <v>189</v>
      </c>
      <c r="L305" s="1" t="s">
        <v>49</v>
      </c>
      <c r="M305" s="1" t="s">
        <v>74</v>
      </c>
      <c r="N305" s="1" t="s">
        <v>1018</v>
      </c>
      <c r="O305" s="1" t="s">
        <v>67</v>
      </c>
      <c r="P305" s="1">
        <v>2</v>
      </c>
      <c r="Q305" s="1">
        <v>1313.14</v>
      </c>
      <c r="R305" s="1">
        <v>0.1</v>
      </c>
      <c r="S305" s="1">
        <v>2363.65</v>
      </c>
      <c r="T305" s="1">
        <f t="shared" si="23"/>
        <v>2363.652</v>
      </c>
      <c r="U305" s="1">
        <v>1876.1</v>
      </c>
      <c r="V305" s="3">
        <f>IF(T305=0,"",X305/T305)</f>
        <v>0.20627063544041174</v>
      </c>
      <c r="W305" s="1">
        <v>487.55</v>
      </c>
      <c r="X305" s="1">
        <f>T305-U305</f>
        <v>487.55200000000013</v>
      </c>
      <c r="Y305" s="1" t="s">
        <v>119</v>
      </c>
      <c r="Z305" s="1" t="s">
        <v>111</v>
      </c>
      <c r="AA305" s="1">
        <f t="shared" si="20"/>
        <v>5</v>
      </c>
      <c r="AB305" s="2" t="str">
        <f t="shared" si="24"/>
        <v>Clean</v>
      </c>
      <c r="AC305" s="2"/>
    </row>
    <row r="306" spans="1:29">
      <c r="A306" s="1" t="s">
        <v>1019</v>
      </c>
      <c r="B306" s="2">
        <v>45357</v>
      </c>
      <c r="C306" s="2" t="str">
        <f t="shared" si="21"/>
        <v>March</v>
      </c>
      <c r="D306" s="1">
        <f t="shared" si="22"/>
        <v>2024</v>
      </c>
      <c r="E306" s="2">
        <v>45364</v>
      </c>
      <c r="F306" s="1" t="s">
        <v>1020</v>
      </c>
      <c r="G306" s="1" t="s">
        <v>31</v>
      </c>
      <c r="H306" s="1" t="s">
        <v>32</v>
      </c>
      <c r="I306" s="1" t="s">
        <v>33</v>
      </c>
      <c r="J306" s="1" t="s">
        <v>130</v>
      </c>
      <c r="K306" s="1" t="s">
        <v>131</v>
      </c>
      <c r="L306" s="1" t="s">
        <v>49</v>
      </c>
      <c r="M306" s="1" t="s">
        <v>65</v>
      </c>
      <c r="N306" s="1" t="s">
        <v>1021</v>
      </c>
      <c r="O306" s="1" t="s">
        <v>67</v>
      </c>
      <c r="P306" s="1">
        <v>6</v>
      </c>
      <c r="Q306" s="1">
        <v>2403.0500000000002</v>
      </c>
      <c r="R306" s="1">
        <v>0.1</v>
      </c>
      <c r="S306" s="1">
        <v>12976.47</v>
      </c>
      <c r="T306" s="1">
        <f t="shared" si="23"/>
        <v>12976.470000000001</v>
      </c>
      <c r="U306" s="1">
        <v>10019.98</v>
      </c>
      <c r="V306" s="3">
        <f>IF(T306=0,"",X306/T306)</f>
        <v>0.22783468847845378</v>
      </c>
      <c r="W306" s="1">
        <v>2956.49</v>
      </c>
      <c r="X306" s="1">
        <f>T306-U306</f>
        <v>2956.4900000000016</v>
      </c>
      <c r="Y306" s="1" t="s">
        <v>40</v>
      </c>
      <c r="Z306" s="1" t="s">
        <v>41</v>
      </c>
      <c r="AA306" s="1">
        <f t="shared" si="20"/>
        <v>7</v>
      </c>
      <c r="AB306" s="2" t="str">
        <f t="shared" si="24"/>
        <v>Clean</v>
      </c>
      <c r="AC306" s="2"/>
    </row>
    <row r="307" spans="1:29">
      <c r="A307" s="1" t="s">
        <v>1022</v>
      </c>
      <c r="B307" s="2">
        <v>45296</v>
      </c>
      <c r="C307" s="2" t="str">
        <f t="shared" si="21"/>
        <v>January</v>
      </c>
      <c r="D307" s="1">
        <f t="shared" si="22"/>
        <v>2024</v>
      </c>
      <c r="E307" s="2">
        <v>45414</v>
      </c>
      <c r="F307" s="1" t="s">
        <v>1023</v>
      </c>
      <c r="G307" s="1" t="s">
        <v>70</v>
      </c>
      <c r="H307" s="1" t="s">
        <v>32</v>
      </c>
      <c r="I307" s="1" t="s">
        <v>46</v>
      </c>
      <c r="J307" s="1" t="s">
        <v>174</v>
      </c>
      <c r="K307" s="1" t="s">
        <v>175</v>
      </c>
      <c r="L307" s="1" t="s">
        <v>49</v>
      </c>
      <c r="M307" s="1" t="s">
        <v>74</v>
      </c>
      <c r="N307" s="1" t="s">
        <v>1024</v>
      </c>
      <c r="O307" s="1" t="s">
        <v>58</v>
      </c>
      <c r="P307" s="1">
        <v>4</v>
      </c>
      <c r="Q307" s="1">
        <v>4156.0600000000004</v>
      </c>
      <c r="R307" s="1">
        <v>0.55000000000000004</v>
      </c>
      <c r="S307" s="1">
        <v>13299.39</v>
      </c>
      <c r="T307" s="1">
        <f t="shared" si="23"/>
        <v>7480.9080000000004</v>
      </c>
      <c r="U307" s="1">
        <v>9851.91</v>
      </c>
      <c r="V307" s="3">
        <f>IF(T307=0,"",X307/T307)</f>
        <v>-0.31694040349112695</v>
      </c>
      <c r="W307" s="1">
        <v>3447.48</v>
      </c>
      <c r="X307" s="1">
        <f>T307-U307</f>
        <v>-2371.0019999999995</v>
      </c>
      <c r="Y307" s="1" t="s">
        <v>40</v>
      </c>
      <c r="Z307" s="1" t="s">
        <v>76</v>
      </c>
      <c r="AA307" s="1">
        <f t="shared" si="20"/>
        <v>118</v>
      </c>
      <c r="AB307" s="2" t="str">
        <f t="shared" si="24"/>
        <v>Clean</v>
      </c>
      <c r="AC307" s="2"/>
    </row>
    <row r="308" spans="1:29">
      <c r="A308" s="1" t="s">
        <v>1025</v>
      </c>
      <c r="B308" s="2">
        <v>45708</v>
      </c>
      <c r="C308" s="2" t="str">
        <f t="shared" si="21"/>
        <v>February</v>
      </c>
      <c r="D308" s="1">
        <f t="shared" si="22"/>
        <v>2025</v>
      </c>
      <c r="E308" s="2">
        <v>45711</v>
      </c>
      <c r="F308" s="1" t="s">
        <v>1026</v>
      </c>
      <c r="G308" s="1" t="s">
        <v>136</v>
      </c>
      <c r="H308" s="1" t="s">
        <v>32</v>
      </c>
      <c r="I308" s="1" t="s">
        <v>33</v>
      </c>
      <c r="J308" s="1" t="s">
        <v>34</v>
      </c>
      <c r="K308" s="1" t="s">
        <v>35</v>
      </c>
      <c r="L308" s="1" t="s">
        <v>82</v>
      </c>
      <c r="M308" s="1" t="s">
        <v>179</v>
      </c>
      <c r="N308" s="1" t="s">
        <v>1027</v>
      </c>
      <c r="O308" s="1" t="s">
        <v>39</v>
      </c>
      <c r="P308" s="1">
        <v>4</v>
      </c>
      <c r="Q308" s="1">
        <v>3673.11</v>
      </c>
      <c r="R308" s="1">
        <v>0</v>
      </c>
      <c r="S308" s="1">
        <v>14692.44</v>
      </c>
      <c r="T308" s="1">
        <f t="shared" si="23"/>
        <v>14692.44</v>
      </c>
      <c r="U308" s="1">
        <v>10082.19</v>
      </c>
      <c r="V308" s="3">
        <f>IF(T308=0,"",X308/T308)</f>
        <v>0.31378382351740075</v>
      </c>
      <c r="W308" s="1">
        <v>4610.25</v>
      </c>
      <c r="X308" s="1">
        <f>T308-U308</f>
        <v>4610.25</v>
      </c>
      <c r="Y308" s="1" t="s">
        <v>40</v>
      </c>
      <c r="Z308" s="1" t="s">
        <v>41</v>
      </c>
      <c r="AA308" s="1">
        <f t="shared" si="20"/>
        <v>3</v>
      </c>
      <c r="AB308" s="2" t="str">
        <f t="shared" si="24"/>
        <v>Clean</v>
      </c>
      <c r="AC308" s="2"/>
    </row>
    <row r="309" spans="1:29">
      <c r="A309" s="1" t="s">
        <v>1028</v>
      </c>
      <c r="B309" s="2">
        <v>45998</v>
      </c>
      <c r="C309" s="2" t="str">
        <f t="shared" si="21"/>
        <v>December</v>
      </c>
      <c r="D309" s="1">
        <f t="shared" si="22"/>
        <v>2025</v>
      </c>
      <c r="E309" s="2">
        <v>45857</v>
      </c>
      <c r="F309" s="1" t="s">
        <v>1029</v>
      </c>
      <c r="G309" s="1" t="s">
        <v>70</v>
      </c>
      <c r="H309" s="1" t="s">
        <v>98</v>
      </c>
      <c r="I309" s="1" t="s">
        <v>33</v>
      </c>
      <c r="J309" s="1" t="s">
        <v>144</v>
      </c>
      <c r="K309" s="1" t="s">
        <v>145</v>
      </c>
      <c r="L309" s="1" t="s">
        <v>49</v>
      </c>
      <c r="M309" s="1" t="s">
        <v>50</v>
      </c>
      <c r="N309" s="1" t="s">
        <v>1030</v>
      </c>
      <c r="O309" s="1" t="s">
        <v>58</v>
      </c>
      <c r="P309" s="1">
        <v>9</v>
      </c>
      <c r="Q309" s="1">
        <v>4093.04</v>
      </c>
      <c r="R309" s="1">
        <v>0.2</v>
      </c>
      <c r="S309" s="1">
        <v>29469.89</v>
      </c>
      <c r="T309" s="1">
        <f t="shared" si="23"/>
        <v>29469.888000000003</v>
      </c>
      <c r="U309" s="1">
        <v>18935.509999999998</v>
      </c>
      <c r="V309" s="3">
        <f>IF(T309=0,"",X309/T309)</f>
        <v>0.3574624375905332</v>
      </c>
      <c r="W309" s="1">
        <v>10534.38</v>
      </c>
      <c r="X309" s="1">
        <f>T309-U309</f>
        <v>10534.378000000004</v>
      </c>
      <c r="Y309" s="1" t="s">
        <v>1031</v>
      </c>
      <c r="Z309" s="1" t="s">
        <v>76</v>
      </c>
      <c r="AA309" s="4">
        <f t="shared" si="20"/>
        <v>-141</v>
      </c>
      <c r="AB309" s="2" t="str">
        <f t="shared" si="24"/>
        <v>Invalid</v>
      </c>
      <c r="AC309" s="2"/>
    </row>
    <row r="310" spans="1:29">
      <c r="A310" s="1" t="s">
        <v>1032</v>
      </c>
      <c r="B310" s="2">
        <v>45821</v>
      </c>
      <c r="C310" s="2" t="str">
        <f t="shared" si="21"/>
        <v>June</v>
      </c>
      <c r="D310" s="1">
        <f t="shared" si="22"/>
        <v>2025</v>
      </c>
      <c r="E310" s="2">
        <v>45827</v>
      </c>
      <c r="F310" s="1" t="s">
        <v>1033</v>
      </c>
      <c r="G310" s="1" t="s">
        <v>149</v>
      </c>
      <c r="H310" s="1" t="s">
        <v>32</v>
      </c>
      <c r="I310" s="1" t="s">
        <v>33</v>
      </c>
      <c r="J310" s="1" t="s">
        <v>34</v>
      </c>
      <c r="K310" s="1" t="s">
        <v>35</v>
      </c>
      <c r="L310" s="1" t="s">
        <v>49</v>
      </c>
      <c r="M310" s="1" t="s">
        <v>50</v>
      </c>
      <c r="N310" s="1" t="s">
        <v>1034</v>
      </c>
      <c r="O310" s="1" t="s">
        <v>58</v>
      </c>
      <c r="P310" s="1">
        <v>4</v>
      </c>
      <c r="Q310" s="1">
        <v>731.57</v>
      </c>
      <c r="R310" s="1">
        <v>0.2</v>
      </c>
      <c r="S310" s="1">
        <v>2341.02</v>
      </c>
      <c r="T310" s="1">
        <f t="shared" si="23"/>
        <v>2341.0240000000003</v>
      </c>
      <c r="U310" s="1">
        <v>1565.49</v>
      </c>
      <c r="V310" s="3">
        <f>IF(T310=0,"",X310/T310)</f>
        <v>0.33127981601213835</v>
      </c>
      <c r="W310" s="1">
        <v>775.53</v>
      </c>
      <c r="X310" s="1">
        <f>T310-U310</f>
        <v>775.53400000000033</v>
      </c>
      <c r="Y310" s="1" t="s">
        <v>40</v>
      </c>
      <c r="Z310" s="1" t="s">
        <v>41</v>
      </c>
      <c r="AA310" s="1">
        <f t="shared" si="20"/>
        <v>6</v>
      </c>
      <c r="AB310" s="2" t="str">
        <f t="shared" si="24"/>
        <v>Clean</v>
      </c>
      <c r="AC310" s="2"/>
    </row>
    <row r="311" spans="1:29">
      <c r="A311" s="1" t="s">
        <v>1035</v>
      </c>
      <c r="B311" s="2">
        <v>45493</v>
      </c>
      <c r="C311" s="2" t="str">
        <f t="shared" si="21"/>
        <v>July</v>
      </c>
      <c r="D311" s="1">
        <f t="shared" si="22"/>
        <v>2024</v>
      </c>
      <c r="E311" s="2">
        <v>45495</v>
      </c>
      <c r="F311" s="1" t="s">
        <v>1036</v>
      </c>
      <c r="G311" s="1" t="s">
        <v>70</v>
      </c>
      <c r="H311" s="1" t="s">
        <v>32</v>
      </c>
      <c r="I311" s="1" t="s">
        <v>62</v>
      </c>
      <c r="J311" s="1" t="s">
        <v>256</v>
      </c>
      <c r="K311" s="1" t="s">
        <v>257</v>
      </c>
      <c r="L311" s="1" t="s">
        <v>49</v>
      </c>
      <c r="M311" s="1" t="s">
        <v>50</v>
      </c>
      <c r="N311" s="1" t="s">
        <v>1037</v>
      </c>
      <c r="O311" s="1" t="s">
        <v>58</v>
      </c>
      <c r="P311" s="1">
        <v>7</v>
      </c>
      <c r="Q311" s="1">
        <v>2060.73</v>
      </c>
      <c r="R311" s="1">
        <v>0.1</v>
      </c>
      <c r="S311" s="1">
        <v>12982.6</v>
      </c>
      <c r="T311" s="1">
        <f t="shared" si="23"/>
        <v>12982.599</v>
      </c>
      <c r="U311" s="1">
        <v>7246.36</v>
      </c>
      <c r="V311" s="3">
        <f>IF(T311=0,"",X311/T311)</f>
        <v>0.441840574448922</v>
      </c>
      <c r="W311" s="1">
        <v>5736.24</v>
      </c>
      <c r="X311" s="1">
        <f>T311-U311</f>
        <v>5736.2390000000005</v>
      </c>
      <c r="Y311" s="1" t="s">
        <v>40</v>
      </c>
      <c r="Z311" s="1" t="s">
        <v>76</v>
      </c>
      <c r="AA311" s="1">
        <f t="shared" si="20"/>
        <v>2</v>
      </c>
      <c r="AB311" s="2" t="str">
        <f t="shared" si="24"/>
        <v>Clean</v>
      </c>
      <c r="AC311" s="2"/>
    </row>
    <row r="312" spans="1:29">
      <c r="A312" s="1" t="s">
        <v>1038</v>
      </c>
      <c r="B312" s="2">
        <v>45389</v>
      </c>
      <c r="C312" s="2" t="str">
        <f t="shared" si="21"/>
        <v>April</v>
      </c>
      <c r="D312" s="1">
        <f t="shared" si="22"/>
        <v>2024</v>
      </c>
      <c r="E312" s="2">
        <v>45511</v>
      </c>
      <c r="F312" s="1" t="s">
        <v>1039</v>
      </c>
      <c r="G312" s="1" t="s">
        <v>149</v>
      </c>
      <c r="H312" s="1" t="s">
        <v>45</v>
      </c>
      <c r="I312" s="1" t="s">
        <v>62</v>
      </c>
      <c r="J312" s="1" t="s">
        <v>256</v>
      </c>
      <c r="K312" s="1" t="s">
        <v>257</v>
      </c>
      <c r="L312" s="1" t="s">
        <v>82</v>
      </c>
      <c r="M312" s="1" t="s">
        <v>283</v>
      </c>
      <c r="N312" s="1" t="s">
        <v>1040</v>
      </c>
      <c r="O312" s="1" t="s">
        <v>58</v>
      </c>
      <c r="P312" s="1">
        <v>8</v>
      </c>
      <c r="Q312" s="1">
        <v>2034.25</v>
      </c>
      <c r="R312" s="1">
        <v>0</v>
      </c>
      <c r="S312" s="1">
        <v>16274</v>
      </c>
      <c r="T312" s="1">
        <f t="shared" si="23"/>
        <v>16274</v>
      </c>
      <c r="U312" s="1">
        <v>9424.25</v>
      </c>
      <c r="V312" s="3">
        <f>IF(T312=0,"",X312/T312)</f>
        <v>0.42090143787636719</v>
      </c>
      <c r="W312" s="1">
        <v>6849.75</v>
      </c>
      <c r="X312" s="1">
        <f>T312-U312</f>
        <v>6849.75</v>
      </c>
      <c r="Y312" s="1" t="s">
        <v>40</v>
      </c>
      <c r="Z312" s="1" t="s">
        <v>41</v>
      </c>
      <c r="AA312" s="1">
        <f t="shared" si="20"/>
        <v>122</v>
      </c>
      <c r="AB312" s="2" t="str">
        <f t="shared" si="24"/>
        <v>Clean</v>
      </c>
      <c r="AC312" s="2"/>
    </row>
    <row r="313" spans="1:29">
      <c r="A313" s="1" t="s">
        <v>1041</v>
      </c>
      <c r="B313" s="2">
        <v>45409</v>
      </c>
      <c r="C313" s="2" t="str">
        <f t="shared" si="21"/>
        <v>April</v>
      </c>
      <c r="D313" s="1">
        <f t="shared" si="22"/>
        <v>2024</v>
      </c>
      <c r="E313" s="2">
        <v>45327</v>
      </c>
      <c r="F313" s="1" t="s">
        <v>1042</v>
      </c>
      <c r="G313" s="1" t="s">
        <v>44</v>
      </c>
      <c r="H313" s="1" t="s">
        <v>98</v>
      </c>
      <c r="I313" s="1" t="s">
        <v>62</v>
      </c>
      <c r="J313" s="1" t="s">
        <v>183</v>
      </c>
      <c r="K313" s="1" t="s">
        <v>184</v>
      </c>
      <c r="L313" s="1" t="s">
        <v>36</v>
      </c>
      <c r="M313" s="1" t="s">
        <v>161</v>
      </c>
      <c r="N313" s="1" t="s">
        <v>1043</v>
      </c>
      <c r="O313" s="1" t="s">
        <v>39</v>
      </c>
      <c r="P313" s="1">
        <v>5</v>
      </c>
      <c r="Q313" s="1">
        <v>554.04</v>
      </c>
      <c r="R313" s="1">
        <v>0.1</v>
      </c>
      <c r="S313" s="1">
        <v>2493.1799999999998</v>
      </c>
      <c r="T313" s="1">
        <f t="shared" si="23"/>
        <v>2493.1799999999998</v>
      </c>
      <c r="U313" s="1">
        <v>1764</v>
      </c>
      <c r="V313" s="3">
        <f>IF(T313=0,"",X313/T313)</f>
        <v>0.29246985777200196</v>
      </c>
      <c r="W313" s="1">
        <v>729.18</v>
      </c>
      <c r="X313" s="1">
        <f>T313-U313</f>
        <v>729.17999999999984</v>
      </c>
      <c r="Y313" s="1" t="s">
        <v>40</v>
      </c>
      <c r="Z313" s="1" t="s">
        <v>41</v>
      </c>
      <c r="AA313" s="4">
        <f t="shared" si="20"/>
        <v>-82</v>
      </c>
      <c r="AB313" s="2" t="str">
        <f t="shared" si="24"/>
        <v>Invalid</v>
      </c>
      <c r="AC313" s="2"/>
    </row>
    <row r="314" spans="1:29">
      <c r="A314" s="1" t="s">
        <v>1044</v>
      </c>
      <c r="B314" s="2">
        <v>45504</v>
      </c>
      <c r="C314" s="2" t="str">
        <f t="shared" si="21"/>
        <v>July</v>
      </c>
      <c r="D314" s="1">
        <f t="shared" si="22"/>
        <v>2024</v>
      </c>
      <c r="E314" s="2">
        <v>45390</v>
      </c>
      <c r="F314" s="1" t="s">
        <v>1045</v>
      </c>
      <c r="G314" s="1" t="s">
        <v>31</v>
      </c>
      <c r="H314" s="1" t="s">
        <v>45</v>
      </c>
      <c r="I314" s="1" t="s">
        <v>46</v>
      </c>
      <c r="J314" s="1" t="s">
        <v>174</v>
      </c>
      <c r="K314" s="1" t="s">
        <v>175</v>
      </c>
      <c r="L314" s="1" t="s">
        <v>82</v>
      </c>
      <c r="M314" s="1" t="s">
        <v>179</v>
      </c>
      <c r="N314" s="1" t="s">
        <v>1046</v>
      </c>
      <c r="O314" s="1" t="s">
        <v>67</v>
      </c>
      <c r="P314" s="1">
        <v>8</v>
      </c>
      <c r="Q314" s="1">
        <v>2614.7399999999998</v>
      </c>
      <c r="R314" s="1">
        <v>0</v>
      </c>
      <c r="S314" s="1">
        <v>15688.44</v>
      </c>
      <c r="T314" s="1">
        <f t="shared" si="23"/>
        <v>20917.919999999998</v>
      </c>
      <c r="U314" s="1">
        <v>10047.33</v>
      </c>
      <c r="V314" s="3">
        <f>IF(T314=0,"",X314/T314)</f>
        <v>0.5196783427797792</v>
      </c>
      <c r="W314" s="1">
        <v>5641.11</v>
      </c>
      <c r="X314" s="1">
        <f>T314-U314</f>
        <v>10870.589999999998</v>
      </c>
      <c r="Y314" s="1" t="s">
        <v>40</v>
      </c>
      <c r="Z314" s="1" t="s">
        <v>76</v>
      </c>
      <c r="AA314" s="4">
        <f t="shared" si="20"/>
        <v>-114</v>
      </c>
      <c r="AB314" s="2" t="str">
        <f t="shared" si="24"/>
        <v>Invalid</v>
      </c>
      <c r="AC314" s="2"/>
    </row>
    <row r="315" spans="1:29">
      <c r="A315" s="1" t="s">
        <v>1047</v>
      </c>
      <c r="B315" s="2">
        <v>45807</v>
      </c>
      <c r="C315" s="2" t="str">
        <f t="shared" si="21"/>
        <v>May</v>
      </c>
      <c r="D315" s="1">
        <f t="shared" si="22"/>
        <v>2025</v>
      </c>
      <c r="E315" s="2">
        <v>45808</v>
      </c>
      <c r="F315" s="1" t="s">
        <v>1048</v>
      </c>
      <c r="G315" s="1" t="s">
        <v>126</v>
      </c>
      <c r="H315" s="1" t="s">
        <v>98</v>
      </c>
      <c r="I315" s="1" t="s">
        <v>33</v>
      </c>
      <c r="J315" s="1" t="s">
        <v>144</v>
      </c>
      <c r="K315" s="1" t="s">
        <v>145</v>
      </c>
      <c r="L315" s="1" t="s">
        <v>82</v>
      </c>
      <c r="M315" s="1" t="s">
        <v>179</v>
      </c>
      <c r="N315" s="1" t="s">
        <v>1049</v>
      </c>
      <c r="O315" s="1" t="s">
        <v>58</v>
      </c>
      <c r="P315" s="1">
        <v>8</v>
      </c>
      <c r="Q315" s="1">
        <v>2081.4299999999998</v>
      </c>
      <c r="R315" s="1">
        <v>0.25</v>
      </c>
      <c r="S315" s="1">
        <v>12488.58</v>
      </c>
      <c r="T315" s="1">
        <f t="shared" si="23"/>
        <v>12488.579999999998</v>
      </c>
      <c r="U315" s="1">
        <v>10717.4</v>
      </c>
      <c r="V315" s="3">
        <f>IF(T315=0,"",X315/T315)</f>
        <v>0.14182397037933847</v>
      </c>
      <c r="W315" s="1">
        <v>1771.18</v>
      </c>
      <c r="X315" s="1">
        <f>T315-U315</f>
        <v>1771.1799999999985</v>
      </c>
      <c r="Y315" s="1" t="s">
        <v>110</v>
      </c>
      <c r="Z315" s="1" t="s">
        <v>76</v>
      </c>
      <c r="AA315" s="1">
        <f t="shared" si="20"/>
        <v>1</v>
      </c>
      <c r="AB315" s="2" t="str">
        <f t="shared" si="24"/>
        <v>Clean</v>
      </c>
      <c r="AC315" s="2"/>
    </row>
    <row r="316" spans="1:29">
      <c r="A316" s="1" t="s">
        <v>1050</v>
      </c>
      <c r="B316" s="2">
        <v>45394</v>
      </c>
      <c r="C316" s="2" t="str">
        <f t="shared" si="21"/>
        <v>April</v>
      </c>
      <c r="D316" s="1">
        <f t="shared" si="22"/>
        <v>2024</v>
      </c>
      <c r="E316" s="2">
        <v>45455</v>
      </c>
      <c r="F316" s="1" t="s">
        <v>1051</v>
      </c>
      <c r="G316" s="1" t="s">
        <v>140</v>
      </c>
      <c r="H316" s="1" t="s">
        <v>103</v>
      </c>
      <c r="I316" s="1" t="s">
        <v>46</v>
      </c>
      <c r="J316" s="1" t="s">
        <v>47</v>
      </c>
      <c r="K316" s="1" t="s">
        <v>48</v>
      </c>
      <c r="L316" s="1" t="s">
        <v>36</v>
      </c>
      <c r="M316" s="1" t="s">
        <v>161</v>
      </c>
      <c r="N316" s="1" t="s">
        <v>1052</v>
      </c>
      <c r="O316" s="1" t="s">
        <v>39</v>
      </c>
      <c r="P316" s="1">
        <v>4</v>
      </c>
      <c r="Q316" s="1">
        <v>2685.66</v>
      </c>
      <c r="R316" s="1">
        <v>0</v>
      </c>
      <c r="S316" s="1">
        <v>10742.64</v>
      </c>
      <c r="T316" s="1">
        <f t="shared" si="23"/>
        <v>10742.64</v>
      </c>
      <c r="U316" s="1">
        <v>6477.37</v>
      </c>
      <c r="V316" s="3">
        <f>IF(T316=0,"",X316/T316)</f>
        <v>0.39704113700170535</v>
      </c>
      <c r="W316" s="1">
        <v>4265.2700000000004</v>
      </c>
      <c r="X316" s="1">
        <f>T316-U316</f>
        <v>4265.2699999999995</v>
      </c>
      <c r="Y316" s="1" t="s">
        <v>40</v>
      </c>
      <c r="Z316" s="1" t="s">
        <v>111</v>
      </c>
      <c r="AA316" s="1">
        <f t="shared" si="20"/>
        <v>61</v>
      </c>
      <c r="AB316" s="2" t="str">
        <f t="shared" si="24"/>
        <v>Clean</v>
      </c>
      <c r="AC316" s="2" t="s">
        <v>392</v>
      </c>
    </row>
    <row r="317" spans="1:29">
      <c r="A317" s="1" t="s">
        <v>1053</v>
      </c>
      <c r="B317" s="2">
        <v>45329</v>
      </c>
      <c r="C317" s="2" t="str">
        <f t="shared" si="21"/>
        <v>February</v>
      </c>
      <c r="D317" s="1">
        <f t="shared" si="22"/>
        <v>2024</v>
      </c>
      <c r="E317" s="2">
        <v>45511</v>
      </c>
      <c r="F317" s="1" t="s">
        <v>1054</v>
      </c>
      <c r="G317" s="1" t="s">
        <v>149</v>
      </c>
      <c r="H317" s="1" t="s">
        <v>32</v>
      </c>
      <c r="I317" s="1" t="s">
        <v>33</v>
      </c>
      <c r="J317" s="1" t="s">
        <v>359</v>
      </c>
      <c r="K317" s="1" t="s">
        <v>360</v>
      </c>
      <c r="L317" s="1" t="s">
        <v>36</v>
      </c>
      <c r="M317" s="1" t="s">
        <v>37</v>
      </c>
      <c r="N317" s="1" t="s">
        <v>1055</v>
      </c>
      <c r="O317" s="1" t="s">
        <v>67</v>
      </c>
      <c r="P317" s="1">
        <v>9</v>
      </c>
      <c r="Q317" s="1">
        <v>3450.4</v>
      </c>
      <c r="R317" s="1">
        <v>0.05</v>
      </c>
      <c r="S317" s="1">
        <v>29500.92</v>
      </c>
      <c r="T317" s="1">
        <f t="shared" si="23"/>
        <v>29500.920000000002</v>
      </c>
      <c r="U317" s="1">
        <v>17989.68</v>
      </c>
      <c r="V317" s="3">
        <f>IF(T317=0,"",X317/T317)</f>
        <v>0.39019935649464493</v>
      </c>
      <c r="W317" s="1">
        <v>11511.24</v>
      </c>
      <c r="X317" s="1">
        <f>T317-U317</f>
        <v>11511.240000000002</v>
      </c>
      <c r="Y317" s="1" t="s">
        <v>119</v>
      </c>
      <c r="Z317" s="1" t="s">
        <v>111</v>
      </c>
      <c r="AA317" s="1">
        <f t="shared" si="20"/>
        <v>182</v>
      </c>
      <c r="AB317" s="2" t="str">
        <f t="shared" si="24"/>
        <v>Clean</v>
      </c>
      <c r="AC317" s="2"/>
    </row>
    <row r="318" spans="1:29">
      <c r="A318" s="1" t="s">
        <v>1056</v>
      </c>
      <c r="B318" s="2">
        <v>45338</v>
      </c>
      <c r="C318" s="2" t="str">
        <f t="shared" si="21"/>
        <v>February</v>
      </c>
      <c r="D318" s="1">
        <f t="shared" si="22"/>
        <v>2024</v>
      </c>
      <c r="E318" s="2">
        <v>45340</v>
      </c>
      <c r="F318" s="1" t="s">
        <v>1057</v>
      </c>
      <c r="G318" s="1" t="s">
        <v>31</v>
      </c>
      <c r="H318" s="1" t="s">
        <v>98</v>
      </c>
      <c r="I318" s="1" t="s">
        <v>33</v>
      </c>
      <c r="J318" s="1" t="s">
        <v>130</v>
      </c>
      <c r="K318" s="1" t="s">
        <v>131</v>
      </c>
      <c r="L318" s="1" t="s">
        <v>36</v>
      </c>
      <c r="M318" s="1" t="s">
        <v>99</v>
      </c>
      <c r="N318" s="1" t="s">
        <v>1058</v>
      </c>
      <c r="O318" s="1" t="s">
        <v>67</v>
      </c>
      <c r="P318" s="1">
        <v>2</v>
      </c>
      <c r="Q318" s="1">
        <v>1947.53</v>
      </c>
      <c r="R318" s="1">
        <v>0.2</v>
      </c>
      <c r="S318" s="1">
        <v>3116.05</v>
      </c>
      <c r="T318" s="1">
        <f t="shared" si="23"/>
        <v>3116.0480000000002</v>
      </c>
      <c r="U318" s="1">
        <v>1956.63</v>
      </c>
      <c r="V318" s="3">
        <f>IF(T318=0,"",X318/T318)</f>
        <v>0.37207963420332424</v>
      </c>
      <c r="W318" s="1">
        <v>1159.42</v>
      </c>
      <c r="X318" s="1">
        <f>T318-U318</f>
        <v>1159.4180000000001</v>
      </c>
      <c r="Y318" s="1" t="s">
        <v>40</v>
      </c>
      <c r="Z318" s="1" t="s">
        <v>76</v>
      </c>
      <c r="AA318" s="1">
        <f t="shared" si="20"/>
        <v>2</v>
      </c>
      <c r="AB318" s="2" t="str">
        <f t="shared" si="24"/>
        <v>Clean</v>
      </c>
      <c r="AC318" s="2"/>
    </row>
    <row r="319" spans="1:29">
      <c r="A319" s="1" t="s">
        <v>1059</v>
      </c>
      <c r="B319" s="2">
        <v>45898</v>
      </c>
      <c r="C319" s="2" t="str">
        <f t="shared" si="21"/>
        <v>August</v>
      </c>
      <c r="D319" s="1">
        <f t="shared" si="22"/>
        <v>2025</v>
      </c>
      <c r="E319" s="2">
        <v>45756</v>
      </c>
      <c r="F319" s="1" t="s">
        <v>1060</v>
      </c>
      <c r="G319" s="1" t="s">
        <v>87</v>
      </c>
      <c r="H319" s="1" t="s">
        <v>98</v>
      </c>
      <c r="I319" s="1" t="s">
        <v>62</v>
      </c>
      <c r="J319" s="1" t="s">
        <v>193</v>
      </c>
      <c r="K319" s="1" t="s">
        <v>194</v>
      </c>
      <c r="L319" s="1" t="s">
        <v>49</v>
      </c>
      <c r="M319" s="1" t="s">
        <v>50</v>
      </c>
      <c r="N319" s="1" t="s">
        <v>1061</v>
      </c>
      <c r="O319" s="1" t="s">
        <v>58</v>
      </c>
      <c r="P319" s="1">
        <v>9</v>
      </c>
      <c r="Q319" s="1">
        <v>2996.97</v>
      </c>
      <c r="R319" s="1">
        <v>0.15</v>
      </c>
      <c r="S319" s="1">
        <v>22926.82</v>
      </c>
      <c r="T319" s="1">
        <f t="shared" si="23"/>
        <v>22926.820499999998</v>
      </c>
      <c r="U319" s="1">
        <v>14621.59</v>
      </c>
      <c r="V319" s="3">
        <f>IF(T319=0,"",X319/T319)</f>
        <v>0.36224955396671765</v>
      </c>
      <c r="W319" s="1">
        <v>8305.23</v>
      </c>
      <c r="X319" s="1">
        <f>T319-U319</f>
        <v>8305.2304999999978</v>
      </c>
      <c r="Y319" s="1" t="s">
        <v>40</v>
      </c>
      <c r="Z319" s="1" t="s">
        <v>41</v>
      </c>
      <c r="AA319" s="4">
        <f t="shared" si="20"/>
        <v>-142</v>
      </c>
      <c r="AB319" s="2" t="str">
        <f t="shared" si="24"/>
        <v>Invalid</v>
      </c>
      <c r="AC319" s="2"/>
    </row>
    <row r="320" spans="1:29">
      <c r="A320" s="1" t="s">
        <v>1062</v>
      </c>
      <c r="B320" s="2">
        <v>45407</v>
      </c>
      <c r="C320" s="2" t="str">
        <f t="shared" si="21"/>
        <v>April</v>
      </c>
      <c r="D320" s="1">
        <f t="shared" si="22"/>
        <v>2024</v>
      </c>
      <c r="E320" s="2">
        <v>45412</v>
      </c>
      <c r="F320" s="1" t="s">
        <v>1063</v>
      </c>
      <c r="G320" s="1" t="s">
        <v>44</v>
      </c>
      <c r="H320" s="1" t="s">
        <v>45</v>
      </c>
      <c r="I320" s="1" t="s">
        <v>62</v>
      </c>
      <c r="J320" s="1" t="s">
        <v>183</v>
      </c>
      <c r="K320" s="1" t="s">
        <v>184</v>
      </c>
      <c r="L320" s="1" t="s">
        <v>82</v>
      </c>
      <c r="M320" s="1" t="s">
        <v>179</v>
      </c>
      <c r="N320" s="1" t="s">
        <v>1064</v>
      </c>
      <c r="O320" s="1" t="s">
        <v>67</v>
      </c>
      <c r="P320" s="1">
        <v>3</v>
      </c>
      <c r="Q320" s="1">
        <v>4149.46</v>
      </c>
      <c r="R320" s="1">
        <v>0.1</v>
      </c>
      <c r="S320" s="1">
        <v>11203.54</v>
      </c>
      <c r="T320" s="1">
        <f t="shared" si="23"/>
        <v>11203.542000000001</v>
      </c>
      <c r="U320" s="1">
        <v>8452.93</v>
      </c>
      <c r="V320" s="3">
        <f>IF(T320=0,"",X320/T320)</f>
        <v>0.24551271374713468</v>
      </c>
      <c r="W320" s="1">
        <v>2750.61</v>
      </c>
      <c r="X320" s="1">
        <f>T320-U320</f>
        <v>2750.612000000001</v>
      </c>
      <c r="Y320" s="1" t="s">
        <v>40</v>
      </c>
      <c r="Z320" s="1" t="s">
        <v>41</v>
      </c>
      <c r="AA320" s="1">
        <f t="shared" si="20"/>
        <v>5</v>
      </c>
      <c r="AB320" s="2" t="str">
        <f t="shared" si="24"/>
        <v>Clean</v>
      </c>
      <c r="AC320" s="2"/>
    </row>
    <row r="321" spans="1:29">
      <c r="A321" s="1" t="s">
        <v>1065</v>
      </c>
      <c r="B321" s="2">
        <v>45525</v>
      </c>
      <c r="C321" s="2" t="str">
        <f t="shared" si="21"/>
        <v>August</v>
      </c>
      <c r="D321" s="1">
        <f t="shared" si="22"/>
        <v>2024</v>
      </c>
      <c r="E321" s="2">
        <v>45529</v>
      </c>
      <c r="F321" s="1" t="s">
        <v>1066</v>
      </c>
      <c r="G321" s="1" t="s">
        <v>170</v>
      </c>
      <c r="H321" s="1" t="s">
        <v>32</v>
      </c>
      <c r="I321" s="1" t="s">
        <v>71</v>
      </c>
      <c r="J321" s="1" t="s">
        <v>188</v>
      </c>
      <c r="K321" s="1" t="s">
        <v>189</v>
      </c>
      <c r="L321" s="1" t="s">
        <v>36</v>
      </c>
      <c r="M321" s="1" t="s">
        <v>161</v>
      </c>
      <c r="N321" s="1" t="s">
        <v>1067</v>
      </c>
      <c r="O321" s="1" t="s">
        <v>58</v>
      </c>
      <c r="P321" s="1">
        <v>1</v>
      </c>
      <c r="Q321" s="1">
        <v>270.27999999999997</v>
      </c>
      <c r="R321" s="1">
        <v>0</v>
      </c>
      <c r="S321" s="1">
        <v>270.27999999999997</v>
      </c>
      <c r="T321" s="1">
        <f t="shared" si="23"/>
        <v>270.27999999999997</v>
      </c>
      <c r="U321" s="1">
        <v>156.34</v>
      </c>
      <c r="V321" s="3">
        <f>IF(T321=0,"",X321/T321)</f>
        <v>0.42156282373834536</v>
      </c>
      <c r="W321" s="1">
        <v>113.94</v>
      </c>
      <c r="X321" s="1">
        <f>T321-U321</f>
        <v>113.93999999999997</v>
      </c>
      <c r="Y321" s="1" t="s">
        <v>40</v>
      </c>
      <c r="Z321" s="1" t="s">
        <v>41</v>
      </c>
      <c r="AA321" s="1">
        <f t="shared" si="20"/>
        <v>4</v>
      </c>
      <c r="AB321" s="2" t="str">
        <f t="shared" si="24"/>
        <v>Clean</v>
      </c>
      <c r="AC321" s="2"/>
    </row>
    <row r="322" spans="1:29">
      <c r="A322" s="1" t="s">
        <v>1068</v>
      </c>
      <c r="B322" s="2">
        <v>45630</v>
      </c>
      <c r="C322" s="2" t="str">
        <f t="shared" si="21"/>
        <v>December</v>
      </c>
      <c r="D322" s="1">
        <f t="shared" si="22"/>
        <v>2024</v>
      </c>
      <c r="E322" s="2">
        <v>45632</v>
      </c>
      <c r="F322" s="1" t="s">
        <v>1069</v>
      </c>
      <c r="G322" s="1" t="s">
        <v>136</v>
      </c>
      <c r="H322" s="1" t="s">
        <v>103</v>
      </c>
      <c r="I322" s="1" t="s">
        <v>46</v>
      </c>
      <c r="J322" s="1" t="s">
        <v>107</v>
      </c>
      <c r="K322" s="1" t="s">
        <v>108</v>
      </c>
      <c r="L322" s="1" t="s">
        <v>36</v>
      </c>
      <c r="M322" s="1" t="s">
        <v>56</v>
      </c>
      <c r="N322" s="1" t="s">
        <v>1070</v>
      </c>
      <c r="O322" s="1" t="s">
        <v>39</v>
      </c>
      <c r="P322" s="1">
        <v>3</v>
      </c>
      <c r="Q322" s="1">
        <v>876.14</v>
      </c>
      <c r="R322" s="1">
        <v>0.7</v>
      </c>
      <c r="S322" s="1">
        <v>2628.42</v>
      </c>
      <c r="T322" s="1">
        <f t="shared" si="23"/>
        <v>788.52600000000018</v>
      </c>
      <c r="U322" s="1">
        <v>1541.54</v>
      </c>
      <c r="V322" s="3">
        <f>IF(T322=0,"",X322/T322)</f>
        <v>-0.95496407220560842</v>
      </c>
      <c r="W322" s="1">
        <v>1086.8800000000001</v>
      </c>
      <c r="X322" s="1">
        <f>T322-U322</f>
        <v>-753.01399999999978</v>
      </c>
      <c r="Y322" s="1" t="s">
        <v>119</v>
      </c>
      <c r="Z322" s="1" t="s">
        <v>111</v>
      </c>
      <c r="AA322" s="1">
        <f t="shared" ref="AA322:AA385" si="25">E322-B322</f>
        <v>2</v>
      </c>
      <c r="AB322" s="2" t="str">
        <f t="shared" si="24"/>
        <v>Clean</v>
      </c>
      <c r="AC322" s="2"/>
    </row>
    <row r="323" spans="1:29">
      <c r="A323" s="1" t="s">
        <v>1071</v>
      </c>
      <c r="B323" s="2">
        <v>45466</v>
      </c>
      <c r="C323" s="2" t="str">
        <f t="shared" ref="C323:C386" si="26">TEXT(B323,"mmmm")</f>
        <v>June</v>
      </c>
      <c r="D323" s="1">
        <f t="shared" ref="D323:D386" si="27">YEAR(B323)</f>
        <v>2024</v>
      </c>
      <c r="E323" s="2">
        <v>45473</v>
      </c>
      <c r="F323" s="1" t="s">
        <v>1072</v>
      </c>
      <c r="G323" s="1" t="s">
        <v>87</v>
      </c>
      <c r="H323" s="1" t="s">
        <v>45</v>
      </c>
      <c r="I323" s="1" t="s">
        <v>71</v>
      </c>
      <c r="J323" s="1" t="s">
        <v>198</v>
      </c>
      <c r="K323" s="1" t="s">
        <v>199</v>
      </c>
      <c r="L323" s="1" t="s">
        <v>82</v>
      </c>
      <c r="M323" s="1" t="s">
        <v>83</v>
      </c>
      <c r="N323" s="1" t="s">
        <v>1073</v>
      </c>
      <c r="O323" s="1" t="s">
        <v>52</v>
      </c>
      <c r="P323" s="1">
        <v>4</v>
      </c>
      <c r="Q323" s="1">
        <v>674.82</v>
      </c>
      <c r="R323" s="1">
        <v>0</v>
      </c>
      <c r="S323" s="1">
        <v>2699.28</v>
      </c>
      <c r="T323" s="1">
        <f t="shared" ref="T323:T386" si="28">P323*Q323*(1-R323)</f>
        <v>2699.28</v>
      </c>
      <c r="U323" s="1">
        <v>1759.76</v>
      </c>
      <c r="V323" s="3">
        <f>IF(T323=0,"",X323/T323)</f>
        <v>0.34806318722029583</v>
      </c>
      <c r="W323" s="1">
        <v>939.52</v>
      </c>
      <c r="X323" s="1">
        <f>T323-U323</f>
        <v>939.52000000000021</v>
      </c>
      <c r="Y323" s="1" t="s">
        <v>163</v>
      </c>
      <c r="Z323" s="1" t="s">
        <v>76</v>
      </c>
      <c r="AA323" s="1">
        <f t="shared" si="25"/>
        <v>7</v>
      </c>
      <c r="AB323" s="2" t="str">
        <f t="shared" ref="AB323:AB386" si="29">IF(OR(AA323&lt;0,R323&lt;0),"Invalid",IF(OR(I323="Unknown",O323="Unknown"),"Warning","Clean"))</f>
        <v>Clean</v>
      </c>
      <c r="AC323" s="2"/>
    </row>
    <row r="324" spans="1:29">
      <c r="A324" s="1" t="s">
        <v>1074</v>
      </c>
      <c r="B324" s="2">
        <v>45637</v>
      </c>
      <c r="C324" s="2" t="str">
        <f t="shared" si="26"/>
        <v>December</v>
      </c>
      <c r="D324" s="1">
        <f t="shared" si="27"/>
        <v>2024</v>
      </c>
      <c r="E324" s="2">
        <v>45637</v>
      </c>
      <c r="F324" s="1" t="s">
        <v>1075</v>
      </c>
      <c r="G324" s="1" t="s">
        <v>55</v>
      </c>
      <c r="H324" s="1" t="s">
        <v>32</v>
      </c>
      <c r="I324" s="1" t="s">
        <v>33</v>
      </c>
      <c r="J324" s="1" t="s">
        <v>144</v>
      </c>
      <c r="K324" s="1" t="s">
        <v>145</v>
      </c>
      <c r="L324" s="1" t="s">
        <v>82</v>
      </c>
      <c r="M324" s="1" t="s">
        <v>179</v>
      </c>
      <c r="N324" s="1" t="s">
        <v>1076</v>
      </c>
      <c r="O324" s="1" t="s">
        <v>39</v>
      </c>
      <c r="P324" s="1">
        <v>6</v>
      </c>
      <c r="Q324" s="1">
        <v>1369.48</v>
      </c>
      <c r="R324" s="1">
        <v>0.15</v>
      </c>
      <c r="S324" s="1">
        <v>6984.35</v>
      </c>
      <c r="T324" s="1">
        <f t="shared" si="28"/>
        <v>6984.3480000000009</v>
      </c>
      <c r="U324" s="1">
        <v>4023.63</v>
      </c>
      <c r="V324" s="3">
        <f>IF(T324=0,"",X324/T324)</f>
        <v>0.42390757161584736</v>
      </c>
      <c r="W324" s="1">
        <v>2960.72</v>
      </c>
      <c r="X324" s="1">
        <f>T324-U324</f>
        <v>2960.7180000000008</v>
      </c>
      <c r="Y324" s="1" t="s">
        <v>40</v>
      </c>
      <c r="Z324" s="1" t="s">
        <v>41</v>
      </c>
      <c r="AA324" s="1">
        <f t="shared" si="25"/>
        <v>0</v>
      </c>
      <c r="AB324" s="2" t="str">
        <f t="shared" si="29"/>
        <v>Clean</v>
      </c>
      <c r="AC324" s="2"/>
    </row>
    <row r="325" spans="1:29">
      <c r="A325" s="1" t="s">
        <v>1077</v>
      </c>
      <c r="B325" s="2">
        <v>45347</v>
      </c>
      <c r="C325" s="2" t="str">
        <f t="shared" si="26"/>
        <v>February</v>
      </c>
      <c r="D325" s="1">
        <f t="shared" si="27"/>
        <v>2024</v>
      </c>
      <c r="E325" s="2">
        <v>45351</v>
      </c>
      <c r="F325" s="1" t="s">
        <v>1078</v>
      </c>
      <c r="G325" s="1" t="s">
        <v>55</v>
      </c>
      <c r="H325" s="1" t="s">
        <v>45</v>
      </c>
      <c r="I325" s="1" t="s">
        <v>71</v>
      </c>
      <c r="J325" s="1" t="s">
        <v>198</v>
      </c>
      <c r="K325" s="1" t="s">
        <v>199</v>
      </c>
      <c r="L325" s="1" t="s">
        <v>49</v>
      </c>
      <c r="M325" s="1" t="s">
        <v>65</v>
      </c>
      <c r="N325" s="1" t="s">
        <v>158</v>
      </c>
      <c r="O325" s="1" t="s">
        <v>67</v>
      </c>
      <c r="P325" s="1">
        <v>9</v>
      </c>
      <c r="Q325" s="1">
        <v>1331.46</v>
      </c>
      <c r="R325" s="1">
        <v>0.15</v>
      </c>
      <c r="S325" s="1">
        <v>10185.67</v>
      </c>
      <c r="T325" s="1">
        <f t="shared" si="28"/>
        <v>10185.669</v>
      </c>
      <c r="U325" s="1">
        <v>6479.31</v>
      </c>
      <c r="V325" s="3">
        <f>IF(T325=0,"",X325/T325)</f>
        <v>0.36387978050337189</v>
      </c>
      <c r="W325" s="1">
        <v>3706.36</v>
      </c>
      <c r="X325" s="1">
        <f>T325-U325</f>
        <v>3706.3589999999995</v>
      </c>
      <c r="Y325" s="1" t="s">
        <v>40</v>
      </c>
      <c r="Z325" s="1" t="s">
        <v>41</v>
      </c>
      <c r="AA325" s="1">
        <f t="shared" si="25"/>
        <v>4</v>
      </c>
      <c r="AB325" s="2" t="str">
        <f t="shared" si="29"/>
        <v>Clean</v>
      </c>
      <c r="AC325" s="2"/>
    </row>
    <row r="326" spans="1:29">
      <c r="A326" s="1" t="s">
        <v>1079</v>
      </c>
      <c r="B326" s="2">
        <v>45869</v>
      </c>
      <c r="C326" s="2" t="str">
        <f t="shared" si="26"/>
        <v>July</v>
      </c>
      <c r="D326" s="1">
        <f t="shared" si="27"/>
        <v>2025</v>
      </c>
      <c r="E326" s="2">
        <v>45696</v>
      </c>
      <c r="F326" s="1" t="s">
        <v>1080</v>
      </c>
      <c r="G326" s="1" t="s">
        <v>149</v>
      </c>
      <c r="H326" s="1" t="s">
        <v>103</v>
      </c>
      <c r="I326" s="1" t="s">
        <v>62</v>
      </c>
      <c r="J326" s="1" t="s">
        <v>92</v>
      </c>
      <c r="K326" s="1" t="s">
        <v>93</v>
      </c>
      <c r="L326" s="1" t="s">
        <v>36</v>
      </c>
      <c r="M326" s="1" t="s">
        <v>99</v>
      </c>
      <c r="N326" s="1" t="s">
        <v>1081</v>
      </c>
      <c r="O326" s="1" t="s">
        <v>52</v>
      </c>
      <c r="P326" s="1">
        <v>1</v>
      </c>
      <c r="Q326" s="1">
        <v>1947.88</v>
      </c>
      <c r="R326" s="1">
        <v>0.15</v>
      </c>
      <c r="S326" s="1">
        <v>1655.7</v>
      </c>
      <c r="T326" s="1">
        <f t="shared" si="28"/>
        <v>1655.6980000000001</v>
      </c>
      <c r="U326" s="1">
        <v>1354.8</v>
      </c>
      <c r="V326" s="3">
        <f>IF(T326=0,"",X326/T326)</f>
        <v>0.1817348332848141</v>
      </c>
      <c r="W326" s="1">
        <v>300.89999999999998</v>
      </c>
      <c r="X326" s="1">
        <f>T326-U326</f>
        <v>300.89800000000014</v>
      </c>
      <c r="Y326" s="1" t="s">
        <v>40</v>
      </c>
      <c r="Z326" s="1" t="s">
        <v>111</v>
      </c>
      <c r="AA326" s="4">
        <f t="shared" si="25"/>
        <v>-173</v>
      </c>
      <c r="AB326" s="2" t="str">
        <f t="shared" si="29"/>
        <v>Invalid</v>
      </c>
      <c r="AC326" s="2"/>
    </row>
    <row r="327" spans="1:29">
      <c r="A327" s="1" t="s">
        <v>1082</v>
      </c>
      <c r="B327" s="2">
        <v>45916</v>
      </c>
      <c r="C327" s="2" t="str">
        <f t="shared" si="26"/>
        <v>September</v>
      </c>
      <c r="D327" s="1">
        <f t="shared" si="27"/>
        <v>2025</v>
      </c>
      <c r="E327" s="2">
        <v>45922</v>
      </c>
      <c r="F327" s="1" t="s">
        <v>1083</v>
      </c>
      <c r="G327" s="1" t="s">
        <v>140</v>
      </c>
      <c r="H327" s="1" t="s">
        <v>103</v>
      </c>
      <c r="I327" s="1" t="s">
        <v>46</v>
      </c>
      <c r="J327" s="1" t="s">
        <v>107</v>
      </c>
      <c r="K327" s="1" t="s">
        <v>108</v>
      </c>
      <c r="L327" s="1" t="s">
        <v>82</v>
      </c>
      <c r="M327" s="1" t="s">
        <v>88</v>
      </c>
      <c r="N327" s="1" t="s">
        <v>1084</v>
      </c>
      <c r="O327" s="1" t="s">
        <v>39</v>
      </c>
      <c r="P327" s="1">
        <v>5</v>
      </c>
      <c r="Q327" s="1">
        <v>3671.2</v>
      </c>
      <c r="R327" s="1">
        <v>0.15</v>
      </c>
      <c r="S327" s="1">
        <v>15602.6</v>
      </c>
      <c r="T327" s="1">
        <f t="shared" si="28"/>
        <v>15602.6</v>
      </c>
      <c r="U327" s="1">
        <v>11908.52</v>
      </c>
      <c r="V327" s="3">
        <f>IF(T327=0,"",X327/T327)</f>
        <v>0.236760539910015</v>
      </c>
      <c r="W327" s="1">
        <v>3694.08</v>
      </c>
      <c r="X327" s="1">
        <f>T327-U327</f>
        <v>3694.08</v>
      </c>
      <c r="Y327" s="1" t="s">
        <v>40</v>
      </c>
      <c r="Z327" s="1" t="s">
        <v>41</v>
      </c>
      <c r="AA327" s="1">
        <f t="shared" si="25"/>
        <v>6</v>
      </c>
      <c r="AB327" s="2" t="str">
        <f t="shared" si="29"/>
        <v>Clean</v>
      </c>
      <c r="AC327" s="2"/>
    </row>
    <row r="328" spans="1:29">
      <c r="A328" s="1" t="s">
        <v>1085</v>
      </c>
      <c r="B328" s="2">
        <v>45860</v>
      </c>
      <c r="C328" s="2" t="str">
        <f t="shared" si="26"/>
        <v>July</v>
      </c>
      <c r="D328" s="1">
        <f t="shared" si="27"/>
        <v>2025</v>
      </c>
      <c r="E328" s="2">
        <v>45860</v>
      </c>
      <c r="F328" s="1" t="s">
        <v>1086</v>
      </c>
      <c r="G328" s="1" t="s">
        <v>140</v>
      </c>
      <c r="H328" s="1" t="s">
        <v>98</v>
      </c>
      <c r="I328" s="1" t="s">
        <v>46</v>
      </c>
      <c r="J328" s="1" t="s">
        <v>237</v>
      </c>
      <c r="K328" s="1" t="s">
        <v>238</v>
      </c>
      <c r="L328" s="1" t="s">
        <v>49</v>
      </c>
      <c r="M328" s="1" t="s">
        <v>65</v>
      </c>
      <c r="N328" s="1" t="s">
        <v>1087</v>
      </c>
      <c r="O328" s="1" t="s">
        <v>52</v>
      </c>
      <c r="P328" s="1">
        <v>5</v>
      </c>
      <c r="Q328" s="1">
        <v>3187.05</v>
      </c>
      <c r="R328" s="1">
        <v>0.05</v>
      </c>
      <c r="S328" s="1">
        <v>15138.49</v>
      </c>
      <c r="T328" s="1">
        <f t="shared" si="28"/>
        <v>15138.487499999999</v>
      </c>
      <c r="U328" s="1">
        <v>11235.72</v>
      </c>
      <c r="V328" s="3">
        <f>IF(T328=0,"",X328/T328)</f>
        <v>0.25780432160082045</v>
      </c>
      <c r="W328" s="1">
        <v>3902.77</v>
      </c>
      <c r="X328" s="1">
        <f>T328-U328</f>
        <v>3902.7674999999999</v>
      </c>
      <c r="Y328" s="1" t="s">
        <v>40</v>
      </c>
      <c r="Z328" s="1" t="s">
        <v>41</v>
      </c>
      <c r="AA328" s="1">
        <f t="shared" si="25"/>
        <v>0</v>
      </c>
      <c r="AB328" s="2" t="str">
        <f t="shared" si="29"/>
        <v>Clean</v>
      </c>
      <c r="AC328" s="2"/>
    </row>
    <row r="329" spans="1:29">
      <c r="A329" s="1" t="s">
        <v>1088</v>
      </c>
      <c r="B329" s="2">
        <v>45497</v>
      </c>
      <c r="C329" s="2" t="str">
        <f t="shared" si="26"/>
        <v>July</v>
      </c>
      <c r="D329" s="1">
        <f t="shared" si="27"/>
        <v>2024</v>
      </c>
      <c r="E329" s="2">
        <v>45500</v>
      </c>
      <c r="F329" s="1" t="s">
        <v>1089</v>
      </c>
      <c r="G329" s="1" t="s">
        <v>55</v>
      </c>
      <c r="H329" s="1" t="s">
        <v>32</v>
      </c>
      <c r="I329" s="1" t="s">
        <v>71</v>
      </c>
      <c r="J329" s="1" t="s">
        <v>34</v>
      </c>
      <c r="K329" s="1" t="s">
        <v>117</v>
      </c>
      <c r="L329" s="1" t="s">
        <v>82</v>
      </c>
      <c r="M329" s="1" t="s">
        <v>83</v>
      </c>
      <c r="N329" s="1" t="s">
        <v>1090</v>
      </c>
      <c r="O329" s="1" t="s">
        <v>39</v>
      </c>
      <c r="P329" s="1">
        <v>3</v>
      </c>
      <c r="Q329" s="1">
        <v>1834.55</v>
      </c>
      <c r="R329" s="1">
        <v>0.2</v>
      </c>
      <c r="S329" s="1">
        <v>4402.92</v>
      </c>
      <c r="T329" s="1">
        <f t="shared" si="28"/>
        <v>4402.92</v>
      </c>
      <c r="U329" s="1">
        <v>2993.94</v>
      </c>
      <c r="V329" s="3">
        <f>IF(T329=0,"",X329/T329)</f>
        <v>0.32001035676323897</v>
      </c>
      <c r="W329" s="1">
        <v>1408.98</v>
      </c>
      <c r="X329" s="1">
        <f>T329-U329</f>
        <v>1408.98</v>
      </c>
      <c r="Y329" s="1" t="s">
        <v>119</v>
      </c>
      <c r="Z329" s="1" t="s">
        <v>76</v>
      </c>
      <c r="AA329" s="1">
        <f t="shared" si="25"/>
        <v>3</v>
      </c>
      <c r="AB329" s="2" t="str">
        <f t="shared" si="29"/>
        <v>Clean</v>
      </c>
      <c r="AC329" s="2"/>
    </row>
    <row r="330" spans="1:29">
      <c r="A330" s="1" t="s">
        <v>1091</v>
      </c>
      <c r="B330" s="2">
        <v>45806</v>
      </c>
      <c r="C330" s="2" t="str">
        <f t="shared" si="26"/>
        <v>May</v>
      </c>
      <c r="D330" s="1">
        <f t="shared" si="27"/>
        <v>2025</v>
      </c>
      <c r="E330" s="2">
        <v>45753</v>
      </c>
      <c r="F330" s="1" t="s">
        <v>1092</v>
      </c>
      <c r="G330" s="1" t="s">
        <v>170</v>
      </c>
      <c r="H330" s="1" t="s">
        <v>32</v>
      </c>
      <c r="I330" s="1" t="s">
        <v>71</v>
      </c>
      <c r="J330" s="1" t="s">
        <v>72</v>
      </c>
      <c r="K330" s="1" t="s">
        <v>73</v>
      </c>
      <c r="L330" s="1" t="s">
        <v>36</v>
      </c>
      <c r="M330" s="1" t="s">
        <v>132</v>
      </c>
      <c r="N330" s="1" t="s">
        <v>1093</v>
      </c>
      <c r="O330" s="1" t="s">
        <v>58</v>
      </c>
      <c r="P330" s="1">
        <v>6</v>
      </c>
      <c r="Q330" s="1">
        <v>3100.68</v>
      </c>
      <c r="R330" s="1">
        <v>0</v>
      </c>
      <c r="S330" s="1">
        <v>18604.080000000002</v>
      </c>
      <c r="T330" s="1">
        <f t="shared" si="28"/>
        <v>18604.079999999998</v>
      </c>
      <c r="U330" s="1">
        <v>15834.3</v>
      </c>
      <c r="V330" s="3">
        <f>IF(T330=0,"",X330/T330)</f>
        <v>0.1488802456235406</v>
      </c>
      <c r="W330" s="1">
        <v>2769.78</v>
      </c>
      <c r="X330" s="1">
        <f>T330-U330</f>
        <v>2769.7799999999988</v>
      </c>
      <c r="Y330" s="1" t="s">
        <v>40</v>
      </c>
      <c r="Z330" s="1" t="s">
        <v>41</v>
      </c>
      <c r="AA330" s="4">
        <f t="shared" si="25"/>
        <v>-53</v>
      </c>
      <c r="AB330" s="2" t="str">
        <f t="shared" si="29"/>
        <v>Invalid</v>
      </c>
      <c r="AC330" s="2"/>
    </row>
    <row r="331" spans="1:29">
      <c r="A331" s="1" t="s">
        <v>1094</v>
      </c>
      <c r="B331" s="2">
        <v>45996</v>
      </c>
      <c r="C331" s="2" t="str">
        <f t="shared" si="26"/>
        <v>December</v>
      </c>
      <c r="D331" s="1">
        <f t="shared" si="27"/>
        <v>2025</v>
      </c>
      <c r="E331" s="2">
        <v>45795</v>
      </c>
      <c r="F331" s="1" t="s">
        <v>1095</v>
      </c>
      <c r="G331" s="1" t="s">
        <v>87</v>
      </c>
      <c r="H331" s="1" t="s">
        <v>45</v>
      </c>
      <c r="I331" s="1" t="s">
        <v>71</v>
      </c>
      <c r="J331" s="1" t="s">
        <v>72</v>
      </c>
      <c r="K331" s="1" t="s">
        <v>73</v>
      </c>
      <c r="L331" s="1" t="s">
        <v>36</v>
      </c>
      <c r="M331" s="1" t="s">
        <v>132</v>
      </c>
      <c r="N331" s="1" t="s">
        <v>1096</v>
      </c>
      <c r="O331" s="1" t="s">
        <v>67</v>
      </c>
      <c r="P331" s="1">
        <v>4</v>
      </c>
      <c r="Q331" s="1">
        <v>4053.03</v>
      </c>
      <c r="R331" s="1">
        <v>0.05</v>
      </c>
      <c r="S331" s="1">
        <v>15401.51</v>
      </c>
      <c r="T331" s="1">
        <f t="shared" si="28"/>
        <v>15401.513999999999</v>
      </c>
      <c r="U331" s="1">
        <v>8650.42</v>
      </c>
      <c r="V331" s="3">
        <f>IF(T331=0,"",X331/T331)</f>
        <v>0.43833963336331738</v>
      </c>
      <c r="W331" s="1">
        <v>6751.09</v>
      </c>
      <c r="X331" s="1">
        <f>T331-U331</f>
        <v>6751.0939999999991</v>
      </c>
      <c r="Y331" s="1" t="s">
        <v>40</v>
      </c>
      <c r="Z331" s="1" t="s">
        <v>41</v>
      </c>
      <c r="AA331" s="4">
        <f t="shared" si="25"/>
        <v>-201</v>
      </c>
      <c r="AB331" s="2" t="str">
        <f t="shared" si="29"/>
        <v>Invalid</v>
      </c>
      <c r="AC331" s="2"/>
    </row>
    <row r="332" spans="1:29">
      <c r="A332" s="1" t="s">
        <v>1097</v>
      </c>
      <c r="B332" s="2">
        <v>45428</v>
      </c>
      <c r="C332" s="2" t="str">
        <f t="shared" si="26"/>
        <v>May</v>
      </c>
      <c r="D332" s="1">
        <f t="shared" si="27"/>
        <v>2024</v>
      </c>
      <c r="E332" s="2">
        <v>45436</v>
      </c>
      <c r="F332" s="1" t="s">
        <v>1098</v>
      </c>
      <c r="G332" s="1" t="s">
        <v>61</v>
      </c>
      <c r="H332" s="1" t="s">
        <v>103</v>
      </c>
      <c r="I332" s="1" t="s">
        <v>33</v>
      </c>
      <c r="J332" s="1" t="s">
        <v>130</v>
      </c>
      <c r="K332" s="1" t="s">
        <v>131</v>
      </c>
      <c r="L332" s="1" t="s">
        <v>82</v>
      </c>
      <c r="M332" s="1" t="s">
        <v>83</v>
      </c>
      <c r="N332" s="1" t="s">
        <v>1099</v>
      </c>
      <c r="O332" s="1" t="s">
        <v>52</v>
      </c>
      <c r="P332" s="1">
        <v>1</v>
      </c>
      <c r="Q332" s="1">
        <v>783.09</v>
      </c>
      <c r="R332" s="1">
        <v>0</v>
      </c>
      <c r="S332" s="1">
        <v>783.09</v>
      </c>
      <c r="T332" s="1">
        <f t="shared" si="28"/>
        <v>783.09</v>
      </c>
      <c r="U332" s="1">
        <v>503.89</v>
      </c>
      <c r="V332" s="3">
        <f>IF(T332=0,"",X332/T332)</f>
        <v>0.3565362857398256</v>
      </c>
      <c r="W332" s="1">
        <v>279.2</v>
      </c>
      <c r="X332" s="1">
        <f>T332-U332</f>
        <v>279.20000000000005</v>
      </c>
      <c r="Y332" s="1" t="s">
        <v>163</v>
      </c>
      <c r="Z332" s="1" t="s">
        <v>76</v>
      </c>
      <c r="AA332" s="1">
        <f t="shared" si="25"/>
        <v>8</v>
      </c>
      <c r="AB332" s="2" t="str">
        <f t="shared" si="29"/>
        <v>Clean</v>
      </c>
      <c r="AC332" s="2"/>
    </row>
    <row r="333" spans="1:29">
      <c r="A333" s="1" t="s">
        <v>1050</v>
      </c>
      <c r="B333" s="2">
        <v>45394</v>
      </c>
      <c r="C333" s="2" t="str">
        <f t="shared" si="26"/>
        <v>April</v>
      </c>
      <c r="D333" s="1">
        <f t="shared" si="27"/>
        <v>2024</v>
      </c>
      <c r="E333" s="2">
        <v>45455</v>
      </c>
      <c r="F333" s="1" t="s">
        <v>1051</v>
      </c>
      <c r="G333" s="1" t="s">
        <v>140</v>
      </c>
      <c r="H333" s="1" t="s">
        <v>103</v>
      </c>
      <c r="I333" s="1" t="s">
        <v>46</v>
      </c>
      <c r="J333" s="1" t="s">
        <v>47</v>
      </c>
      <c r="K333" s="1" t="s">
        <v>48</v>
      </c>
      <c r="L333" s="1" t="s">
        <v>36</v>
      </c>
      <c r="M333" s="1" t="s">
        <v>161</v>
      </c>
      <c r="N333" s="1" t="s">
        <v>1052</v>
      </c>
      <c r="O333" s="1" t="s">
        <v>39</v>
      </c>
      <c r="P333" s="1">
        <v>4</v>
      </c>
      <c r="Q333" s="1">
        <v>2685.66</v>
      </c>
      <c r="R333" s="1">
        <v>0</v>
      </c>
      <c r="S333" s="1">
        <v>10989.89</v>
      </c>
      <c r="T333" s="1">
        <f t="shared" si="28"/>
        <v>10742.64</v>
      </c>
      <c r="U333" s="1">
        <v>6477.37</v>
      </c>
      <c r="V333" s="3">
        <f>IF(T333=0,"",X333/T333)</f>
        <v>0.39704113700170535</v>
      </c>
      <c r="W333" s="1">
        <v>4265.2700000000004</v>
      </c>
      <c r="X333" s="1">
        <f>T333-U333</f>
        <v>4265.2699999999995</v>
      </c>
      <c r="Y333" s="1" t="s">
        <v>40</v>
      </c>
      <c r="Z333" s="1" t="s">
        <v>41</v>
      </c>
      <c r="AA333" s="1">
        <f t="shared" si="25"/>
        <v>61</v>
      </c>
      <c r="AB333" s="2" t="str">
        <f t="shared" si="29"/>
        <v>Clean</v>
      </c>
      <c r="AC333" s="2" t="s">
        <v>392</v>
      </c>
    </row>
    <row r="334" spans="1:29">
      <c r="A334" s="1" t="s">
        <v>1100</v>
      </c>
      <c r="B334" s="2">
        <v>45804</v>
      </c>
      <c r="C334" s="2" t="str">
        <f t="shared" si="26"/>
        <v>May</v>
      </c>
      <c r="D334" s="1">
        <f t="shared" si="27"/>
        <v>2025</v>
      </c>
      <c r="E334" s="2">
        <v>45805</v>
      </c>
      <c r="F334" s="1" t="s">
        <v>1101</v>
      </c>
      <c r="G334" s="1" t="s">
        <v>136</v>
      </c>
      <c r="H334" s="1" t="s">
        <v>32</v>
      </c>
      <c r="I334" s="1" t="s">
        <v>62</v>
      </c>
      <c r="J334" s="1" t="s">
        <v>92</v>
      </c>
      <c r="K334" s="1" t="s">
        <v>93</v>
      </c>
      <c r="L334" s="1" t="s">
        <v>82</v>
      </c>
      <c r="M334" s="1" t="s">
        <v>283</v>
      </c>
      <c r="N334" s="1" t="s">
        <v>1102</v>
      </c>
      <c r="O334" s="1" t="s">
        <v>39</v>
      </c>
      <c r="P334" s="1">
        <v>2</v>
      </c>
      <c r="Q334" s="1">
        <v>3911.96</v>
      </c>
      <c r="R334" s="1">
        <v>0</v>
      </c>
      <c r="S334" s="1">
        <v>7823.92</v>
      </c>
      <c r="T334" s="1">
        <f t="shared" si="28"/>
        <v>7823.92</v>
      </c>
      <c r="U334" s="1">
        <v>6034.63</v>
      </c>
      <c r="V334" s="3">
        <f>IF(T334=0,"",X334/T334)</f>
        <v>0.22869482305545047</v>
      </c>
      <c r="W334" s="1">
        <v>1789.29</v>
      </c>
      <c r="X334" s="1">
        <f>T334-U334</f>
        <v>1789.29</v>
      </c>
      <c r="Y334" s="1" t="s">
        <v>40</v>
      </c>
      <c r="Z334" s="1" t="s">
        <v>41</v>
      </c>
      <c r="AA334" s="1">
        <f t="shared" si="25"/>
        <v>1</v>
      </c>
      <c r="AB334" s="2" t="str">
        <f t="shared" si="29"/>
        <v>Clean</v>
      </c>
      <c r="AC334" s="2"/>
    </row>
    <row r="335" spans="1:29">
      <c r="A335" s="1" t="s">
        <v>1103</v>
      </c>
      <c r="B335" s="2">
        <v>45830</v>
      </c>
      <c r="C335" s="2" t="str">
        <f t="shared" si="26"/>
        <v>June</v>
      </c>
      <c r="D335" s="1">
        <f t="shared" si="27"/>
        <v>2025</v>
      </c>
      <c r="E335" s="2">
        <v>45835</v>
      </c>
      <c r="F335" s="1" t="s">
        <v>1104</v>
      </c>
      <c r="G335" s="1" t="s">
        <v>149</v>
      </c>
      <c r="H335" s="1" t="s">
        <v>103</v>
      </c>
      <c r="I335" s="1" t="s">
        <v>213</v>
      </c>
      <c r="J335" s="1" t="s">
        <v>359</v>
      </c>
      <c r="K335" s="1" t="s">
        <v>360</v>
      </c>
      <c r="L335" s="1" t="s">
        <v>82</v>
      </c>
      <c r="M335" s="1" t="s">
        <v>179</v>
      </c>
      <c r="N335" s="1" t="s">
        <v>1105</v>
      </c>
      <c r="O335" s="1" t="s">
        <v>58</v>
      </c>
      <c r="P335" s="1">
        <v>2</v>
      </c>
      <c r="Q335" s="1">
        <v>1468.05</v>
      </c>
      <c r="R335" s="1">
        <v>0</v>
      </c>
      <c r="S335" s="1">
        <v>2936.1</v>
      </c>
      <c r="T335" s="1">
        <f t="shared" si="28"/>
        <v>2936.1</v>
      </c>
      <c r="U335" s="1">
        <v>1923.1</v>
      </c>
      <c r="V335" s="3">
        <f>IF(T335=0,"",X335/T335)</f>
        <v>0.34501549674738602</v>
      </c>
      <c r="W335" s="1">
        <v>1013</v>
      </c>
      <c r="X335" s="1">
        <f>T335-U335</f>
        <v>1013</v>
      </c>
      <c r="Y335" s="1" t="s">
        <v>40</v>
      </c>
      <c r="Z335" s="1" t="s">
        <v>41</v>
      </c>
      <c r="AA335" s="1">
        <f t="shared" si="25"/>
        <v>5</v>
      </c>
      <c r="AB335" s="2" t="str">
        <f t="shared" si="29"/>
        <v>Warning</v>
      </c>
      <c r="AC335" s="2"/>
    </row>
    <row r="336" spans="1:29">
      <c r="A336" s="1" t="s">
        <v>1106</v>
      </c>
      <c r="B336" s="2">
        <v>45635</v>
      </c>
      <c r="C336" s="2" t="str">
        <f t="shared" si="26"/>
        <v>December</v>
      </c>
      <c r="D336" s="1">
        <f t="shared" si="27"/>
        <v>2024</v>
      </c>
      <c r="E336" s="2">
        <v>45552</v>
      </c>
      <c r="F336" s="1" t="s">
        <v>1107</v>
      </c>
      <c r="G336" s="1" t="s">
        <v>70</v>
      </c>
      <c r="H336" s="1" t="s">
        <v>32</v>
      </c>
      <c r="I336" s="1" t="s">
        <v>46</v>
      </c>
      <c r="J336" s="1" t="s">
        <v>237</v>
      </c>
      <c r="K336" s="1" t="s">
        <v>238</v>
      </c>
      <c r="L336" s="1" t="s">
        <v>36</v>
      </c>
      <c r="M336" s="1" t="s">
        <v>132</v>
      </c>
      <c r="N336" s="1" t="s">
        <v>1108</v>
      </c>
      <c r="O336" s="1" t="s">
        <v>58</v>
      </c>
      <c r="P336" s="1">
        <v>9</v>
      </c>
      <c r="Q336" s="1">
        <v>1921.47</v>
      </c>
      <c r="R336" s="1">
        <v>0.25</v>
      </c>
      <c r="S336" s="1">
        <v>12969.92</v>
      </c>
      <c r="T336" s="1">
        <f t="shared" si="28"/>
        <v>12969.922500000001</v>
      </c>
      <c r="U336" s="1">
        <v>9398.4599999999991</v>
      </c>
      <c r="V336" s="3">
        <f>IF(T336=0,"",X336/T336)</f>
        <v>0.27536498386941027</v>
      </c>
      <c r="W336" s="1">
        <v>3571.46</v>
      </c>
      <c r="X336" s="1">
        <f>T336-U336</f>
        <v>3571.4625000000015</v>
      </c>
      <c r="Y336" s="1" t="s">
        <v>40</v>
      </c>
      <c r="Z336" s="1" t="s">
        <v>41</v>
      </c>
      <c r="AA336" s="4">
        <f t="shared" si="25"/>
        <v>-83</v>
      </c>
      <c r="AB336" s="2" t="str">
        <f t="shared" si="29"/>
        <v>Invalid</v>
      </c>
      <c r="AC336" s="2"/>
    </row>
    <row r="337" spans="1:29">
      <c r="A337" s="1" t="s">
        <v>1109</v>
      </c>
      <c r="B337" s="2">
        <v>45342</v>
      </c>
      <c r="C337" s="2" t="str">
        <f t="shared" si="26"/>
        <v>February</v>
      </c>
      <c r="D337" s="1">
        <f t="shared" si="27"/>
        <v>2024</v>
      </c>
      <c r="E337" s="2">
        <v>45349</v>
      </c>
      <c r="F337" s="1" t="s">
        <v>1110</v>
      </c>
      <c r="G337" s="1" t="s">
        <v>170</v>
      </c>
      <c r="H337" s="1" t="s">
        <v>32</v>
      </c>
      <c r="I337" s="1" t="s">
        <v>62</v>
      </c>
      <c r="J337" s="1" t="s">
        <v>193</v>
      </c>
      <c r="K337" s="1" t="s">
        <v>194</v>
      </c>
      <c r="L337" s="1" t="s">
        <v>82</v>
      </c>
      <c r="M337" s="1" t="s">
        <v>83</v>
      </c>
      <c r="N337" s="1" t="s">
        <v>1111</v>
      </c>
      <c r="O337" s="1" t="s">
        <v>58</v>
      </c>
      <c r="P337" s="1">
        <v>9</v>
      </c>
      <c r="Q337" s="1">
        <v>3779.31</v>
      </c>
      <c r="R337" s="1">
        <v>0.2</v>
      </c>
      <c r="S337" s="1">
        <v>27211.03</v>
      </c>
      <c r="T337" s="1">
        <f t="shared" si="28"/>
        <v>27211.032000000003</v>
      </c>
      <c r="U337" s="1">
        <v>17940.43</v>
      </c>
      <c r="V337" s="3">
        <f>IF(T337=0,"",X337/T337)</f>
        <v>0.34069277490100347</v>
      </c>
      <c r="W337" s="1">
        <v>9270.6</v>
      </c>
      <c r="X337" s="1">
        <f>T337-U337</f>
        <v>9270.6020000000026</v>
      </c>
      <c r="Y337" s="1" t="s">
        <v>40</v>
      </c>
      <c r="Z337" s="1" t="s">
        <v>41</v>
      </c>
      <c r="AA337" s="1">
        <f t="shared" si="25"/>
        <v>7</v>
      </c>
      <c r="AB337" s="2" t="str">
        <f t="shared" si="29"/>
        <v>Clean</v>
      </c>
      <c r="AC337" s="2" t="s">
        <v>392</v>
      </c>
    </row>
    <row r="338" spans="1:29">
      <c r="A338" s="1" t="s">
        <v>1112</v>
      </c>
      <c r="B338" s="2">
        <v>45368</v>
      </c>
      <c r="C338" s="2" t="str">
        <f t="shared" si="26"/>
        <v>March</v>
      </c>
      <c r="D338" s="1">
        <f t="shared" si="27"/>
        <v>2024</v>
      </c>
      <c r="E338" s="2">
        <v>45372</v>
      </c>
      <c r="F338" s="1" t="s">
        <v>869</v>
      </c>
      <c r="G338" s="1" t="s">
        <v>136</v>
      </c>
      <c r="H338" s="1" t="s">
        <v>32</v>
      </c>
      <c r="I338" s="1" t="s">
        <v>33</v>
      </c>
      <c r="J338" s="1" t="s">
        <v>34</v>
      </c>
      <c r="K338" s="1" t="s">
        <v>35</v>
      </c>
      <c r="L338" s="1" t="s">
        <v>82</v>
      </c>
      <c r="M338" s="1" t="s">
        <v>88</v>
      </c>
      <c r="N338" s="1" t="s">
        <v>1113</v>
      </c>
      <c r="O338" s="1" t="s">
        <v>58</v>
      </c>
      <c r="P338" s="1">
        <v>8</v>
      </c>
      <c r="Q338" s="1">
        <v>1992.57</v>
      </c>
      <c r="R338" s="1">
        <v>0</v>
      </c>
      <c r="S338" s="1">
        <v>15940.56</v>
      </c>
      <c r="T338" s="1">
        <f t="shared" si="28"/>
        <v>15940.56</v>
      </c>
      <c r="U338" s="1">
        <v>12347.15</v>
      </c>
      <c r="V338" s="3">
        <f>IF(T338=0,"",X338/T338)</f>
        <v>0.2254255810335396</v>
      </c>
      <c r="W338" s="1">
        <v>3593.41</v>
      </c>
      <c r="X338" s="1">
        <f>T338-U338</f>
        <v>3593.41</v>
      </c>
      <c r="Y338" s="1" t="s">
        <v>40</v>
      </c>
      <c r="Z338" s="1" t="s">
        <v>41</v>
      </c>
      <c r="AA338" s="1">
        <f t="shared" si="25"/>
        <v>4</v>
      </c>
      <c r="AB338" s="2" t="str">
        <f t="shared" si="29"/>
        <v>Clean</v>
      </c>
      <c r="AC338" s="2"/>
    </row>
    <row r="339" spans="1:29">
      <c r="A339" s="1" t="s">
        <v>1114</v>
      </c>
      <c r="B339" s="2">
        <v>45634</v>
      </c>
      <c r="C339" s="2" t="str">
        <f t="shared" si="26"/>
        <v>December</v>
      </c>
      <c r="D339" s="1">
        <f t="shared" si="27"/>
        <v>2024</v>
      </c>
      <c r="E339" s="2">
        <v>45522</v>
      </c>
      <c r="F339" s="1" t="s">
        <v>1115</v>
      </c>
      <c r="G339" s="1" t="s">
        <v>70</v>
      </c>
      <c r="H339" s="1" t="s">
        <v>32</v>
      </c>
      <c r="I339" s="1" t="s">
        <v>46</v>
      </c>
      <c r="J339" s="1" t="s">
        <v>174</v>
      </c>
      <c r="K339" s="1" t="s">
        <v>175</v>
      </c>
      <c r="L339" s="1" t="s">
        <v>36</v>
      </c>
      <c r="M339" s="1" t="s">
        <v>99</v>
      </c>
      <c r="N339" s="1" t="s">
        <v>1116</v>
      </c>
      <c r="O339" s="1" t="s">
        <v>52</v>
      </c>
      <c r="P339" s="1">
        <v>6</v>
      </c>
      <c r="Q339" s="1">
        <v>1181.74</v>
      </c>
      <c r="R339" s="1">
        <v>0</v>
      </c>
      <c r="S339" s="1">
        <v>7090.44</v>
      </c>
      <c r="T339" s="1">
        <f t="shared" si="28"/>
        <v>7090.4400000000005</v>
      </c>
      <c r="U339" s="1">
        <v>5672.27</v>
      </c>
      <c r="V339" s="3">
        <f>IF(T339=0,"",X339/T339)</f>
        <v>0.20001156486762456</v>
      </c>
      <c r="W339" s="1">
        <v>1262.8699999999999</v>
      </c>
      <c r="X339" s="1">
        <f>T339-U339</f>
        <v>1418.17</v>
      </c>
      <c r="Y339" s="1" t="s">
        <v>40</v>
      </c>
      <c r="Z339" s="1" t="s">
        <v>41</v>
      </c>
      <c r="AA339" s="4">
        <f t="shared" si="25"/>
        <v>-112</v>
      </c>
      <c r="AB339" s="2" t="str">
        <f t="shared" si="29"/>
        <v>Invalid</v>
      </c>
      <c r="AC339" s="2"/>
    </row>
    <row r="340" spans="1:29">
      <c r="A340" s="1" t="s">
        <v>1117</v>
      </c>
      <c r="B340" s="2">
        <v>45516</v>
      </c>
      <c r="C340" s="2" t="str">
        <f t="shared" si="26"/>
        <v>August</v>
      </c>
      <c r="D340" s="1">
        <f t="shared" si="27"/>
        <v>2024</v>
      </c>
      <c r="E340" s="2">
        <v>45634</v>
      </c>
      <c r="F340" s="1" t="s">
        <v>1118</v>
      </c>
      <c r="G340" s="1" t="s">
        <v>61</v>
      </c>
      <c r="H340" s="1" t="s">
        <v>45</v>
      </c>
      <c r="I340" s="1" t="s">
        <v>62</v>
      </c>
      <c r="J340" s="1" t="s">
        <v>92</v>
      </c>
      <c r="K340" s="1" t="s">
        <v>93</v>
      </c>
      <c r="L340" s="1" t="s">
        <v>82</v>
      </c>
      <c r="M340" s="1" t="s">
        <v>83</v>
      </c>
      <c r="N340" s="1" t="s">
        <v>1119</v>
      </c>
      <c r="O340" s="1" t="s">
        <v>58</v>
      </c>
      <c r="P340" s="1">
        <v>8</v>
      </c>
      <c r="Q340" s="1">
        <v>4402.3599999999997</v>
      </c>
      <c r="R340" s="1">
        <v>0.25</v>
      </c>
      <c r="S340" s="1">
        <v>26414.16</v>
      </c>
      <c r="T340" s="1">
        <f t="shared" si="28"/>
        <v>26414.159999999996</v>
      </c>
      <c r="U340" s="1">
        <v>21822.53</v>
      </c>
      <c r="V340" s="3">
        <f>IF(T340=0,"",X340/T340)</f>
        <v>0.17383214154832097</v>
      </c>
      <c r="W340" s="1">
        <v>4591.63</v>
      </c>
      <c r="X340" s="1">
        <f>T340-U340</f>
        <v>4591.6299999999974</v>
      </c>
      <c r="Y340" s="1" t="s">
        <v>40</v>
      </c>
      <c r="Z340" s="1" t="s">
        <v>41</v>
      </c>
      <c r="AA340" s="1">
        <f t="shared" si="25"/>
        <v>118</v>
      </c>
      <c r="AB340" s="2" t="str">
        <f t="shared" si="29"/>
        <v>Clean</v>
      </c>
      <c r="AC340" s="2"/>
    </row>
    <row r="341" spans="1:29">
      <c r="A341" s="1" t="s">
        <v>1120</v>
      </c>
      <c r="B341" s="2">
        <v>45708</v>
      </c>
      <c r="C341" s="2" t="str">
        <f t="shared" si="26"/>
        <v>February</v>
      </c>
      <c r="D341" s="1">
        <f t="shared" si="27"/>
        <v>2025</v>
      </c>
      <c r="E341" s="2">
        <v>45710</v>
      </c>
      <c r="F341" s="1" t="s">
        <v>1121</v>
      </c>
      <c r="G341" s="1" t="s">
        <v>87</v>
      </c>
      <c r="H341" s="1" t="s">
        <v>98</v>
      </c>
      <c r="I341" s="1" t="s">
        <v>46</v>
      </c>
      <c r="J341" s="1" t="s">
        <v>237</v>
      </c>
      <c r="K341" s="1" t="s">
        <v>238</v>
      </c>
      <c r="L341" s="1" t="s">
        <v>49</v>
      </c>
      <c r="M341" s="1" t="s">
        <v>166</v>
      </c>
      <c r="N341" s="1" t="s">
        <v>1122</v>
      </c>
      <c r="O341" s="1" t="s">
        <v>67</v>
      </c>
      <c r="P341" s="1">
        <v>8</v>
      </c>
      <c r="Q341" s="1">
        <v>3265.76</v>
      </c>
      <c r="R341" s="1">
        <v>0.2</v>
      </c>
      <c r="S341" s="1">
        <v>20900.86</v>
      </c>
      <c r="T341" s="1">
        <f t="shared" si="28"/>
        <v>20900.864000000001</v>
      </c>
      <c r="U341" s="1">
        <v>12513.14</v>
      </c>
      <c r="V341" s="3">
        <f>IF(T341=0,"",X341/T341)</f>
        <v>0.40130991714026759</v>
      </c>
      <c r="W341" s="1">
        <v>8387.7199999999993</v>
      </c>
      <c r="X341" s="1">
        <f>T341-U341</f>
        <v>8387.724000000002</v>
      </c>
      <c r="Y341" s="1" t="s">
        <v>40</v>
      </c>
      <c r="Z341" s="1" t="s">
        <v>41</v>
      </c>
      <c r="AA341" s="1">
        <f t="shared" si="25"/>
        <v>2</v>
      </c>
      <c r="AB341" s="2" t="str">
        <f t="shared" si="29"/>
        <v>Clean</v>
      </c>
      <c r="AC341" s="2"/>
    </row>
    <row r="342" spans="1:29">
      <c r="A342" s="1" t="s">
        <v>1123</v>
      </c>
      <c r="B342" s="2">
        <v>45312</v>
      </c>
      <c r="C342" s="2" t="str">
        <f t="shared" si="26"/>
        <v>January</v>
      </c>
      <c r="D342" s="1">
        <f t="shared" si="27"/>
        <v>2024</v>
      </c>
      <c r="E342" s="2">
        <v>45320</v>
      </c>
      <c r="F342" s="1" t="s">
        <v>1124</v>
      </c>
      <c r="G342" s="1" t="s">
        <v>87</v>
      </c>
      <c r="H342" s="1" t="s">
        <v>32</v>
      </c>
      <c r="I342" s="1" t="s">
        <v>62</v>
      </c>
      <c r="J342" s="1" t="s">
        <v>183</v>
      </c>
      <c r="K342" s="1" t="s">
        <v>184</v>
      </c>
      <c r="L342" s="1" t="s">
        <v>36</v>
      </c>
      <c r="M342" s="1" t="s">
        <v>161</v>
      </c>
      <c r="N342" s="1" t="s">
        <v>1125</v>
      </c>
      <c r="O342" s="1" t="s">
        <v>67</v>
      </c>
      <c r="P342" s="1">
        <v>5</v>
      </c>
      <c r="Q342" s="1">
        <v>4058.08</v>
      </c>
      <c r="R342" s="1">
        <v>0.1</v>
      </c>
      <c r="S342" s="1">
        <v>18261.36</v>
      </c>
      <c r="T342" s="1">
        <f t="shared" si="28"/>
        <v>18261.36</v>
      </c>
      <c r="U342" s="1">
        <v>11399.94</v>
      </c>
      <c r="V342" s="3">
        <f>IF(T342=0,"",X342/T342)</f>
        <v>0.3757343374206521</v>
      </c>
      <c r="W342" s="1">
        <v>6861.42</v>
      </c>
      <c r="X342" s="1">
        <f>T342-U342</f>
        <v>6861.42</v>
      </c>
      <c r="Y342" s="1" t="s">
        <v>40</v>
      </c>
      <c r="Z342" s="1" t="s">
        <v>41</v>
      </c>
      <c r="AA342" s="1">
        <f t="shared" si="25"/>
        <v>8</v>
      </c>
      <c r="AB342" s="2" t="str">
        <f t="shared" si="29"/>
        <v>Clean</v>
      </c>
      <c r="AC342" s="2"/>
    </row>
    <row r="343" spans="1:29">
      <c r="A343" s="1" t="s">
        <v>1126</v>
      </c>
      <c r="B343" s="2">
        <v>45878</v>
      </c>
      <c r="C343" s="2" t="str">
        <f t="shared" si="26"/>
        <v>August</v>
      </c>
      <c r="D343" s="1">
        <f t="shared" si="27"/>
        <v>2025</v>
      </c>
      <c r="E343" s="2">
        <v>45909</v>
      </c>
      <c r="F343" s="1" t="s">
        <v>1127</v>
      </c>
      <c r="G343" s="1" t="s">
        <v>149</v>
      </c>
      <c r="H343" s="1" t="s">
        <v>103</v>
      </c>
      <c r="I343" s="1" t="s">
        <v>71</v>
      </c>
      <c r="J343" s="1" t="s">
        <v>188</v>
      </c>
      <c r="K343" s="1" t="s">
        <v>189</v>
      </c>
      <c r="L343" s="1" t="s">
        <v>49</v>
      </c>
      <c r="M343" s="1" t="s">
        <v>74</v>
      </c>
      <c r="N343" s="1" t="s">
        <v>1128</v>
      </c>
      <c r="O343" s="1" t="s">
        <v>39</v>
      </c>
      <c r="P343" s="1">
        <v>2</v>
      </c>
      <c r="Q343" s="1">
        <v>3960.33</v>
      </c>
      <c r="R343" s="1">
        <v>0.05</v>
      </c>
      <c r="S343" s="1">
        <v>7524.63</v>
      </c>
      <c r="T343" s="1">
        <f t="shared" si="28"/>
        <v>7524.6269999999995</v>
      </c>
      <c r="U343" s="1">
        <v>6229.6</v>
      </c>
      <c r="V343" s="3">
        <f>IF(T343=0,"",X343/T343)</f>
        <v>0.17210514222166751</v>
      </c>
      <c r="W343" s="1">
        <v>1295.03</v>
      </c>
      <c r="X343" s="1">
        <f>T343-U343</f>
        <v>1295.0269999999991</v>
      </c>
      <c r="Y343" s="1" t="s">
        <v>40</v>
      </c>
      <c r="Z343" s="1" t="s">
        <v>41</v>
      </c>
      <c r="AA343" s="1">
        <f t="shared" si="25"/>
        <v>31</v>
      </c>
      <c r="AB343" s="2" t="str">
        <f t="shared" si="29"/>
        <v>Clean</v>
      </c>
      <c r="AC343" s="2"/>
    </row>
    <row r="344" spans="1:29">
      <c r="A344" s="1" t="s">
        <v>1129</v>
      </c>
      <c r="B344" s="2">
        <v>45862</v>
      </c>
      <c r="C344" s="2" t="str">
        <f t="shared" si="26"/>
        <v>July</v>
      </c>
      <c r="D344" s="1">
        <f t="shared" si="27"/>
        <v>2025</v>
      </c>
      <c r="E344" s="2">
        <v>45665</v>
      </c>
      <c r="F344" s="1" t="s">
        <v>1130</v>
      </c>
      <c r="G344" s="1" t="s">
        <v>273</v>
      </c>
      <c r="H344" s="1" t="s">
        <v>45</v>
      </c>
      <c r="I344" s="1" t="s">
        <v>46</v>
      </c>
      <c r="J344" s="1" t="s">
        <v>237</v>
      </c>
      <c r="K344" s="1" t="s">
        <v>238</v>
      </c>
      <c r="L344" s="1" t="s">
        <v>36</v>
      </c>
      <c r="M344" s="1" t="s">
        <v>161</v>
      </c>
      <c r="N344" s="1" t="s">
        <v>1131</v>
      </c>
      <c r="O344" s="1" t="s">
        <v>58</v>
      </c>
      <c r="P344" s="1">
        <v>8</v>
      </c>
      <c r="Q344" s="1">
        <v>1528.92</v>
      </c>
      <c r="R344" s="1">
        <v>0</v>
      </c>
      <c r="S344" s="1">
        <v>12231.36</v>
      </c>
      <c r="T344" s="1">
        <f t="shared" si="28"/>
        <v>12231.36</v>
      </c>
      <c r="U344" s="1">
        <v>8766.9</v>
      </c>
      <c r="V344" s="3">
        <f>IF(T344=0,"",X344/T344)</f>
        <v>0.28324405462679547</v>
      </c>
      <c r="W344" s="1">
        <v>3464.46</v>
      </c>
      <c r="X344" s="1">
        <f>T344-U344</f>
        <v>3464.4600000000009</v>
      </c>
      <c r="Y344" s="1" t="s">
        <v>40</v>
      </c>
      <c r="Z344" s="1" t="s">
        <v>41</v>
      </c>
      <c r="AA344" s="4">
        <f t="shared" si="25"/>
        <v>-197</v>
      </c>
      <c r="AB344" s="2" t="str">
        <f t="shared" si="29"/>
        <v>Invalid</v>
      </c>
      <c r="AC344" s="2"/>
    </row>
    <row r="345" spans="1:29">
      <c r="A345" s="1" t="s">
        <v>1132</v>
      </c>
      <c r="B345" s="2">
        <v>45933</v>
      </c>
      <c r="C345" s="2" t="str">
        <f t="shared" si="26"/>
        <v>October</v>
      </c>
      <c r="D345" s="1">
        <f t="shared" si="27"/>
        <v>2025</v>
      </c>
      <c r="E345" s="2">
        <v>45879</v>
      </c>
      <c r="F345" s="1" t="s">
        <v>1133</v>
      </c>
      <c r="G345" s="1" t="s">
        <v>136</v>
      </c>
      <c r="H345" s="1" t="s">
        <v>98</v>
      </c>
      <c r="I345" s="1" t="s">
        <v>71</v>
      </c>
      <c r="J345" s="1" t="s">
        <v>80</v>
      </c>
      <c r="K345" s="1" t="s">
        <v>81</v>
      </c>
      <c r="L345" s="1" t="s">
        <v>82</v>
      </c>
      <c r="M345" s="1" t="s">
        <v>283</v>
      </c>
      <c r="N345" s="1" t="s">
        <v>1134</v>
      </c>
      <c r="O345" s="1" t="s">
        <v>52</v>
      </c>
      <c r="P345" s="1">
        <v>9</v>
      </c>
      <c r="Q345" s="1">
        <v>3837</v>
      </c>
      <c r="R345" s="1">
        <v>0.1</v>
      </c>
      <c r="S345" s="1">
        <v>31079.7</v>
      </c>
      <c r="T345" s="1">
        <f t="shared" si="28"/>
        <v>31079.7</v>
      </c>
      <c r="U345" s="1">
        <v>17758.25</v>
      </c>
      <c r="V345" s="3">
        <f>IF(T345=0,"",X345/T345)</f>
        <v>0.4286222196481948</v>
      </c>
      <c r="W345" s="1">
        <v>13321.45</v>
      </c>
      <c r="X345" s="1">
        <f>T345-U345</f>
        <v>13321.45</v>
      </c>
      <c r="Y345" s="1" t="s">
        <v>40</v>
      </c>
      <c r="Z345" s="1" t="s">
        <v>41</v>
      </c>
      <c r="AA345" s="4">
        <f t="shared" si="25"/>
        <v>-54</v>
      </c>
      <c r="AB345" s="2" t="str">
        <f t="shared" si="29"/>
        <v>Invalid</v>
      </c>
      <c r="AC345" s="2"/>
    </row>
    <row r="346" spans="1:29">
      <c r="A346" s="1" t="s">
        <v>1135</v>
      </c>
      <c r="B346" s="2">
        <v>45599</v>
      </c>
      <c r="C346" s="2" t="str">
        <f t="shared" si="26"/>
        <v>November</v>
      </c>
      <c r="D346" s="1">
        <f t="shared" si="27"/>
        <v>2024</v>
      </c>
      <c r="E346" s="2">
        <v>45599</v>
      </c>
      <c r="F346" s="1" t="s">
        <v>1136</v>
      </c>
      <c r="G346" s="1" t="s">
        <v>122</v>
      </c>
      <c r="H346" s="1" t="s">
        <v>32</v>
      </c>
      <c r="I346" s="1" t="s">
        <v>33</v>
      </c>
      <c r="J346" s="1" t="s">
        <v>130</v>
      </c>
      <c r="K346" s="1" t="s">
        <v>131</v>
      </c>
      <c r="L346" s="1" t="s">
        <v>49</v>
      </c>
      <c r="M346" s="1" t="s">
        <v>166</v>
      </c>
      <c r="N346" s="1" t="s">
        <v>1137</v>
      </c>
      <c r="O346" s="1" t="s">
        <v>52</v>
      </c>
      <c r="P346" s="1">
        <v>9</v>
      </c>
      <c r="Q346" s="1">
        <v>3456.38</v>
      </c>
      <c r="R346" s="1">
        <v>0</v>
      </c>
      <c r="S346" s="1">
        <v>31107.42</v>
      </c>
      <c r="T346" s="1">
        <f t="shared" si="28"/>
        <v>31107.420000000002</v>
      </c>
      <c r="U346" s="1">
        <v>20146.66</v>
      </c>
      <c r="V346" s="3">
        <f>IF(T346=0,"",X346/T346)</f>
        <v>0.3523519468988428</v>
      </c>
      <c r="W346" s="1">
        <v>10960.76</v>
      </c>
      <c r="X346" s="1">
        <f>T346-U346</f>
        <v>10960.760000000002</v>
      </c>
      <c r="Y346" s="1" t="s">
        <v>119</v>
      </c>
      <c r="Z346" s="1" t="s">
        <v>111</v>
      </c>
      <c r="AA346" s="1">
        <f t="shared" si="25"/>
        <v>0</v>
      </c>
      <c r="AB346" s="2" t="str">
        <f t="shared" si="29"/>
        <v>Clean</v>
      </c>
      <c r="AC346" s="2"/>
    </row>
    <row r="347" spans="1:29">
      <c r="A347" s="1" t="s">
        <v>1138</v>
      </c>
      <c r="B347" s="2">
        <v>45549</v>
      </c>
      <c r="C347" s="2" t="str">
        <f t="shared" si="26"/>
        <v>September</v>
      </c>
      <c r="D347" s="1">
        <f t="shared" si="27"/>
        <v>2024</v>
      </c>
      <c r="E347" s="2">
        <v>45557</v>
      </c>
      <c r="F347" s="1" t="s">
        <v>1139</v>
      </c>
      <c r="G347" s="1" t="s">
        <v>31</v>
      </c>
      <c r="H347" s="1" t="s">
        <v>32</v>
      </c>
      <c r="I347" s="1" t="s">
        <v>71</v>
      </c>
      <c r="J347" s="1" t="s">
        <v>80</v>
      </c>
      <c r="K347" s="1" t="s">
        <v>81</v>
      </c>
      <c r="L347" s="1" t="s">
        <v>49</v>
      </c>
      <c r="M347" s="1" t="s">
        <v>65</v>
      </c>
      <c r="N347" s="1" t="s">
        <v>1140</v>
      </c>
      <c r="O347" s="1" t="s">
        <v>39</v>
      </c>
      <c r="P347" s="1">
        <v>2</v>
      </c>
      <c r="Q347" s="1">
        <v>2765.3</v>
      </c>
      <c r="R347" s="1">
        <v>0</v>
      </c>
      <c r="S347" s="1">
        <v>5530.6</v>
      </c>
      <c r="T347" s="1">
        <f t="shared" si="28"/>
        <v>5530.6</v>
      </c>
      <c r="U347" s="1">
        <v>4453.1099999999997</v>
      </c>
      <c r="V347" s="3">
        <f>IF(T347=0,"",X347/T347)</f>
        <v>0.19482334647235391</v>
      </c>
      <c r="W347" s="1">
        <v>1077.49</v>
      </c>
      <c r="X347" s="1">
        <f>T347-U347</f>
        <v>1077.4900000000007</v>
      </c>
      <c r="Y347" s="1" t="s">
        <v>40</v>
      </c>
      <c r="Z347" s="1" t="s">
        <v>41</v>
      </c>
      <c r="AA347" s="1">
        <f t="shared" si="25"/>
        <v>8</v>
      </c>
      <c r="AB347" s="2" t="str">
        <f t="shared" si="29"/>
        <v>Clean</v>
      </c>
      <c r="AC347" s="2"/>
    </row>
    <row r="348" spans="1:29">
      <c r="A348" s="1" t="s">
        <v>1141</v>
      </c>
      <c r="B348" s="2">
        <v>45860</v>
      </c>
      <c r="C348" s="2" t="str">
        <f t="shared" si="26"/>
        <v>July</v>
      </c>
      <c r="D348" s="1">
        <f t="shared" si="27"/>
        <v>2025</v>
      </c>
      <c r="E348" s="2">
        <v>45866</v>
      </c>
      <c r="F348" s="1" t="s">
        <v>1142</v>
      </c>
      <c r="G348" s="1" t="s">
        <v>126</v>
      </c>
      <c r="H348" s="1" t="s">
        <v>98</v>
      </c>
      <c r="I348" s="1" t="s">
        <v>62</v>
      </c>
      <c r="J348" s="1" t="s">
        <v>193</v>
      </c>
      <c r="K348" s="1" t="s">
        <v>194</v>
      </c>
      <c r="L348" s="1" t="s">
        <v>49</v>
      </c>
      <c r="M348" s="1" t="s">
        <v>74</v>
      </c>
      <c r="N348" s="1" t="s">
        <v>1143</v>
      </c>
      <c r="O348" s="1" t="s">
        <v>39</v>
      </c>
      <c r="P348" s="1">
        <v>6</v>
      </c>
      <c r="Q348" s="1">
        <v>1607.46</v>
      </c>
      <c r="R348" s="1">
        <v>0.2</v>
      </c>
      <c r="S348" s="1">
        <v>7715.81</v>
      </c>
      <c r="T348" s="1">
        <f t="shared" si="28"/>
        <v>7715.8080000000009</v>
      </c>
      <c r="U348" s="1">
        <v>4258.42</v>
      </c>
      <c r="V348" s="3">
        <f>IF(T348=0,"",X348/T348)</f>
        <v>0.4480915025360922</v>
      </c>
      <c r="W348" s="1">
        <v>3457.39</v>
      </c>
      <c r="X348" s="1">
        <f>T348-U348</f>
        <v>3457.3880000000008</v>
      </c>
      <c r="Y348" s="1" t="s">
        <v>40</v>
      </c>
      <c r="Z348" s="1" t="s">
        <v>41</v>
      </c>
      <c r="AA348" s="1">
        <f t="shared" si="25"/>
        <v>6</v>
      </c>
      <c r="AB348" s="2" t="str">
        <f t="shared" si="29"/>
        <v>Clean</v>
      </c>
      <c r="AC348" s="2"/>
    </row>
    <row r="349" spans="1:29">
      <c r="A349" s="1" t="s">
        <v>1144</v>
      </c>
      <c r="B349" s="2">
        <v>45303</v>
      </c>
      <c r="C349" s="2" t="str">
        <f t="shared" si="26"/>
        <v>January</v>
      </c>
      <c r="D349" s="1">
        <f t="shared" si="27"/>
        <v>2024</v>
      </c>
      <c r="E349" s="2">
        <v>45634</v>
      </c>
      <c r="F349" s="1" t="s">
        <v>1145</v>
      </c>
      <c r="G349" s="1" t="s">
        <v>136</v>
      </c>
      <c r="H349" s="1" t="s">
        <v>45</v>
      </c>
      <c r="I349" s="1" t="s">
        <v>71</v>
      </c>
      <c r="J349" s="1" t="s">
        <v>198</v>
      </c>
      <c r="K349" s="1" t="s">
        <v>199</v>
      </c>
      <c r="L349" s="1" t="s">
        <v>49</v>
      </c>
      <c r="M349" s="1" t="s">
        <v>74</v>
      </c>
      <c r="N349" s="1" t="s">
        <v>1146</v>
      </c>
      <c r="O349" s="1" t="s">
        <v>39</v>
      </c>
      <c r="P349" s="1">
        <v>5</v>
      </c>
      <c r="Q349" s="1">
        <v>2981.49</v>
      </c>
      <c r="R349" s="1">
        <v>0.2</v>
      </c>
      <c r="S349" s="1">
        <v>11925.96</v>
      </c>
      <c r="T349" s="1">
        <f t="shared" si="28"/>
        <v>11925.96</v>
      </c>
      <c r="U349" s="1">
        <v>10103.51</v>
      </c>
      <c r="V349" s="3">
        <f>IF(T349=0,"",X349/T349)</f>
        <v>0.15281369382422874</v>
      </c>
      <c r="W349" s="1">
        <v>1822.45</v>
      </c>
      <c r="X349" s="1">
        <f>T349-U349</f>
        <v>1822.4499999999989</v>
      </c>
      <c r="Y349" s="1" t="s">
        <v>110</v>
      </c>
      <c r="Z349" s="1" t="s">
        <v>111</v>
      </c>
      <c r="AA349" s="1">
        <f t="shared" si="25"/>
        <v>331</v>
      </c>
      <c r="AB349" s="2" t="str">
        <f t="shared" si="29"/>
        <v>Clean</v>
      </c>
      <c r="AC349" s="2"/>
    </row>
    <row r="350" spans="1:29">
      <c r="A350" s="1" t="s">
        <v>1147</v>
      </c>
      <c r="B350" s="2">
        <v>45445</v>
      </c>
      <c r="C350" s="2" t="str">
        <f t="shared" si="26"/>
        <v>June</v>
      </c>
      <c r="D350" s="1">
        <f t="shared" si="27"/>
        <v>2024</v>
      </c>
      <c r="E350" s="2">
        <v>45450</v>
      </c>
      <c r="F350" s="1" t="s">
        <v>1148</v>
      </c>
      <c r="G350" s="1" t="s">
        <v>136</v>
      </c>
      <c r="H350" s="1" t="s">
        <v>98</v>
      </c>
      <c r="I350" s="1" t="s">
        <v>62</v>
      </c>
      <c r="J350" s="1" t="s">
        <v>183</v>
      </c>
      <c r="K350" s="1" t="s">
        <v>184</v>
      </c>
      <c r="L350" s="1" t="s">
        <v>82</v>
      </c>
      <c r="M350" s="1" t="s">
        <v>179</v>
      </c>
      <c r="N350" s="1" t="s">
        <v>1149</v>
      </c>
      <c r="O350" s="1" t="s">
        <v>52</v>
      </c>
      <c r="P350" s="1">
        <v>9</v>
      </c>
      <c r="Q350" s="1">
        <v>2860.26</v>
      </c>
      <c r="R350" s="1">
        <v>0.25</v>
      </c>
      <c r="S350" s="1">
        <v>19306.759999999998</v>
      </c>
      <c r="T350" s="1">
        <f t="shared" si="28"/>
        <v>19306.755000000005</v>
      </c>
      <c r="U350" s="1">
        <v>14442.38</v>
      </c>
      <c r="V350" s="3">
        <f>IF(T350=0,"",X350/T350)</f>
        <v>0.25195197225012717</v>
      </c>
      <c r="W350" s="1">
        <v>4864.38</v>
      </c>
      <c r="X350" s="1">
        <f>T350-U350</f>
        <v>4864.3750000000055</v>
      </c>
      <c r="Y350" s="1" t="s">
        <v>40</v>
      </c>
      <c r="Z350" s="1" t="s">
        <v>41</v>
      </c>
      <c r="AA350" s="1">
        <f t="shared" si="25"/>
        <v>5</v>
      </c>
      <c r="AB350" s="2" t="str">
        <f t="shared" si="29"/>
        <v>Clean</v>
      </c>
      <c r="AC350" s="2"/>
    </row>
    <row r="351" spans="1:29">
      <c r="A351" s="1" t="s">
        <v>1150</v>
      </c>
      <c r="B351" s="2">
        <v>45927</v>
      </c>
      <c r="C351" s="2" t="str">
        <f t="shared" si="26"/>
        <v>September</v>
      </c>
      <c r="D351" s="1">
        <f t="shared" si="27"/>
        <v>2025</v>
      </c>
      <c r="E351" s="2">
        <v>45929</v>
      </c>
      <c r="F351" s="1" t="s">
        <v>1151</v>
      </c>
      <c r="G351" s="1" t="s">
        <v>273</v>
      </c>
      <c r="H351" s="1" t="s">
        <v>103</v>
      </c>
      <c r="I351" s="1" t="s">
        <v>46</v>
      </c>
      <c r="J351" s="1" t="s">
        <v>237</v>
      </c>
      <c r="K351" s="1" t="s">
        <v>238</v>
      </c>
      <c r="L351" s="1" t="s">
        <v>49</v>
      </c>
      <c r="M351" s="1" t="s">
        <v>65</v>
      </c>
      <c r="N351" s="1" t="s">
        <v>1152</v>
      </c>
      <c r="O351" s="1" t="s">
        <v>39</v>
      </c>
      <c r="P351" s="1">
        <v>9</v>
      </c>
      <c r="Q351" s="1">
        <v>2867.55</v>
      </c>
      <c r="R351" s="1">
        <v>0.25</v>
      </c>
      <c r="S351" s="1">
        <v>19355.96</v>
      </c>
      <c r="T351" s="1">
        <f t="shared" si="28"/>
        <v>19355.962500000001</v>
      </c>
      <c r="U351" s="1">
        <v>15012.45</v>
      </c>
      <c r="V351" s="3">
        <f>IF(T351=0,"",X351/T351)</f>
        <v>0.22440178317146461</v>
      </c>
      <c r="W351" s="1">
        <v>4017.4</v>
      </c>
      <c r="X351" s="1">
        <f>T351-U351</f>
        <v>4343.5125000000007</v>
      </c>
      <c r="Y351" s="1" t="s">
        <v>40</v>
      </c>
      <c r="Z351" s="1" t="s">
        <v>41</v>
      </c>
      <c r="AA351" s="1">
        <f t="shared" si="25"/>
        <v>2</v>
      </c>
      <c r="AB351" s="2" t="str">
        <f t="shared" si="29"/>
        <v>Clean</v>
      </c>
      <c r="AC351" s="2"/>
    </row>
    <row r="352" spans="1:29">
      <c r="A352" s="1" t="s">
        <v>1153</v>
      </c>
      <c r="B352" s="2">
        <v>45474</v>
      </c>
      <c r="C352" s="2" t="str">
        <f t="shared" si="26"/>
        <v>July</v>
      </c>
      <c r="D352" s="1">
        <f t="shared" si="27"/>
        <v>2024</v>
      </c>
      <c r="E352" s="2">
        <v>45305</v>
      </c>
      <c r="F352" s="1" t="s">
        <v>1154</v>
      </c>
      <c r="G352" s="1" t="s">
        <v>140</v>
      </c>
      <c r="H352" s="1" t="s">
        <v>45</v>
      </c>
      <c r="I352" s="1" t="s">
        <v>46</v>
      </c>
      <c r="J352" s="1" t="s">
        <v>237</v>
      </c>
      <c r="K352" s="1" t="s">
        <v>238</v>
      </c>
      <c r="L352" s="1" t="s">
        <v>49</v>
      </c>
      <c r="M352" s="1" t="s">
        <v>65</v>
      </c>
      <c r="N352" s="1" t="s">
        <v>1155</v>
      </c>
      <c r="O352" s="1" t="s">
        <v>39</v>
      </c>
      <c r="P352" s="1">
        <v>4</v>
      </c>
      <c r="Q352" s="1">
        <v>3309.54</v>
      </c>
      <c r="R352" s="1">
        <v>0.1</v>
      </c>
      <c r="S352" s="1">
        <v>11914.34</v>
      </c>
      <c r="T352" s="1">
        <f t="shared" si="28"/>
        <v>11914.344000000001</v>
      </c>
      <c r="U352" s="1">
        <v>9771.24</v>
      </c>
      <c r="V352" s="3">
        <f>IF(T352=0,"",X352/T352)</f>
        <v>0.17987595456367561</v>
      </c>
      <c r="W352" s="1">
        <v>2143.1</v>
      </c>
      <c r="X352" s="1">
        <f>T352-U352</f>
        <v>2143.1040000000012</v>
      </c>
      <c r="Y352" s="1" t="s">
        <v>110</v>
      </c>
      <c r="Z352" s="1" t="s">
        <v>111</v>
      </c>
      <c r="AA352" s="4">
        <f t="shared" si="25"/>
        <v>-169</v>
      </c>
      <c r="AB352" s="2" t="str">
        <f t="shared" si="29"/>
        <v>Invalid</v>
      </c>
      <c r="AC352" s="2"/>
    </row>
    <row r="353" spans="1:29">
      <c r="A353" s="1" t="s">
        <v>1156</v>
      </c>
      <c r="B353" s="2">
        <v>45800</v>
      </c>
      <c r="C353" s="2" t="str">
        <f t="shared" si="26"/>
        <v>May</v>
      </c>
      <c r="D353" s="1">
        <f t="shared" si="27"/>
        <v>2025</v>
      </c>
      <c r="E353" s="2">
        <v>45804</v>
      </c>
      <c r="F353" s="1" t="s">
        <v>1157</v>
      </c>
      <c r="G353" s="1" t="s">
        <v>79</v>
      </c>
      <c r="H353" s="1" t="s">
        <v>45</v>
      </c>
      <c r="I353" s="1" t="s">
        <v>62</v>
      </c>
      <c r="J353" s="1" t="s">
        <v>63</v>
      </c>
      <c r="K353" s="1" t="s">
        <v>64</v>
      </c>
      <c r="L353" s="1" t="s">
        <v>36</v>
      </c>
      <c r="M353" s="1" t="s">
        <v>132</v>
      </c>
      <c r="N353" s="1" t="s">
        <v>1158</v>
      </c>
      <c r="O353" s="1" t="s">
        <v>58</v>
      </c>
      <c r="P353" s="1">
        <v>6</v>
      </c>
      <c r="Q353" s="1">
        <v>719.44</v>
      </c>
      <c r="R353" s="1">
        <v>0.25</v>
      </c>
      <c r="S353" s="1">
        <v>3237.48</v>
      </c>
      <c r="T353" s="1">
        <f t="shared" si="28"/>
        <v>3237.4800000000005</v>
      </c>
      <c r="U353" s="1">
        <v>2118.34</v>
      </c>
      <c r="V353" s="3">
        <f>IF(T353=0,"",X353/T353)</f>
        <v>0.34568244437031276</v>
      </c>
      <c r="W353" s="1">
        <v>1119.1400000000001</v>
      </c>
      <c r="X353" s="1">
        <f>T353-U353</f>
        <v>1119.1400000000003</v>
      </c>
      <c r="Y353" s="1" t="s">
        <v>119</v>
      </c>
      <c r="Z353" s="1" t="s">
        <v>76</v>
      </c>
      <c r="AA353" s="1">
        <f t="shared" si="25"/>
        <v>4</v>
      </c>
      <c r="AB353" s="2" t="str">
        <f t="shared" si="29"/>
        <v>Clean</v>
      </c>
      <c r="AC353" s="2"/>
    </row>
    <row r="354" spans="1:29">
      <c r="A354" s="1" t="s">
        <v>1159</v>
      </c>
      <c r="B354" s="2">
        <v>45884</v>
      </c>
      <c r="C354" s="2" t="str">
        <f t="shared" si="26"/>
        <v>August</v>
      </c>
      <c r="D354" s="1">
        <f t="shared" si="27"/>
        <v>2025</v>
      </c>
      <c r="E354" s="2">
        <v>45886</v>
      </c>
      <c r="F354" s="1" t="s">
        <v>1160</v>
      </c>
      <c r="G354" s="1" t="s">
        <v>170</v>
      </c>
      <c r="H354" s="1" t="s">
        <v>45</v>
      </c>
      <c r="I354" s="1" t="s">
        <v>46</v>
      </c>
      <c r="J354" s="1" t="s">
        <v>174</v>
      </c>
      <c r="K354" s="1" t="s">
        <v>175</v>
      </c>
      <c r="L354" s="1" t="s">
        <v>82</v>
      </c>
      <c r="M354" s="1" t="s">
        <v>88</v>
      </c>
      <c r="N354" s="1" t="s">
        <v>1161</v>
      </c>
      <c r="O354" s="1" t="s">
        <v>58</v>
      </c>
      <c r="P354" s="1">
        <v>5</v>
      </c>
      <c r="Q354" s="1">
        <v>2862.6</v>
      </c>
      <c r="R354" s="1">
        <v>0.25</v>
      </c>
      <c r="S354" s="1">
        <v>10734.75</v>
      </c>
      <c r="T354" s="1">
        <f t="shared" si="28"/>
        <v>10734.75</v>
      </c>
      <c r="U354" s="1">
        <v>6475.73</v>
      </c>
      <c r="V354" s="3">
        <f>IF(T354=0,"",X354/T354)</f>
        <v>0.39675073942103917</v>
      </c>
      <c r="W354" s="1">
        <v>4259.0200000000004</v>
      </c>
      <c r="X354" s="1">
        <f>T354-U354</f>
        <v>4259.0200000000004</v>
      </c>
      <c r="Y354" s="1" t="s">
        <v>40</v>
      </c>
      <c r="Z354" s="1" t="s">
        <v>41</v>
      </c>
      <c r="AA354" s="1">
        <f t="shared" si="25"/>
        <v>2</v>
      </c>
      <c r="AB354" s="2" t="str">
        <f t="shared" si="29"/>
        <v>Clean</v>
      </c>
      <c r="AC354" s="2"/>
    </row>
    <row r="355" spans="1:29">
      <c r="A355" s="1" t="s">
        <v>1162</v>
      </c>
      <c r="B355" s="2">
        <v>45709</v>
      </c>
      <c r="C355" s="2" t="str">
        <f t="shared" si="26"/>
        <v>February</v>
      </c>
      <c r="D355" s="1">
        <f t="shared" si="27"/>
        <v>2025</v>
      </c>
      <c r="E355" s="2">
        <v>45715</v>
      </c>
      <c r="F355" s="1" t="s">
        <v>1163</v>
      </c>
      <c r="G355" s="1" t="s">
        <v>70</v>
      </c>
      <c r="H355" s="1" t="s">
        <v>32</v>
      </c>
      <c r="I355" s="1" t="s">
        <v>33</v>
      </c>
      <c r="J355" s="1" t="s">
        <v>34</v>
      </c>
      <c r="K355" s="1" t="s">
        <v>35</v>
      </c>
      <c r="L355" s="1" t="s">
        <v>36</v>
      </c>
      <c r="M355" s="1" t="s">
        <v>56</v>
      </c>
      <c r="N355" s="1" t="s">
        <v>1164</v>
      </c>
      <c r="O355" s="1" t="s">
        <v>52</v>
      </c>
      <c r="P355" s="1">
        <v>9</v>
      </c>
      <c r="Q355" s="1">
        <v>1431.67</v>
      </c>
      <c r="R355" s="1">
        <v>0.2</v>
      </c>
      <c r="S355" s="1">
        <v>10308.02</v>
      </c>
      <c r="T355" s="1">
        <f t="shared" si="28"/>
        <v>10308.024000000001</v>
      </c>
      <c r="U355" s="1">
        <v>5822.31</v>
      </c>
      <c r="V355" s="3">
        <f>IF(T355=0,"",X355/T355)</f>
        <v>0.4351672056642476</v>
      </c>
      <c r="W355" s="1">
        <v>4485.71</v>
      </c>
      <c r="X355" s="1">
        <f>T355-U355</f>
        <v>4485.7140000000009</v>
      </c>
      <c r="Y355" s="1" t="s">
        <v>40</v>
      </c>
      <c r="Z355" s="1" t="s">
        <v>41</v>
      </c>
      <c r="AA355" s="1">
        <f t="shared" si="25"/>
        <v>6</v>
      </c>
      <c r="AB355" s="2" t="str">
        <f t="shared" si="29"/>
        <v>Clean</v>
      </c>
      <c r="AC355" s="2"/>
    </row>
    <row r="356" spans="1:29">
      <c r="A356" s="1" t="s">
        <v>1165</v>
      </c>
      <c r="B356" s="2">
        <v>45653</v>
      </c>
      <c r="C356" s="2" t="str">
        <f t="shared" si="26"/>
        <v>December</v>
      </c>
      <c r="D356" s="1">
        <f t="shared" si="27"/>
        <v>2024</v>
      </c>
      <c r="E356" s="2">
        <v>45657</v>
      </c>
      <c r="F356" s="1" t="s">
        <v>1166</v>
      </c>
      <c r="G356" s="1" t="s">
        <v>273</v>
      </c>
      <c r="H356" s="1" t="s">
        <v>98</v>
      </c>
      <c r="I356" s="1" t="s">
        <v>33</v>
      </c>
      <c r="J356" s="1" t="s">
        <v>130</v>
      </c>
      <c r="K356" s="1" t="s">
        <v>131</v>
      </c>
      <c r="L356" s="1" t="s">
        <v>49</v>
      </c>
      <c r="M356" s="1" t="s">
        <v>65</v>
      </c>
      <c r="N356" s="1" t="s">
        <v>1167</v>
      </c>
      <c r="O356" s="1" t="s">
        <v>67</v>
      </c>
      <c r="P356" s="1">
        <v>6</v>
      </c>
      <c r="Q356" s="1">
        <v>3346.78</v>
      </c>
      <c r="R356" s="4">
        <v>-0.06</v>
      </c>
      <c r="S356" s="1">
        <v>20080.68</v>
      </c>
      <c r="T356" s="4">
        <f t="shared" si="28"/>
        <v>21285.520800000002</v>
      </c>
      <c r="U356" s="1">
        <v>12908.84</v>
      </c>
      <c r="V356" s="3"/>
      <c r="W356" s="1">
        <v>7171.84</v>
      </c>
      <c r="X356" s="1"/>
      <c r="Y356" s="1" t="s">
        <v>119</v>
      </c>
      <c r="Z356" s="1" t="s">
        <v>76</v>
      </c>
      <c r="AA356" s="1">
        <f t="shared" si="25"/>
        <v>4</v>
      </c>
      <c r="AB356" s="2" t="str">
        <f t="shared" si="29"/>
        <v>Invalid</v>
      </c>
      <c r="AC356" s="2"/>
    </row>
    <row r="357" spans="1:29">
      <c r="A357" s="1" t="s">
        <v>1168</v>
      </c>
      <c r="B357" s="2">
        <v>45631</v>
      </c>
      <c r="C357" s="2" t="str">
        <f t="shared" si="26"/>
        <v>December</v>
      </c>
      <c r="D357" s="1">
        <f t="shared" si="27"/>
        <v>2024</v>
      </c>
      <c r="E357" s="2">
        <v>45540</v>
      </c>
      <c r="F357" s="1" t="s">
        <v>1169</v>
      </c>
      <c r="G357" s="1" t="s">
        <v>122</v>
      </c>
      <c r="H357" s="1" t="s">
        <v>98</v>
      </c>
      <c r="I357" s="1" t="s">
        <v>71</v>
      </c>
      <c r="J357" s="1" t="s">
        <v>34</v>
      </c>
      <c r="K357" s="1" t="s">
        <v>117</v>
      </c>
      <c r="L357" s="1" t="s">
        <v>49</v>
      </c>
      <c r="M357" s="1" t="s">
        <v>50</v>
      </c>
      <c r="N357" s="1" t="s">
        <v>1170</v>
      </c>
      <c r="O357" s="1" t="s">
        <v>67</v>
      </c>
      <c r="P357" s="1">
        <v>5</v>
      </c>
      <c r="Q357" s="1">
        <v>3203.48</v>
      </c>
      <c r="R357" s="1">
        <v>0</v>
      </c>
      <c r="S357" s="1">
        <v>16017.4</v>
      </c>
      <c r="T357" s="1">
        <f t="shared" si="28"/>
        <v>16017.4</v>
      </c>
      <c r="U357" s="1">
        <v>9557.7999999999993</v>
      </c>
      <c r="V357" s="3">
        <f>IF(T357=0,"",X357/T357)</f>
        <v>0.40328642601171227</v>
      </c>
      <c r="W357" s="1">
        <v>6459.6</v>
      </c>
      <c r="X357" s="1">
        <f>T357-U357</f>
        <v>6459.6</v>
      </c>
      <c r="Y357" s="1" t="s">
        <v>119</v>
      </c>
      <c r="Z357" s="1" t="s">
        <v>76</v>
      </c>
      <c r="AA357" s="4">
        <f t="shared" si="25"/>
        <v>-91</v>
      </c>
      <c r="AB357" s="2" t="str">
        <f t="shared" si="29"/>
        <v>Invalid</v>
      </c>
      <c r="AC357" s="2"/>
    </row>
    <row r="358" spans="1:29">
      <c r="A358" s="1" t="s">
        <v>1171</v>
      </c>
      <c r="B358" s="2">
        <v>45835</v>
      </c>
      <c r="C358" s="2" t="str">
        <f t="shared" si="26"/>
        <v>June</v>
      </c>
      <c r="D358" s="1">
        <f t="shared" si="27"/>
        <v>2025</v>
      </c>
      <c r="E358" s="2">
        <v>45837</v>
      </c>
      <c r="F358" s="1" t="s">
        <v>1172</v>
      </c>
      <c r="G358" s="1" t="s">
        <v>149</v>
      </c>
      <c r="H358" s="1" t="s">
        <v>103</v>
      </c>
      <c r="I358" s="1" t="s">
        <v>62</v>
      </c>
      <c r="J358" s="1" t="s">
        <v>63</v>
      </c>
      <c r="K358" s="1" t="s">
        <v>64</v>
      </c>
      <c r="L358" s="1" t="s">
        <v>49</v>
      </c>
      <c r="M358" s="1" t="s">
        <v>74</v>
      </c>
      <c r="N358" s="1" t="s">
        <v>1173</v>
      </c>
      <c r="O358" s="1" t="s">
        <v>58</v>
      </c>
      <c r="P358" s="1">
        <v>5</v>
      </c>
      <c r="Q358" s="1">
        <v>621.70000000000005</v>
      </c>
      <c r="R358" s="1">
        <v>0.2</v>
      </c>
      <c r="S358" s="1">
        <v>2486.8000000000002</v>
      </c>
      <c r="T358" s="1">
        <f t="shared" si="28"/>
        <v>2486.8000000000002</v>
      </c>
      <c r="U358" s="1">
        <v>2131.73</v>
      </c>
      <c r="V358" s="3">
        <f>IF(T358=0,"",X358/T358)</f>
        <v>0.1427818883705968</v>
      </c>
      <c r="W358" s="1">
        <v>355.07</v>
      </c>
      <c r="X358" s="1">
        <f>T358-U358</f>
        <v>355.07000000000016</v>
      </c>
      <c r="Y358" s="1" t="s">
        <v>119</v>
      </c>
      <c r="Z358" s="1" t="s">
        <v>111</v>
      </c>
      <c r="AA358" s="1">
        <f t="shared" si="25"/>
        <v>2</v>
      </c>
      <c r="AB358" s="2" t="str">
        <f t="shared" si="29"/>
        <v>Clean</v>
      </c>
      <c r="AC358" s="2"/>
    </row>
    <row r="359" spans="1:29">
      <c r="A359" s="1" t="s">
        <v>1174</v>
      </c>
      <c r="B359" s="2">
        <v>45678</v>
      </c>
      <c r="C359" s="2" t="str">
        <f t="shared" si="26"/>
        <v>January</v>
      </c>
      <c r="D359" s="1">
        <f t="shared" si="27"/>
        <v>2025</v>
      </c>
      <c r="E359" s="2">
        <v>45686</v>
      </c>
      <c r="F359" s="1" t="s">
        <v>1175</v>
      </c>
      <c r="G359" s="1" t="s">
        <v>44</v>
      </c>
      <c r="H359" s="1" t="s">
        <v>103</v>
      </c>
      <c r="I359" s="1" t="s">
        <v>62</v>
      </c>
      <c r="J359" s="1" t="s">
        <v>92</v>
      </c>
      <c r="K359" s="1" t="s">
        <v>93</v>
      </c>
      <c r="L359" s="1" t="s">
        <v>82</v>
      </c>
      <c r="M359" s="1" t="s">
        <v>283</v>
      </c>
      <c r="N359" s="1" t="s">
        <v>1176</v>
      </c>
      <c r="O359" s="1" t="s">
        <v>39</v>
      </c>
      <c r="P359" s="1">
        <v>8</v>
      </c>
      <c r="Q359" s="1">
        <v>546.13</v>
      </c>
      <c r="R359" s="1">
        <v>0</v>
      </c>
      <c r="S359" s="1">
        <v>4369.04</v>
      </c>
      <c r="T359" s="1">
        <f t="shared" si="28"/>
        <v>4369.04</v>
      </c>
      <c r="U359" s="1">
        <v>3716.88</v>
      </c>
      <c r="V359" s="3">
        <f>IF(T359=0,"",X359/T359)</f>
        <v>0.14926848918755603</v>
      </c>
      <c r="W359" s="1">
        <v>652.16</v>
      </c>
      <c r="X359" s="1">
        <f>T359-U359</f>
        <v>652.15999999999985</v>
      </c>
      <c r="Y359" s="1" t="s">
        <v>40</v>
      </c>
      <c r="Z359" s="1" t="s">
        <v>76</v>
      </c>
      <c r="AA359" s="1">
        <f t="shared" si="25"/>
        <v>8</v>
      </c>
      <c r="AB359" s="2" t="str">
        <f t="shared" si="29"/>
        <v>Clean</v>
      </c>
      <c r="AC359" s="2"/>
    </row>
    <row r="360" spans="1:29">
      <c r="A360" s="1" t="s">
        <v>1177</v>
      </c>
      <c r="B360" s="2">
        <v>45878</v>
      </c>
      <c r="C360" s="2" t="str">
        <f t="shared" si="26"/>
        <v>August</v>
      </c>
      <c r="D360" s="1">
        <f t="shared" si="27"/>
        <v>2025</v>
      </c>
      <c r="E360" s="2">
        <v>45846</v>
      </c>
      <c r="F360" s="1" t="s">
        <v>1178</v>
      </c>
      <c r="G360" s="1" t="s">
        <v>79</v>
      </c>
      <c r="H360" s="1" t="s">
        <v>103</v>
      </c>
      <c r="I360" s="1" t="s">
        <v>71</v>
      </c>
      <c r="J360" s="1" t="s">
        <v>188</v>
      </c>
      <c r="K360" s="1" t="s">
        <v>189</v>
      </c>
      <c r="L360" s="1" t="s">
        <v>49</v>
      </c>
      <c r="M360" s="1" t="s">
        <v>166</v>
      </c>
      <c r="N360" s="1" t="s">
        <v>1179</v>
      </c>
      <c r="O360" s="1" t="s">
        <v>39</v>
      </c>
      <c r="P360" s="1">
        <v>5</v>
      </c>
      <c r="Q360" s="1">
        <v>1253.92</v>
      </c>
      <c r="R360" s="1">
        <v>0.05</v>
      </c>
      <c r="S360" s="1">
        <v>5956.12</v>
      </c>
      <c r="T360" s="1">
        <f t="shared" si="28"/>
        <v>5956.12</v>
      </c>
      <c r="U360" s="1">
        <v>4379.18</v>
      </c>
      <c r="V360" s="3">
        <f>IF(T360=0,"",X360/T360)</f>
        <v>0.26475960860425907</v>
      </c>
      <c r="W360" s="1">
        <v>1576.94</v>
      </c>
      <c r="X360" s="1">
        <f>T360-U360</f>
        <v>1576.9399999999996</v>
      </c>
      <c r="Y360" s="1" t="s">
        <v>119</v>
      </c>
      <c r="Z360" s="1" t="s">
        <v>111</v>
      </c>
      <c r="AA360" s="4">
        <f t="shared" si="25"/>
        <v>-32</v>
      </c>
      <c r="AB360" s="2" t="str">
        <f t="shared" si="29"/>
        <v>Invalid</v>
      </c>
      <c r="AC360" s="2"/>
    </row>
    <row r="361" spans="1:29">
      <c r="A361" s="1" t="s">
        <v>1180</v>
      </c>
      <c r="B361" s="2">
        <v>45525</v>
      </c>
      <c r="C361" s="2" t="str">
        <f t="shared" si="26"/>
        <v>August</v>
      </c>
      <c r="D361" s="1">
        <f t="shared" si="27"/>
        <v>2024</v>
      </c>
      <c r="E361" s="2">
        <v>45526</v>
      </c>
      <c r="F361" s="1" t="s">
        <v>1181</v>
      </c>
      <c r="G361" s="1" t="s">
        <v>55</v>
      </c>
      <c r="H361" s="1" t="s">
        <v>32</v>
      </c>
      <c r="I361" s="1" t="s">
        <v>62</v>
      </c>
      <c r="J361" s="1" t="s">
        <v>256</v>
      </c>
      <c r="K361" s="1" t="s">
        <v>257</v>
      </c>
      <c r="L361" s="1" t="s">
        <v>82</v>
      </c>
      <c r="M361" s="1" t="s">
        <v>179</v>
      </c>
      <c r="N361" s="1" t="s">
        <v>1182</v>
      </c>
      <c r="O361" s="1" t="s">
        <v>52</v>
      </c>
      <c r="P361" s="1">
        <v>9</v>
      </c>
      <c r="Q361" s="1">
        <v>616.96</v>
      </c>
      <c r="R361" s="1">
        <v>0.1</v>
      </c>
      <c r="S361" s="1">
        <v>4997.38</v>
      </c>
      <c r="T361" s="1">
        <f t="shared" si="28"/>
        <v>4997.3760000000002</v>
      </c>
      <c r="U361" s="1">
        <v>2971.39</v>
      </c>
      <c r="V361" s="3">
        <f>IF(T361=0,"",X361/T361)</f>
        <v>0.40540995914656014</v>
      </c>
      <c r="W361" s="1">
        <v>2025.99</v>
      </c>
      <c r="X361" s="1">
        <f>T361-U361</f>
        <v>2025.9860000000003</v>
      </c>
      <c r="Y361" s="1" t="s">
        <v>40</v>
      </c>
      <c r="Z361" s="1" t="s">
        <v>41</v>
      </c>
      <c r="AA361" s="1">
        <f t="shared" si="25"/>
        <v>1</v>
      </c>
      <c r="AB361" s="2" t="str">
        <f t="shared" si="29"/>
        <v>Clean</v>
      </c>
      <c r="AC361" s="2"/>
    </row>
    <row r="362" spans="1:29">
      <c r="A362" s="1" t="s">
        <v>1183</v>
      </c>
      <c r="B362" s="2">
        <v>45460</v>
      </c>
      <c r="C362" s="2" t="str">
        <f t="shared" si="26"/>
        <v>June</v>
      </c>
      <c r="D362" s="1">
        <f t="shared" si="27"/>
        <v>2024</v>
      </c>
      <c r="E362" s="2">
        <v>45463</v>
      </c>
      <c r="F362" s="1" t="s">
        <v>1184</v>
      </c>
      <c r="G362" s="1" t="s">
        <v>140</v>
      </c>
      <c r="H362" s="1" t="s">
        <v>45</v>
      </c>
      <c r="I362" s="1" t="s">
        <v>71</v>
      </c>
      <c r="J362" s="1" t="s">
        <v>188</v>
      </c>
      <c r="K362" s="1" t="s">
        <v>189</v>
      </c>
      <c r="L362" s="1" t="s">
        <v>49</v>
      </c>
      <c r="M362" s="1" t="s">
        <v>65</v>
      </c>
      <c r="N362" s="1" t="s">
        <v>1185</v>
      </c>
      <c r="O362" s="1" t="s">
        <v>67</v>
      </c>
      <c r="P362" s="1">
        <v>7</v>
      </c>
      <c r="Q362" s="1">
        <v>3155.25</v>
      </c>
      <c r="R362" s="1">
        <v>0.2</v>
      </c>
      <c r="S362" s="1">
        <v>17669.400000000001</v>
      </c>
      <c r="T362" s="1">
        <f t="shared" si="28"/>
        <v>17669.400000000001</v>
      </c>
      <c r="U362" s="1">
        <v>13718.77</v>
      </c>
      <c r="V362" s="3">
        <f>IF(T362=0,"",X362/T362)</f>
        <v>0.2235859734908939</v>
      </c>
      <c r="W362" s="1">
        <v>3950.63</v>
      </c>
      <c r="X362" s="1">
        <f>T362-U362</f>
        <v>3950.630000000001</v>
      </c>
      <c r="Y362" s="1" t="s">
        <v>110</v>
      </c>
      <c r="Z362" s="1" t="s">
        <v>76</v>
      </c>
      <c r="AA362" s="1">
        <f t="shared" si="25"/>
        <v>3</v>
      </c>
      <c r="AB362" s="2" t="str">
        <f t="shared" si="29"/>
        <v>Clean</v>
      </c>
      <c r="AC362" s="2"/>
    </row>
    <row r="363" spans="1:29">
      <c r="A363" s="1" t="s">
        <v>1186</v>
      </c>
      <c r="B363" s="2">
        <v>45661</v>
      </c>
      <c r="C363" s="2" t="str">
        <f t="shared" si="26"/>
        <v>January</v>
      </c>
      <c r="D363" s="1">
        <f t="shared" si="27"/>
        <v>2025</v>
      </c>
      <c r="E363" s="2">
        <v>45692</v>
      </c>
      <c r="F363" s="1" t="s">
        <v>1187</v>
      </c>
      <c r="G363" s="1" t="s">
        <v>149</v>
      </c>
      <c r="H363" s="1" t="s">
        <v>98</v>
      </c>
      <c r="I363" s="1" t="s">
        <v>46</v>
      </c>
      <c r="J363" s="1" t="s">
        <v>47</v>
      </c>
      <c r="K363" s="1" t="s">
        <v>48</v>
      </c>
      <c r="L363" s="1" t="s">
        <v>49</v>
      </c>
      <c r="M363" s="1" t="s">
        <v>74</v>
      </c>
      <c r="N363" s="1" t="s">
        <v>1188</v>
      </c>
      <c r="O363" s="1" t="s">
        <v>39</v>
      </c>
      <c r="P363" s="1">
        <v>9</v>
      </c>
      <c r="Q363" s="1">
        <v>4165.58</v>
      </c>
      <c r="R363" s="1">
        <v>0.05</v>
      </c>
      <c r="S363" s="1">
        <v>35615.71</v>
      </c>
      <c r="T363" s="1">
        <f t="shared" si="28"/>
        <v>35615.709000000003</v>
      </c>
      <c r="U363" s="1">
        <v>20389.71</v>
      </c>
      <c r="V363" s="3">
        <f>IF(T363=0,"",X363/T363)</f>
        <v>0.42750795723314122</v>
      </c>
      <c r="W363" s="1">
        <v>15226</v>
      </c>
      <c r="X363" s="1">
        <f>T363-U363</f>
        <v>15225.999000000003</v>
      </c>
      <c r="Y363" s="1" t="s">
        <v>119</v>
      </c>
      <c r="Z363" s="1" t="s">
        <v>111</v>
      </c>
      <c r="AA363" s="1">
        <f t="shared" si="25"/>
        <v>31</v>
      </c>
      <c r="AB363" s="2" t="str">
        <f t="shared" si="29"/>
        <v>Clean</v>
      </c>
      <c r="AC363" s="2"/>
    </row>
    <row r="364" spans="1:29">
      <c r="A364" s="1" t="s">
        <v>1189</v>
      </c>
      <c r="B364" s="2">
        <v>45527</v>
      </c>
      <c r="C364" s="2" t="str">
        <f t="shared" si="26"/>
        <v>August</v>
      </c>
      <c r="D364" s="1">
        <f t="shared" si="27"/>
        <v>2024</v>
      </c>
      <c r="E364" s="2">
        <v>45529</v>
      </c>
      <c r="F364" s="1" t="s">
        <v>1190</v>
      </c>
      <c r="G364" s="1" t="s">
        <v>79</v>
      </c>
      <c r="H364" s="1" t="s">
        <v>32</v>
      </c>
      <c r="I364" s="1" t="s">
        <v>71</v>
      </c>
      <c r="J364" s="1" t="s">
        <v>198</v>
      </c>
      <c r="K364" s="1" t="s">
        <v>199</v>
      </c>
      <c r="L364" s="1" t="s">
        <v>82</v>
      </c>
      <c r="M364" s="1" t="s">
        <v>283</v>
      </c>
      <c r="N364" s="1" t="s">
        <v>1191</v>
      </c>
      <c r="O364" s="1" t="s">
        <v>52</v>
      </c>
      <c r="P364" s="1">
        <v>4</v>
      </c>
      <c r="Q364" s="1">
        <v>491.16</v>
      </c>
      <c r="R364" s="1">
        <v>0.05</v>
      </c>
      <c r="S364" s="1">
        <v>1866.41</v>
      </c>
      <c r="T364" s="1">
        <f t="shared" si="28"/>
        <v>1866.4079999999999</v>
      </c>
      <c r="U364" s="1">
        <v>1576.49</v>
      </c>
      <c r="V364" s="3">
        <f>IF(T364=0,"",X364/T364)</f>
        <v>0.15533473924243782</v>
      </c>
      <c r="W364" s="1">
        <v>289.92</v>
      </c>
      <c r="X364" s="1">
        <f>T364-U364</f>
        <v>289.91799999999989</v>
      </c>
      <c r="Y364" s="1" t="s">
        <v>40</v>
      </c>
      <c r="Z364" s="1" t="s">
        <v>41</v>
      </c>
      <c r="AA364" s="1">
        <f t="shared" si="25"/>
        <v>2</v>
      </c>
      <c r="AB364" s="2" t="str">
        <f t="shared" si="29"/>
        <v>Clean</v>
      </c>
      <c r="AC364" s="2"/>
    </row>
    <row r="365" spans="1:29">
      <c r="A365" s="1" t="s">
        <v>1192</v>
      </c>
      <c r="B365" s="2">
        <v>45845</v>
      </c>
      <c r="C365" s="2" t="str">
        <f t="shared" si="26"/>
        <v>July</v>
      </c>
      <c r="D365" s="1">
        <f t="shared" si="27"/>
        <v>2025</v>
      </c>
      <c r="E365" s="2">
        <v>45850</v>
      </c>
      <c r="F365" s="1" t="s">
        <v>1193</v>
      </c>
      <c r="G365" s="1" t="s">
        <v>170</v>
      </c>
      <c r="H365" s="1" t="s">
        <v>98</v>
      </c>
      <c r="I365" s="1" t="s">
        <v>46</v>
      </c>
      <c r="J365" s="1" t="s">
        <v>107</v>
      </c>
      <c r="K365" s="1" t="s">
        <v>108</v>
      </c>
      <c r="L365" s="1" t="s">
        <v>49</v>
      </c>
      <c r="M365" s="1" t="s">
        <v>50</v>
      </c>
      <c r="N365" s="1" t="s">
        <v>1194</v>
      </c>
      <c r="O365" s="1" t="s">
        <v>39</v>
      </c>
      <c r="P365" s="1">
        <v>5</v>
      </c>
      <c r="Q365" s="1">
        <v>1831.37</v>
      </c>
      <c r="R365" s="1">
        <v>0.25</v>
      </c>
      <c r="S365" s="1">
        <v>6867.64</v>
      </c>
      <c r="T365" s="1">
        <f t="shared" si="28"/>
        <v>6867.6374999999989</v>
      </c>
      <c r="U365" s="1">
        <v>5205.3599999999997</v>
      </c>
      <c r="V365" s="3">
        <f>IF(T365=0,"",X365/T365)</f>
        <v>0.24204502640100028</v>
      </c>
      <c r="W365" s="1">
        <v>1662.28</v>
      </c>
      <c r="X365" s="1">
        <f>T365-U365</f>
        <v>1662.2774999999992</v>
      </c>
      <c r="Y365" s="1" t="s">
        <v>40</v>
      </c>
      <c r="Z365" s="1" t="s">
        <v>41</v>
      </c>
      <c r="AA365" s="1">
        <f t="shared" si="25"/>
        <v>5</v>
      </c>
      <c r="AB365" s="2" t="str">
        <f t="shared" si="29"/>
        <v>Clean</v>
      </c>
      <c r="AC365" s="2"/>
    </row>
    <row r="366" spans="1:29">
      <c r="A366" s="1" t="s">
        <v>1195</v>
      </c>
      <c r="B366" s="2">
        <v>45737</v>
      </c>
      <c r="C366" s="2" t="str">
        <f t="shared" si="26"/>
        <v>March</v>
      </c>
      <c r="D366" s="1">
        <f t="shared" si="27"/>
        <v>2025</v>
      </c>
      <c r="E366" s="2">
        <v>45740</v>
      </c>
      <c r="F366" s="1" t="s">
        <v>1196</v>
      </c>
      <c r="G366" s="1" t="s">
        <v>136</v>
      </c>
      <c r="H366" s="1" t="s">
        <v>45</v>
      </c>
      <c r="I366" s="1" t="s">
        <v>62</v>
      </c>
      <c r="J366" s="1" t="s">
        <v>92</v>
      </c>
      <c r="K366" s="1" t="s">
        <v>93</v>
      </c>
      <c r="L366" s="1" t="s">
        <v>49</v>
      </c>
      <c r="M366" s="1" t="s">
        <v>74</v>
      </c>
      <c r="N366" s="1" t="s">
        <v>1197</v>
      </c>
      <c r="O366" s="1" t="s">
        <v>39</v>
      </c>
      <c r="P366" s="1">
        <v>5</v>
      </c>
      <c r="Q366" s="1">
        <v>1239.1500000000001</v>
      </c>
      <c r="R366" s="1">
        <v>0</v>
      </c>
      <c r="S366" s="1">
        <v>6195.75</v>
      </c>
      <c r="T366" s="1">
        <f t="shared" si="28"/>
        <v>6195.75</v>
      </c>
      <c r="U366" s="1">
        <v>3967.02</v>
      </c>
      <c r="V366" s="3">
        <f>IF(T366=0,"",X366/T366)</f>
        <v>0.35971916232901585</v>
      </c>
      <c r="W366" s="1">
        <v>2228.73</v>
      </c>
      <c r="X366" s="1">
        <f>T366-U366</f>
        <v>2228.73</v>
      </c>
      <c r="Y366" s="1" t="s">
        <v>40</v>
      </c>
      <c r="Z366" s="1" t="s">
        <v>41</v>
      </c>
      <c r="AA366" s="1">
        <f t="shared" si="25"/>
        <v>3</v>
      </c>
      <c r="AB366" s="2" t="str">
        <f t="shared" si="29"/>
        <v>Clean</v>
      </c>
      <c r="AC366" s="2"/>
    </row>
    <row r="367" spans="1:29">
      <c r="A367" s="1" t="s">
        <v>1198</v>
      </c>
      <c r="B367" s="2">
        <v>45458</v>
      </c>
      <c r="C367" s="2" t="str">
        <f t="shared" si="26"/>
        <v>June</v>
      </c>
      <c r="D367" s="1">
        <f t="shared" si="27"/>
        <v>2024</v>
      </c>
      <c r="E367" s="2">
        <v>45464</v>
      </c>
      <c r="F367" s="1" t="s">
        <v>1199</v>
      </c>
      <c r="G367" s="1" t="s">
        <v>97</v>
      </c>
      <c r="H367" s="1" t="s">
        <v>98</v>
      </c>
      <c r="I367" s="1" t="s">
        <v>71</v>
      </c>
      <c r="J367" s="1" t="s">
        <v>198</v>
      </c>
      <c r="K367" s="1" t="s">
        <v>199</v>
      </c>
      <c r="L367" s="1" t="s">
        <v>82</v>
      </c>
      <c r="M367" s="1" t="s">
        <v>83</v>
      </c>
      <c r="N367" s="1" t="s">
        <v>1200</v>
      </c>
      <c r="O367" s="1" t="s">
        <v>58</v>
      </c>
      <c r="P367" s="1">
        <v>8</v>
      </c>
      <c r="Q367" s="1">
        <v>1706.4</v>
      </c>
      <c r="R367" s="1">
        <v>0</v>
      </c>
      <c r="S367" s="1">
        <v>12968.64</v>
      </c>
      <c r="T367" s="1">
        <f t="shared" si="28"/>
        <v>13651.2</v>
      </c>
      <c r="U367" s="1">
        <v>10119.61</v>
      </c>
      <c r="V367" s="3">
        <f>IF(T367=0,"",X367/T367)</f>
        <v>0.2587017991092358</v>
      </c>
      <c r="W367" s="1">
        <v>2849.03</v>
      </c>
      <c r="X367" s="1">
        <f>T367-U367</f>
        <v>3531.59</v>
      </c>
      <c r="Y367" s="1" t="s">
        <v>40</v>
      </c>
      <c r="Z367" s="1" t="s">
        <v>41</v>
      </c>
      <c r="AA367" s="1">
        <f t="shared" si="25"/>
        <v>6</v>
      </c>
      <c r="AB367" s="2" t="str">
        <f t="shared" si="29"/>
        <v>Clean</v>
      </c>
      <c r="AC367" s="2"/>
    </row>
    <row r="368" spans="1:29">
      <c r="A368" s="1" t="s">
        <v>1201</v>
      </c>
      <c r="B368" s="2">
        <v>45673</v>
      </c>
      <c r="C368" s="2" t="str">
        <f t="shared" si="26"/>
        <v>January</v>
      </c>
      <c r="D368" s="1">
        <f t="shared" si="27"/>
        <v>2025</v>
      </c>
      <c r="E368" s="2">
        <v>45679</v>
      </c>
      <c r="F368" s="1" t="s">
        <v>1202</v>
      </c>
      <c r="G368" s="1" t="s">
        <v>140</v>
      </c>
      <c r="H368" s="1" t="s">
        <v>98</v>
      </c>
      <c r="I368" s="1" t="s">
        <v>33</v>
      </c>
      <c r="J368" s="1" t="s">
        <v>34</v>
      </c>
      <c r="K368" s="1" t="s">
        <v>35</v>
      </c>
      <c r="L368" s="1" t="s">
        <v>49</v>
      </c>
      <c r="M368" s="1" t="s">
        <v>50</v>
      </c>
      <c r="N368" s="1" t="s">
        <v>1203</v>
      </c>
      <c r="O368" s="1" t="s">
        <v>52</v>
      </c>
      <c r="P368" s="1">
        <v>2</v>
      </c>
      <c r="Q368" s="1">
        <v>4418.28</v>
      </c>
      <c r="R368" s="1">
        <v>0</v>
      </c>
      <c r="S368" s="1">
        <v>8836.56</v>
      </c>
      <c r="T368" s="1">
        <f t="shared" si="28"/>
        <v>8836.56</v>
      </c>
      <c r="U368" s="1">
        <v>5867.75</v>
      </c>
      <c r="V368" s="3">
        <f>IF(T368=0,"",X368/T368)</f>
        <v>0.33596897435201023</v>
      </c>
      <c r="W368" s="1">
        <v>2968.81</v>
      </c>
      <c r="X368" s="1">
        <f>T368-U368</f>
        <v>2968.8099999999995</v>
      </c>
      <c r="Y368" s="1" t="s">
        <v>40</v>
      </c>
      <c r="Z368" s="1" t="s">
        <v>41</v>
      </c>
      <c r="AA368" s="1">
        <f t="shared" si="25"/>
        <v>6</v>
      </c>
      <c r="AB368" s="2" t="str">
        <f t="shared" si="29"/>
        <v>Clean</v>
      </c>
      <c r="AC368" s="2"/>
    </row>
    <row r="369" spans="1:29">
      <c r="A369" s="1" t="s">
        <v>1204</v>
      </c>
      <c r="B369" s="2">
        <v>45366</v>
      </c>
      <c r="C369" s="2" t="str">
        <f t="shared" si="26"/>
        <v>March</v>
      </c>
      <c r="D369" s="1">
        <f t="shared" si="27"/>
        <v>2024</v>
      </c>
      <c r="E369" s="2">
        <v>45367</v>
      </c>
      <c r="F369" s="1" t="s">
        <v>1205</v>
      </c>
      <c r="G369" s="1" t="s">
        <v>149</v>
      </c>
      <c r="H369" s="1" t="s">
        <v>32</v>
      </c>
      <c r="I369" s="1" t="s">
        <v>33</v>
      </c>
      <c r="J369" s="1" t="s">
        <v>359</v>
      </c>
      <c r="K369" s="1" t="s">
        <v>360</v>
      </c>
      <c r="L369" s="1" t="s">
        <v>36</v>
      </c>
      <c r="M369" s="1" t="s">
        <v>56</v>
      </c>
      <c r="N369" s="1" t="s">
        <v>1206</v>
      </c>
      <c r="O369" s="1" t="s">
        <v>67</v>
      </c>
      <c r="P369" s="1">
        <v>6</v>
      </c>
      <c r="Q369" s="1">
        <v>3815.09</v>
      </c>
      <c r="R369" s="1">
        <v>0.15</v>
      </c>
      <c r="S369" s="1">
        <v>19456.96</v>
      </c>
      <c r="T369" s="1">
        <f t="shared" si="28"/>
        <v>19456.958999999999</v>
      </c>
      <c r="U369" s="1">
        <v>14520.06</v>
      </c>
      <c r="V369" s="3">
        <f>IF(T369=0,"",X369/T369)</f>
        <v>0.25373435797443988</v>
      </c>
      <c r="W369" s="1">
        <v>4936.8999999999996</v>
      </c>
      <c r="X369" s="1">
        <f>T369-U369</f>
        <v>4936.8989999999994</v>
      </c>
      <c r="Y369" s="1" t="s">
        <v>163</v>
      </c>
      <c r="Z369" s="1" t="s">
        <v>76</v>
      </c>
      <c r="AA369" s="1">
        <f t="shared" si="25"/>
        <v>1</v>
      </c>
      <c r="AB369" s="2" t="str">
        <f t="shared" si="29"/>
        <v>Clean</v>
      </c>
      <c r="AC369" s="2"/>
    </row>
    <row r="370" spans="1:29">
      <c r="A370" s="1" t="s">
        <v>1207</v>
      </c>
      <c r="B370" s="2">
        <v>45815</v>
      </c>
      <c r="C370" s="2" t="str">
        <f t="shared" si="26"/>
        <v>June</v>
      </c>
      <c r="D370" s="1">
        <f t="shared" si="27"/>
        <v>2025</v>
      </c>
      <c r="E370" s="2">
        <v>45815</v>
      </c>
      <c r="F370" s="1" t="s">
        <v>1208</v>
      </c>
      <c r="G370" s="1" t="s">
        <v>136</v>
      </c>
      <c r="H370" s="1" t="s">
        <v>103</v>
      </c>
      <c r="I370" s="1" t="s">
        <v>33</v>
      </c>
      <c r="J370" s="1" t="s">
        <v>34</v>
      </c>
      <c r="K370" s="1" t="s">
        <v>35</v>
      </c>
      <c r="L370" s="1" t="s">
        <v>82</v>
      </c>
      <c r="M370" s="1" t="s">
        <v>83</v>
      </c>
      <c r="N370" s="1" t="s">
        <v>1209</v>
      </c>
      <c r="O370" s="1" t="s">
        <v>52</v>
      </c>
      <c r="P370" s="1">
        <v>9</v>
      </c>
      <c r="Q370" s="1">
        <v>243.19</v>
      </c>
      <c r="R370" s="1">
        <v>0.05</v>
      </c>
      <c r="S370" s="1">
        <v>2079.27</v>
      </c>
      <c r="T370" s="1">
        <f t="shared" si="28"/>
        <v>2079.2745</v>
      </c>
      <c r="U370" s="1">
        <v>1512.17</v>
      </c>
      <c r="V370" s="3">
        <f>IF(T370=0,"",X370/T370)</f>
        <v>0.27274152595051782</v>
      </c>
      <c r="W370" s="1">
        <v>567.1</v>
      </c>
      <c r="X370" s="1">
        <f>T370-U370</f>
        <v>567.10449999999992</v>
      </c>
      <c r="Y370" s="1" t="s">
        <v>110</v>
      </c>
      <c r="Z370" s="1" t="s">
        <v>111</v>
      </c>
      <c r="AA370" s="1">
        <f t="shared" si="25"/>
        <v>0</v>
      </c>
      <c r="AB370" s="2" t="str">
        <f t="shared" si="29"/>
        <v>Clean</v>
      </c>
      <c r="AC370" s="2"/>
    </row>
    <row r="371" spans="1:29">
      <c r="A371" s="1" t="s">
        <v>1210</v>
      </c>
      <c r="B371" s="2">
        <v>45680</v>
      </c>
      <c r="C371" s="2" t="str">
        <f t="shared" si="26"/>
        <v>January</v>
      </c>
      <c r="D371" s="1">
        <f t="shared" si="27"/>
        <v>2025</v>
      </c>
      <c r="E371" s="2">
        <v>45687</v>
      </c>
      <c r="F371" s="1" t="s">
        <v>1211</v>
      </c>
      <c r="G371" s="1" t="s">
        <v>122</v>
      </c>
      <c r="H371" s="1" t="s">
        <v>32</v>
      </c>
      <c r="I371" s="1" t="s">
        <v>33</v>
      </c>
      <c r="J371" s="1" t="s">
        <v>359</v>
      </c>
      <c r="K371" s="1" t="s">
        <v>360</v>
      </c>
      <c r="L371" s="1" t="s">
        <v>36</v>
      </c>
      <c r="M371" s="1" t="s">
        <v>99</v>
      </c>
      <c r="N371" s="1" t="s">
        <v>1212</v>
      </c>
      <c r="O371" s="1" t="s">
        <v>67</v>
      </c>
      <c r="P371" s="1">
        <v>9</v>
      </c>
      <c r="Q371" s="1">
        <v>1169.3699999999999</v>
      </c>
      <c r="R371" s="1">
        <v>0.15</v>
      </c>
      <c r="S371" s="1">
        <v>8945.68</v>
      </c>
      <c r="T371" s="1">
        <f t="shared" si="28"/>
        <v>8945.6804999999986</v>
      </c>
      <c r="U371" s="1">
        <v>6740.35</v>
      </c>
      <c r="V371" s="3">
        <f>IF(T371=0,"",X371/T371)</f>
        <v>0.24652462157574245</v>
      </c>
      <c r="W371" s="1">
        <v>2205.33</v>
      </c>
      <c r="X371" s="1">
        <f>T371-U371</f>
        <v>2205.3304999999982</v>
      </c>
      <c r="Y371" s="1" t="s">
        <v>40</v>
      </c>
      <c r="Z371" s="1" t="s">
        <v>41</v>
      </c>
      <c r="AA371" s="1">
        <f t="shared" si="25"/>
        <v>7</v>
      </c>
      <c r="AB371" s="2" t="str">
        <f t="shared" si="29"/>
        <v>Clean</v>
      </c>
      <c r="AC371" s="2"/>
    </row>
    <row r="372" spans="1:29">
      <c r="A372" s="1" t="s">
        <v>1213</v>
      </c>
      <c r="B372" s="2">
        <v>45519</v>
      </c>
      <c r="C372" s="2" t="str">
        <f t="shared" si="26"/>
        <v>August</v>
      </c>
      <c r="D372" s="1">
        <f t="shared" si="27"/>
        <v>2024</v>
      </c>
      <c r="E372" s="2">
        <v>45525</v>
      </c>
      <c r="F372" s="1" t="s">
        <v>1214</v>
      </c>
      <c r="G372" s="1" t="s">
        <v>70</v>
      </c>
      <c r="H372" s="1" t="s">
        <v>45</v>
      </c>
      <c r="I372" s="1" t="s">
        <v>71</v>
      </c>
      <c r="J372" s="1" t="s">
        <v>34</v>
      </c>
      <c r="K372" s="1" t="s">
        <v>117</v>
      </c>
      <c r="L372" s="1" t="s">
        <v>82</v>
      </c>
      <c r="M372" s="1" t="s">
        <v>88</v>
      </c>
      <c r="N372" s="1" t="s">
        <v>1215</v>
      </c>
      <c r="O372" s="1" t="s">
        <v>58</v>
      </c>
      <c r="P372" s="1">
        <v>7</v>
      </c>
      <c r="Q372" s="1">
        <v>2333.81</v>
      </c>
      <c r="R372" s="1">
        <v>0.2</v>
      </c>
      <c r="S372" s="1">
        <v>13069.34</v>
      </c>
      <c r="T372" s="1">
        <f t="shared" si="28"/>
        <v>13069.336000000001</v>
      </c>
      <c r="U372" s="1">
        <v>8768.59</v>
      </c>
      <c r="V372" s="3">
        <f>IF(T372=0,"",X372/T372)</f>
        <v>0.32907149988339124</v>
      </c>
      <c r="W372" s="1">
        <v>4300.75</v>
      </c>
      <c r="X372" s="1">
        <f>T372-U372</f>
        <v>4300.746000000001</v>
      </c>
      <c r="Y372" s="1" t="s">
        <v>40</v>
      </c>
      <c r="Z372" s="1" t="s">
        <v>41</v>
      </c>
      <c r="AA372" s="1">
        <f t="shared" si="25"/>
        <v>6</v>
      </c>
      <c r="AB372" s="2" t="str">
        <f t="shared" si="29"/>
        <v>Clean</v>
      </c>
      <c r="AC372" s="2"/>
    </row>
    <row r="373" spans="1:29">
      <c r="A373" s="1" t="s">
        <v>1216</v>
      </c>
      <c r="B373" s="2">
        <v>45313</v>
      </c>
      <c r="C373" s="2" t="str">
        <f t="shared" si="26"/>
        <v>January</v>
      </c>
      <c r="D373" s="1">
        <f t="shared" si="27"/>
        <v>2024</v>
      </c>
      <c r="E373" s="2">
        <v>45315</v>
      </c>
      <c r="F373" s="1" t="s">
        <v>1217</v>
      </c>
      <c r="G373" s="1" t="s">
        <v>170</v>
      </c>
      <c r="H373" s="1" t="s">
        <v>103</v>
      </c>
      <c r="I373" s="1" t="s">
        <v>71</v>
      </c>
      <c r="J373" s="1" t="s">
        <v>72</v>
      </c>
      <c r="K373" s="1" t="s">
        <v>73</v>
      </c>
      <c r="L373" s="1" t="s">
        <v>36</v>
      </c>
      <c r="M373" s="1" t="s">
        <v>56</v>
      </c>
      <c r="N373" s="1" t="s">
        <v>1218</v>
      </c>
      <c r="O373" s="1" t="s">
        <v>67</v>
      </c>
      <c r="P373" s="1">
        <v>6</v>
      </c>
      <c r="Q373" s="1">
        <v>1026.06</v>
      </c>
      <c r="R373" s="1">
        <v>0</v>
      </c>
      <c r="S373" s="1">
        <v>4617.2700000000004</v>
      </c>
      <c r="T373" s="1">
        <f t="shared" si="28"/>
        <v>6156.36</v>
      </c>
      <c r="U373" s="1">
        <v>2981.94</v>
      </c>
      <c r="V373" s="3">
        <f>IF(T373=0,"",X373/T373)</f>
        <v>0.51563261407714944</v>
      </c>
      <c r="W373" s="1">
        <v>1635.33</v>
      </c>
      <c r="X373" s="1">
        <f>T373-U373</f>
        <v>3174.4199999999996</v>
      </c>
      <c r="Y373" s="1" t="s">
        <v>110</v>
      </c>
      <c r="Z373" s="1" t="s">
        <v>76</v>
      </c>
      <c r="AA373" s="1">
        <f t="shared" si="25"/>
        <v>2</v>
      </c>
      <c r="AB373" s="2" t="str">
        <f t="shared" si="29"/>
        <v>Clean</v>
      </c>
      <c r="AC373" s="2"/>
    </row>
    <row r="374" spans="1:29">
      <c r="A374" s="1" t="s">
        <v>1219</v>
      </c>
      <c r="B374" s="2">
        <v>45885</v>
      </c>
      <c r="C374" s="2" t="str">
        <f t="shared" si="26"/>
        <v>August</v>
      </c>
      <c r="D374" s="1">
        <f t="shared" si="27"/>
        <v>2025</v>
      </c>
      <c r="E374" s="2">
        <v>45887</v>
      </c>
      <c r="F374" s="1" t="s">
        <v>645</v>
      </c>
      <c r="G374" s="1" t="s">
        <v>273</v>
      </c>
      <c r="H374" s="1" t="s">
        <v>32</v>
      </c>
      <c r="I374" s="1" t="s">
        <v>46</v>
      </c>
      <c r="J374" s="1" t="s">
        <v>237</v>
      </c>
      <c r="K374" s="1" t="s">
        <v>238</v>
      </c>
      <c r="L374" s="1" t="s">
        <v>49</v>
      </c>
      <c r="M374" s="1" t="s">
        <v>74</v>
      </c>
      <c r="N374" s="1" t="s">
        <v>1220</v>
      </c>
      <c r="O374" s="1" t="s">
        <v>52</v>
      </c>
      <c r="P374" s="1">
        <v>5</v>
      </c>
      <c r="Q374" s="1">
        <v>1530.36</v>
      </c>
      <c r="R374" s="1">
        <v>0</v>
      </c>
      <c r="S374" s="1">
        <v>7651.8</v>
      </c>
      <c r="T374" s="1">
        <f t="shared" si="28"/>
        <v>7651.7999999999993</v>
      </c>
      <c r="U374" s="1">
        <v>5171.78</v>
      </c>
      <c r="V374" s="3">
        <f>IF(T374=0,"",X374/T374)</f>
        <v>0.32410935988917638</v>
      </c>
      <c r="W374" s="1">
        <v>2480.02</v>
      </c>
      <c r="X374" s="1">
        <f>T374-U374</f>
        <v>2480.0199999999995</v>
      </c>
      <c r="Y374" s="1" t="s">
        <v>40</v>
      </c>
      <c r="Z374" s="1" t="s">
        <v>41</v>
      </c>
      <c r="AA374" s="1">
        <f t="shared" si="25"/>
        <v>2</v>
      </c>
      <c r="AB374" s="2" t="str">
        <f t="shared" si="29"/>
        <v>Clean</v>
      </c>
      <c r="AC374" s="2"/>
    </row>
    <row r="375" spans="1:29">
      <c r="A375" s="1" t="s">
        <v>1109</v>
      </c>
      <c r="B375" s="2">
        <v>45342</v>
      </c>
      <c r="C375" s="2" t="str">
        <f t="shared" si="26"/>
        <v>February</v>
      </c>
      <c r="D375" s="1">
        <f t="shared" si="27"/>
        <v>2024</v>
      </c>
      <c r="E375" s="2">
        <v>45349</v>
      </c>
      <c r="F375" s="1" t="s">
        <v>1110</v>
      </c>
      <c r="G375" s="1" t="s">
        <v>170</v>
      </c>
      <c r="H375" s="1" t="s">
        <v>32</v>
      </c>
      <c r="I375" s="1" t="s">
        <v>62</v>
      </c>
      <c r="J375" s="1" t="s">
        <v>193</v>
      </c>
      <c r="K375" s="1" t="s">
        <v>194</v>
      </c>
      <c r="L375" s="1" t="s">
        <v>82</v>
      </c>
      <c r="M375" s="1" t="s">
        <v>83</v>
      </c>
      <c r="N375" s="1" t="s">
        <v>1111</v>
      </c>
      <c r="O375" s="1" t="s">
        <v>58</v>
      </c>
      <c r="P375" s="1">
        <v>9</v>
      </c>
      <c r="Q375" s="1">
        <v>3779.31</v>
      </c>
      <c r="R375" s="1">
        <v>0.2</v>
      </c>
      <c r="S375" s="1">
        <v>27322.9</v>
      </c>
      <c r="T375" s="1">
        <f t="shared" si="28"/>
        <v>27211.032000000003</v>
      </c>
      <c r="U375" s="1">
        <v>17940.43</v>
      </c>
      <c r="V375" s="3">
        <f>IF(T375=0,"",X375/T375)</f>
        <v>0.34069277490100347</v>
      </c>
      <c r="W375" s="1">
        <v>9270.6</v>
      </c>
      <c r="X375" s="1">
        <f>T375-U375</f>
        <v>9270.6020000000026</v>
      </c>
      <c r="Y375" s="1" t="s">
        <v>40</v>
      </c>
      <c r="Z375" s="1" t="s">
        <v>111</v>
      </c>
      <c r="AA375" s="1">
        <f t="shared" si="25"/>
        <v>7</v>
      </c>
      <c r="AB375" s="2" t="str">
        <f t="shared" si="29"/>
        <v>Clean</v>
      </c>
      <c r="AC375" s="2" t="s">
        <v>392</v>
      </c>
    </row>
    <row r="376" spans="1:29">
      <c r="A376" s="1" t="s">
        <v>1221</v>
      </c>
      <c r="B376" s="2">
        <v>45715</v>
      </c>
      <c r="C376" s="2" t="str">
        <f t="shared" si="26"/>
        <v>February</v>
      </c>
      <c r="D376" s="1">
        <f t="shared" si="27"/>
        <v>2025</v>
      </c>
      <c r="E376" s="2">
        <v>45716</v>
      </c>
      <c r="F376" s="1" t="s">
        <v>1222</v>
      </c>
      <c r="G376" s="1" t="s">
        <v>97</v>
      </c>
      <c r="H376" s="1" t="s">
        <v>45</v>
      </c>
      <c r="I376" s="1" t="s">
        <v>33</v>
      </c>
      <c r="J376" s="1" t="s">
        <v>144</v>
      </c>
      <c r="K376" s="1" t="s">
        <v>145</v>
      </c>
      <c r="L376" s="1" t="s">
        <v>36</v>
      </c>
      <c r="M376" s="1" t="s">
        <v>99</v>
      </c>
      <c r="N376" s="1" t="s">
        <v>1223</v>
      </c>
      <c r="O376" s="1" t="s">
        <v>67</v>
      </c>
      <c r="P376" s="1">
        <v>6</v>
      </c>
      <c r="Q376" s="1">
        <v>2393.25</v>
      </c>
      <c r="R376" s="1">
        <v>0</v>
      </c>
      <c r="S376" s="1">
        <v>14359.5</v>
      </c>
      <c r="T376" s="1">
        <f t="shared" si="28"/>
        <v>14359.5</v>
      </c>
      <c r="U376" s="1">
        <v>8117.71</v>
      </c>
      <c r="V376" s="3">
        <f>IF(T376=0,"",X376/T376)</f>
        <v>0.43468017688638183</v>
      </c>
      <c r="W376" s="1">
        <v>6241.79</v>
      </c>
      <c r="X376" s="1">
        <f>T376-U376</f>
        <v>6241.79</v>
      </c>
      <c r="Y376" s="1" t="s">
        <v>40</v>
      </c>
      <c r="Z376" s="1" t="s">
        <v>41</v>
      </c>
      <c r="AA376" s="1">
        <f t="shared" si="25"/>
        <v>1</v>
      </c>
      <c r="AB376" s="2" t="str">
        <f t="shared" si="29"/>
        <v>Clean</v>
      </c>
      <c r="AC376" s="2"/>
    </row>
    <row r="377" spans="1:29">
      <c r="A377" s="1" t="s">
        <v>1224</v>
      </c>
      <c r="B377" s="2">
        <v>45657</v>
      </c>
      <c r="C377" s="2" t="str">
        <f t="shared" si="26"/>
        <v>December</v>
      </c>
      <c r="D377" s="1">
        <f t="shared" si="27"/>
        <v>2024</v>
      </c>
      <c r="E377" s="2">
        <v>45748</v>
      </c>
      <c r="F377" s="1" t="s">
        <v>1225</v>
      </c>
      <c r="G377" s="1" t="s">
        <v>79</v>
      </c>
      <c r="H377" s="1" t="s">
        <v>32</v>
      </c>
      <c r="I377" s="1" t="s">
        <v>33</v>
      </c>
      <c r="J377" s="1" t="s">
        <v>359</v>
      </c>
      <c r="K377" s="1" t="s">
        <v>360</v>
      </c>
      <c r="L377" s="1" t="s">
        <v>49</v>
      </c>
      <c r="M377" s="1" t="s">
        <v>74</v>
      </c>
      <c r="N377" s="1" t="s">
        <v>1226</v>
      </c>
      <c r="O377" s="1" t="s">
        <v>52</v>
      </c>
      <c r="P377" s="1">
        <v>3</v>
      </c>
      <c r="Q377" s="1">
        <v>1166.6099999999999</v>
      </c>
      <c r="R377" s="1">
        <v>0.25</v>
      </c>
      <c r="S377" s="1">
        <v>2624.87</v>
      </c>
      <c r="T377" s="1">
        <f t="shared" si="28"/>
        <v>2624.8724999999999</v>
      </c>
      <c r="U377" s="1">
        <v>2253.88</v>
      </c>
      <c r="V377" s="3">
        <f>IF(T377=0,"",X377/T377)</f>
        <v>0.14133734114704613</v>
      </c>
      <c r="W377" s="1">
        <v>370.99</v>
      </c>
      <c r="X377" s="1">
        <f>T377-U377</f>
        <v>370.99249999999984</v>
      </c>
      <c r="Y377" s="1" t="s">
        <v>40</v>
      </c>
      <c r="Z377" s="1" t="s">
        <v>41</v>
      </c>
      <c r="AA377" s="1">
        <f t="shared" si="25"/>
        <v>91</v>
      </c>
      <c r="AB377" s="2" t="str">
        <f t="shared" si="29"/>
        <v>Clean</v>
      </c>
      <c r="AC377" s="2"/>
    </row>
    <row r="378" spans="1:29">
      <c r="A378" s="1" t="s">
        <v>1227</v>
      </c>
      <c r="B378" s="2">
        <v>45655</v>
      </c>
      <c r="C378" s="2" t="str">
        <f t="shared" si="26"/>
        <v>December</v>
      </c>
      <c r="D378" s="1">
        <f t="shared" si="27"/>
        <v>2024</v>
      </c>
      <c r="E378" s="2">
        <v>45657</v>
      </c>
      <c r="F378" s="1" t="s">
        <v>1228</v>
      </c>
      <c r="G378" s="1" t="s">
        <v>55</v>
      </c>
      <c r="H378" s="1" t="s">
        <v>45</v>
      </c>
      <c r="I378" s="1" t="s">
        <v>46</v>
      </c>
      <c r="J378" s="1" t="s">
        <v>153</v>
      </c>
      <c r="K378" s="1" t="s">
        <v>154</v>
      </c>
      <c r="L378" s="1" t="s">
        <v>49</v>
      </c>
      <c r="M378" s="1" t="s">
        <v>74</v>
      </c>
      <c r="N378" s="1" t="s">
        <v>1229</v>
      </c>
      <c r="O378" s="1" t="s">
        <v>58</v>
      </c>
      <c r="P378" s="1">
        <v>6</v>
      </c>
      <c r="Q378" s="1">
        <v>1844.78</v>
      </c>
      <c r="R378" s="1">
        <v>0.2</v>
      </c>
      <c r="S378" s="1">
        <v>8854.94</v>
      </c>
      <c r="T378" s="1">
        <f t="shared" si="28"/>
        <v>8854.9440000000013</v>
      </c>
      <c r="U378" s="1">
        <v>7433.95</v>
      </c>
      <c r="V378" s="3">
        <f>IF(T378=0,"",X378/T378)</f>
        <v>0.1604746455765278</v>
      </c>
      <c r="W378" s="1">
        <v>1420.99</v>
      </c>
      <c r="X378" s="1">
        <f>T378-U378</f>
        <v>1420.9940000000015</v>
      </c>
      <c r="Y378" s="1" t="s">
        <v>40</v>
      </c>
      <c r="Z378" s="1" t="s">
        <v>41</v>
      </c>
      <c r="AA378" s="1">
        <f t="shared" si="25"/>
        <v>2</v>
      </c>
      <c r="AB378" s="2" t="str">
        <f t="shared" si="29"/>
        <v>Clean</v>
      </c>
      <c r="AC378" s="2"/>
    </row>
    <row r="379" spans="1:29">
      <c r="A379" s="1" t="s">
        <v>1230</v>
      </c>
      <c r="B379" s="2">
        <v>45801</v>
      </c>
      <c r="C379" s="2" t="str">
        <f t="shared" si="26"/>
        <v>May</v>
      </c>
      <c r="D379" s="1">
        <f t="shared" si="27"/>
        <v>2025</v>
      </c>
      <c r="E379" s="2">
        <v>45807</v>
      </c>
      <c r="F379" s="1" t="s">
        <v>1231</v>
      </c>
      <c r="G379" s="1" t="s">
        <v>273</v>
      </c>
      <c r="H379" s="1" t="s">
        <v>45</v>
      </c>
      <c r="I379" s="1" t="s">
        <v>46</v>
      </c>
      <c r="J379" s="1" t="s">
        <v>47</v>
      </c>
      <c r="K379" s="1" t="s">
        <v>48</v>
      </c>
      <c r="L379" s="1" t="s">
        <v>36</v>
      </c>
      <c r="M379" s="1" t="s">
        <v>132</v>
      </c>
      <c r="N379" s="1" t="s">
        <v>1232</v>
      </c>
      <c r="O379" s="1" t="s">
        <v>52</v>
      </c>
      <c r="P379" s="1">
        <v>1</v>
      </c>
      <c r="Q379" s="1">
        <v>2564.7399999999998</v>
      </c>
      <c r="R379" s="1">
        <v>0</v>
      </c>
      <c r="S379" s="1">
        <v>2564.7399999999998</v>
      </c>
      <c r="T379" s="1">
        <f t="shared" si="28"/>
        <v>2564.7399999999998</v>
      </c>
      <c r="U379" s="1">
        <v>1754.58</v>
      </c>
      <c r="V379" s="3">
        <f>IF(T379=0,"",X379/T379)</f>
        <v>0.31588387126960232</v>
      </c>
      <c r="W379" s="1">
        <v>810.16</v>
      </c>
      <c r="X379" s="1">
        <f>T379-U379</f>
        <v>810.15999999999985</v>
      </c>
      <c r="Y379" s="1" t="s">
        <v>40</v>
      </c>
      <c r="Z379" s="1" t="s">
        <v>41</v>
      </c>
      <c r="AA379" s="1">
        <f t="shared" si="25"/>
        <v>6</v>
      </c>
      <c r="AB379" s="2" t="str">
        <f t="shared" si="29"/>
        <v>Clean</v>
      </c>
      <c r="AC379" s="2"/>
    </row>
    <row r="380" spans="1:29">
      <c r="A380" s="1" t="s">
        <v>1233</v>
      </c>
      <c r="B380" s="2">
        <v>45799</v>
      </c>
      <c r="C380" s="2" t="str">
        <f t="shared" si="26"/>
        <v>May</v>
      </c>
      <c r="D380" s="1">
        <f t="shared" si="27"/>
        <v>2025</v>
      </c>
      <c r="E380" s="2">
        <v>45799</v>
      </c>
      <c r="F380" s="1" t="s">
        <v>1234</v>
      </c>
      <c r="G380" s="1" t="s">
        <v>44</v>
      </c>
      <c r="H380" s="1" t="s">
        <v>32</v>
      </c>
      <c r="I380" s="1" t="s">
        <v>71</v>
      </c>
      <c r="J380" s="1" t="s">
        <v>198</v>
      </c>
      <c r="K380" s="1" t="s">
        <v>199</v>
      </c>
      <c r="L380" s="1" t="s">
        <v>82</v>
      </c>
      <c r="M380" s="1" t="s">
        <v>83</v>
      </c>
      <c r="N380" s="1" t="s">
        <v>1235</v>
      </c>
      <c r="O380" s="1" t="s">
        <v>67</v>
      </c>
      <c r="P380" s="1">
        <v>2</v>
      </c>
      <c r="Q380" s="1">
        <v>3910.61</v>
      </c>
      <c r="R380" s="1">
        <v>0</v>
      </c>
      <c r="S380" s="1">
        <v>7821.22</v>
      </c>
      <c r="T380" s="1">
        <f t="shared" si="28"/>
        <v>7821.22</v>
      </c>
      <c r="U380" s="1">
        <v>4994.46</v>
      </c>
      <c r="V380" s="3">
        <f>IF(T380=0,"",X380/T380)</f>
        <v>0.36142187535959863</v>
      </c>
      <c r="W380" s="1">
        <v>2826.76</v>
      </c>
      <c r="X380" s="1">
        <f>T380-U380</f>
        <v>2826.76</v>
      </c>
      <c r="Y380" s="1" t="s">
        <v>40</v>
      </c>
      <c r="Z380" s="1" t="s">
        <v>41</v>
      </c>
      <c r="AA380" s="1">
        <f t="shared" si="25"/>
        <v>0</v>
      </c>
      <c r="AB380" s="2" t="str">
        <f t="shared" si="29"/>
        <v>Clean</v>
      </c>
      <c r="AC380" s="2"/>
    </row>
    <row r="381" spans="1:29">
      <c r="A381" s="1" t="s">
        <v>1236</v>
      </c>
      <c r="B381" s="2">
        <v>45554</v>
      </c>
      <c r="C381" s="2" t="str">
        <f t="shared" si="26"/>
        <v>September</v>
      </c>
      <c r="D381" s="1">
        <f t="shared" si="27"/>
        <v>2024</v>
      </c>
      <c r="E381" s="2">
        <v>45558</v>
      </c>
      <c r="F381" s="1" t="s">
        <v>1237</v>
      </c>
      <c r="G381" s="1" t="s">
        <v>44</v>
      </c>
      <c r="H381" s="1" t="s">
        <v>45</v>
      </c>
      <c r="I381" s="1" t="s">
        <v>62</v>
      </c>
      <c r="J381" s="1" t="s">
        <v>193</v>
      </c>
      <c r="K381" s="1" t="s">
        <v>194</v>
      </c>
      <c r="L381" s="1" t="s">
        <v>36</v>
      </c>
      <c r="M381" s="1" t="s">
        <v>37</v>
      </c>
      <c r="N381" s="1" t="s">
        <v>1238</v>
      </c>
      <c r="O381" s="1" t="s">
        <v>67</v>
      </c>
      <c r="P381" s="1">
        <v>7</v>
      </c>
      <c r="Q381" s="1">
        <v>1136.68</v>
      </c>
      <c r="R381" s="1">
        <v>0</v>
      </c>
      <c r="S381" s="1">
        <v>7956.76</v>
      </c>
      <c r="T381" s="1">
        <f t="shared" si="28"/>
        <v>7956.76</v>
      </c>
      <c r="U381" s="1">
        <v>4799.54</v>
      </c>
      <c r="V381" s="3">
        <f>IF(T381=0,"",X381/T381)</f>
        <v>0.39679718880549369</v>
      </c>
      <c r="W381" s="1">
        <v>3157.22</v>
      </c>
      <c r="X381" s="1">
        <f>T381-U381</f>
        <v>3157.2200000000003</v>
      </c>
      <c r="Y381" s="1" t="s">
        <v>40</v>
      </c>
      <c r="Z381" s="1" t="s">
        <v>41</v>
      </c>
      <c r="AA381" s="1">
        <f t="shared" si="25"/>
        <v>4</v>
      </c>
      <c r="AB381" s="2" t="str">
        <f t="shared" si="29"/>
        <v>Clean</v>
      </c>
      <c r="AC381" s="2"/>
    </row>
    <row r="382" spans="1:29">
      <c r="A382" s="1" t="s">
        <v>1239</v>
      </c>
      <c r="B382" s="2">
        <v>45477</v>
      </c>
      <c r="C382" s="2" t="str">
        <f t="shared" si="26"/>
        <v>July</v>
      </c>
      <c r="D382" s="1">
        <f t="shared" si="27"/>
        <v>2024</v>
      </c>
      <c r="E382" s="2">
        <v>45396</v>
      </c>
      <c r="F382" s="1" t="s">
        <v>1240</v>
      </c>
      <c r="G382" s="1" t="s">
        <v>79</v>
      </c>
      <c r="H382" s="1" t="s">
        <v>32</v>
      </c>
      <c r="I382" s="1" t="s">
        <v>71</v>
      </c>
      <c r="J382" s="1" t="s">
        <v>72</v>
      </c>
      <c r="K382" s="1" t="s">
        <v>73</v>
      </c>
      <c r="L382" s="1" t="s">
        <v>49</v>
      </c>
      <c r="M382" s="1" t="s">
        <v>166</v>
      </c>
      <c r="N382" s="1" t="s">
        <v>1241</v>
      </c>
      <c r="O382" s="1" t="s">
        <v>52</v>
      </c>
      <c r="P382" s="1">
        <v>5</v>
      </c>
      <c r="Q382" s="1">
        <v>2235.85</v>
      </c>
      <c r="R382" s="1">
        <v>0.25</v>
      </c>
      <c r="S382" s="1">
        <v>8384.44</v>
      </c>
      <c r="T382" s="1">
        <f t="shared" si="28"/>
        <v>8384.4375</v>
      </c>
      <c r="U382" s="1">
        <v>4765.96</v>
      </c>
      <c r="V382" s="3">
        <f>IF(T382=0,"",X382/T382)</f>
        <v>0.43157069272685256</v>
      </c>
      <c r="W382" s="1">
        <v>3618.48</v>
      </c>
      <c r="X382" s="1">
        <f>T382-U382</f>
        <v>3618.4775</v>
      </c>
      <c r="Y382" s="1" t="s">
        <v>40</v>
      </c>
      <c r="Z382" s="1" t="s">
        <v>111</v>
      </c>
      <c r="AA382" s="4">
        <f t="shared" si="25"/>
        <v>-81</v>
      </c>
      <c r="AB382" s="2" t="str">
        <f t="shared" si="29"/>
        <v>Invalid</v>
      </c>
      <c r="AC382" s="2"/>
    </row>
    <row r="383" spans="1:29">
      <c r="A383" s="1" t="s">
        <v>1242</v>
      </c>
      <c r="B383" s="2">
        <v>45919</v>
      </c>
      <c r="C383" s="2" t="str">
        <f t="shared" si="26"/>
        <v>September</v>
      </c>
      <c r="D383" s="1">
        <f t="shared" si="27"/>
        <v>2025</v>
      </c>
      <c r="E383" s="2">
        <v>45923</v>
      </c>
      <c r="F383" s="1" t="s">
        <v>1243</v>
      </c>
      <c r="G383" s="1" t="s">
        <v>61</v>
      </c>
      <c r="H383" s="1" t="s">
        <v>103</v>
      </c>
      <c r="I383" s="1" t="s">
        <v>33</v>
      </c>
      <c r="J383" s="1" t="s">
        <v>359</v>
      </c>
      <c r="K383" s="1" t="s">
        <v>360</v>
      </c>
      <c r="L383" s="1" t="s">
        <v>36</v>
      </c>
      <c r="M383" s="1" t="s">
        <v>161</v>
      </c>
      <c r="N383" s="1" t="s">
        <v>1244</v>
      </c>
      <c r="O383" s="1" t="s">
        <v>67</v>
      </c>
      <c r="P383" s="1">
        <v>4</v>
      </c>
      <c r="Q383" s="1">
        <v>4387.1499999999996</v>
      </c>
      <c r="R383" s="1">
        <v>0.05</v>
      </c>
      <c r="S383" s="1">
        <v>16671.169999999998</v>
      </c>
      <c r="T383" s="1">
        <f t="shared" si="28"/>
        <v>16671.169999999998</v>
      </c>
      <c r="U383" s="1">
        <v>10833.19</v>
      </c>
      <c r="V383" s="3">
        <f>IF(T383=0,"",X383/T383)</f>
        <v>0.35018418023450054</v>
      </c>
      <c r="W383" s="1">
        <v>5837.98</v>
      </c>
      <c r="X383" s="1">
        <f>T383-U383</f>
        <v>5837.9799999999977</v>
      </c>
      <c r="Y383" s="1" t="s">
        <v>163</v>
      </c>
      <c r="Z383" s="1" t="s">
        <v>76</v>
      </c>
      <c r="AA383" s="1">
        <f t="shared" si="25"/>
        <v>4</v>
      </c>
      <c r="AB383" s="2" t="str">
        <f t="shared" si="29"/>
        <v>Clean</v>
      </c>
      <c r="AC383" s="2"/>
    </row>
    <row r="384" spans="1:29">
      <c r="A384" s="1" t="s">
        <v>1245</v>
      </c>
      <c r="B384" s="2">
        <v>45750</v>
      </c>
      <c r="C384" s="2" t="str">
        <f t="shared" si="26"/>
        <v>April</v>
      </c>
      <c r="D384" s="1">
        <f t="shared" si="27"/>
        <v>2025</v>
      </c>
      <c r="E384" s="2">
        <v>45724</v>
      </c>
      <c r="F384" s="1" t="s">
        <v>165</v>
      </c>
      <c r="G384" s="1" t="s">
        <v>61</v>
      </c>
      <c r="H384" s="1" t="s">
        <v>45</v>
      </c>
      <c r="I384" s="1" t="s">
        <v>46</v>
      </c>
      <c r="J384" s="1" t="s">
        <v>153</v>
      </c>
      <c r="K384" s="1" t="s">
        <v>154</v>
      </c>
      <c r="L384" s="1" t="s">
        <v>82</v>
      </c>
      <c r="M384" s="1" t="s">
        <v>179</v>
      </c>
      <c r="N384" s="1" t="s">
        <v>1246</v>
      </c>
      <c r="O384" s="1" t="s">
        <v>58</v>
      </c>
      <c r="P384" s="1">
        <v>3</v>
      </c>
      <c r="Q384" s="1">
        <v>4361.8500000000004</v>
      </c>
      <c r="R384" s="1">
        <v>0.2</v>
      </c>
      <c r="S384" s="1">
        <v>10468.44</v>
      </c>
      <c r="T384" s="1">
        <f t="shared" si="28"/>
        <v>10468.440000000002</v>
      </c>
      <c r="U384" s="1">
        <v>8399.8700000000008</v>
      </c>
      <c r="V384" s="3">
        <f>IF(T384=0,"",X384/T384)</f>
        <v>0.19760059760575607</v>
      </c>
      <c r="W384" s="1">
        <v>2068.5700000000002</v>
      </c>
      <c r="X384" s="1">
        <f>T384-U384</f>
        <v>2068.5700000000015</v>
      </c>
      <c r="Y384" s="1" t="s">
        <v>40</v>
      </c>
      <c r="Z384" s="1" t="s">
        <v>41</v>
      </c>
      <c r="AA384" s="4">
        <f t="shared" si="25"/>
        <v>-26</v>
      </c>
      <c r="AB384" s="2" t="str">
        <f t="shared" si="29"/>
        <v>Invalid</v>
      </c>
      <c r="AC384" s="2"/>
    </row>
    <row r="385" spans="1:29">
      <c r="A385" s="1" t="s">
        <v>1247</v>
      </c>
      <c r="B385" s="2">
        <v>45836</v>
      </c>
      <c r="C385" s="2" t="str">
        <f t="shared" si="26"/>
        <v>June</v>
      </c>
      <c r="D385" s="1">
        <f t="shared" si="27"/>
        <v>2025</v>
      </c>
      <c r="E385" s="2">
        <v>45784</v>
      </c>
      <c r="F385" s="1" t="s">
        <v>1248</v>
      </c>
      <c r="G385" s="1" t="s">
        <v>79</v>
      </c>
      <c r="H385" s="1" t="s">
        <v>98</v>
      </c>
      <c r="I385" s="1" t="s">
        <v>46</v>
      </c>
      <c r="J385" s="1" t="s">
        <v>107</v>
      </c>
      <c r="K385" s="1" t="s">
        <v>108</v>
      </c>
      <c r="L385" s="1" t="s">
        <v>36</v>
      </c>
      <c r="M385" s="1" t="s">
        <v>56</v>
      </c>
      <c r="N385" s="1" t="s">
        <v>1249</v>
      </c>
      <c r="O385" s="1" t="s">
        <v>58</v>
      </c>
      <c r="P385" s="1">
        <v>2</v>
      </c>
      <c r="Q385" s="1">
        <v>2242.75</v>
      </c>
      <c r="R385" s="1">
        <v>0</v>
      </c>
      <c r="S385" s="1">
        <v>4485.5</v>
      </c>
      <c r="T385" s="1">
        <f t="shared" si="28"/>
        <v>4485.5</v>
      </c>
      <c r="U385" s="1">
        <v>3131.86</v>
      </c>
      <c r="V385" s="3">
        <f>IF(T385=0,"",X385/T385)</f>
        <v>0.30178129528480657</v>
      </c>
      <c r="W385" s="1">
        <v>1353.64</v>
      </c>
      <c r="X385" s="1">
        <f>T385-U385</f>
        <v>1353.6399999999999</v>
      </c>
      <c r="Y385" s="1" t="s">
        <v>40</v>
      </c>
      <c r="Z385" s="1" t="s">
        <v>76</v>
      </c>
      <c r="AA385" s="4">
        <f t="shared" si="25"/>
        <v>-52</v>
      </c>
      <c r="AB385" s="2" t="str">
        <f t="shared" si="29"/>
        <v>Invalid</v>
      </c>
      <c r="AC385" s="2"/>
    </row>
    <row r="386" spans="1:29">
      <c r="A386" s="1" t="s">
        <v>1250</v>
      </c>
      <c r="B386" s="2">
        <v>45366</v>
      </c>
      <c r="C386" s="2" t="str">
        <f t="shared" si="26"/>
        <v>March</v>
      </c>
      <c r="D386" s="1">
        <f t="shared" si="27"/>
        <v>2024</v>
      </c>
      <c r="E386" s="2">
        <v>45371</v>
      </c>
      <c r="F386" s="1" t="s">
        <v>1251</v>
      </c>
      <c r="G386" s="1" t="s">
        <v>149</v>
      </c>
      <c r="H386" s="1" t="s">
        <v>32</v>
      </c>
      <c r="I386" s="1" t="s">
        <v>46</v>
      </c>
      <c r="J386" s="1" t="s">
        <v>237</v>
      </c>
      <c r="K386" s="1" t="s">
        <v>238</v>
      </c>
      <c r="L386" s="1" t="s">
        <v>82</v>
      </c>
      <c r="M386" s="1" t="s">
        <v>88</v>
      </c>
      <c r="N386" s="1" t="s">
        <v>1252</v>
      </c>
      <c r="O386" s="1" t="s">
        <v>67</v>
      </c>
      <c r="P386" s="1">
        <v>2</v>
      </c>
      <c r="Q386" s="1">
        <v>1881.4</v>
      </c>
      <c r="R386" s="1">
        <v>0.25</v>
      </c>
      <c r="S386" s="1">
        <v>2822.1</v>
      </c>
      <c r="T386" s="1">
        <f t="shared" si="28"/>
        <v>2822.1000000000004</v>
      </c>
      <c r="U386" s="1">
        <v>1624.57</v>
      </c>
      <c r="V386" s="3">
        <f>IF(T386=0,"",X386/T386)</f>
        <v>0.42434003047376079</v>
      </c>
      <c r="W386" s="1">
        <v>1197.53</v>
      </c>
      <c r="X386" s="1">
        <f>T386-U386</f>
        <v>1197.5300000000004</v>
      </c>
      <c r="Y386" s="1" t="s">
        <v>40</v>
      </c>
      <c r="Z386" s="1" t="s">
        <v>111</v>
      </c>
      <c r="AA386" s="1">
        <f t="shared" ref="AA386:AA449" si="30">E386-B386</f>
        <v>5</v>
      </c>
      <c r="AB386" s="2" t="str">
        <f t="shared" si="29"/>
        <v>Clean</v>
      </c>
      <c r="AC386" s="2"/>
    </row>
    <row r="387" spans="1:29">
      <c r="A387" s="1" t="s">
        <v>1253</v>
      </c>
      <c r="B387" s="2">
        <v>45832</v>
      </c>
      <c r="C387" s="2" t="str">
        <f t="shared" ref="C387:C450" si="31">TEXT(B387,"mmmm")</f>
        <v>June</v>
      </c>
      <c r="D387" s="1">
        <f t="shared" ref="D387:D450" si="32">YEAR(B387)</f>
        <v>2025</v>
      </c>
      <c r="E387" s="2">
        <v>45838</v>
      </c>
      <c r="F387" s="1" t="s">
        <v>1254</v>
      </c>
      <c r="G387" s="1" t="s">
        <v>61</v>
      </c>
      <c r="H387" s="1" t="s">
        <v>32</v>
      </c>
      <c r="I387" s="1" t="s">
        <v>33</v>
      </c>
      <c r="J387" s="1" t="s">
        <v>245</v>
      </c>
      <c r="K387" s="1" t="s">
        <v>246</v>
      </c>
      <c r="L387" s="1" t="s">
        <v>36</v>
      </c>
      <c r="M387" s="1" t="s">
        <v>99</v>
      </c>
      <c r="N387" s="1" t="s">
        <v>1255</v>
      </c>
      <c r="O387" s="1" t="s">
        <v>67</v>
      </c>
      <c r="P387" s="1">
        <v>6</v>
      </c>
      <c r="Q387" s="1">
        <v>365.76</v>
      </c>
      <c r="R387" s="1">
        <v>0.1</v>
      </c>
      <c r="S387" s="1">
        <v>1975.1</v>
      </c>
      <c r="T387" s="1">
        <f t="shared" ref="T387:T450" si="33">P387*Q387*(1-R387)</f>
        <v>1975.104</v>
      </c>
      <c r="U387" s="1">
        <v>1115.3499999999999</v>
      </c>
      <c r="V387" s="3">
        <f>IF(T387=0,"",X387/T387)</f>
        <v>0.4352955591199249</v>
      </c>
      <c r="W387" s="1">
        <v>859.75</v>
      </c>
      <c r="X387" s="1">
        <f>T387-U387</f>
        <v>859.75400000000013</v>
      </c>
      <c r="Y387" s="1" t="s">
        <v>40</v>
      </c>
      <c r="Z387" s="1" t="s">
        <v>41</v>
      </c>
      <c r="AA387" s="1">
        <f t="shared" si="30"/>
        <v>6</v>
      </c>
      <c r="AB387" s="2" t="str">
        <f t="shared" ref="AB387:AB450" si="34">IF(OR(AA387&lt;0,R387&lt;0),"Invalid",IF(OR(I387="Unknown",O387="Unknown"),"Warning","Clean"))</f>
        <v>Clean</v>
      </c>
      <c r="AC387" s="2"/>
    </row>
    <row r="388" spans="1:29">
      <c r="A388" s="1" t="s">
        <v>1256</v>
      </c>
      <c r="B388" s="2">
        <v>45700</v>
      </c>
      <c r="C388" s="2" t="str">
        <f t="shared" si="31"/>
        <v>February</v>
      </c>
      <c r="D388" s="1">
        <f t="shared" si="32"/>
        <v>2025</v>
      </c>
      <c r="E388" s="2">
        <v>45702</v>
      </c>
      <c r="F388" s="1" t="s">
        <v>1257</v>
      </c>
      <c r="G388" s="1" t="s">
        <v>140</v>
      </c>
      <c r="H388" s="1" t="s">
        <v>32</v>
      </c>
      <c r="I388" s="1" t="s">
        <v>71</v>
      </c>
      <c r="J388" s="1" t="s">
        <v>72</v>
      </c>
      <c r="K388" s="1" t="s">
        <v>73</v>
      </c>
      <c r="L388" s="1" t="s">
        <v>49</v>
      </c>
      <c r="M388" s="1" t="s">
        <v>65</v>
      </c>
      <c r="N388" s="1" t="s">
        <v>1258</v>
      </c>
      <c r="O388" s="1" t="s">
        <v>39</v>
      </c>
      <c r="P388" s="1">
        <v>8</v>
      </c>
      <c r="Q388" s="1">
        <v>2786.66</v>
      </c>
      <c r="R388" s="1">
        <v>0.1</v>
      </c>
      <c r="S388" s="1">
        <v>20063.95</v>
      </c>
      <c r="T388" s="1">
        <f t="shared" si="33"/>
        <v>20063.952000000001</v>
      </c>
      <c r="U388" s="1">
        <v>14363.38</v>
      </c>
      <c r="V388" s="3">
        <f>IF(T388=0,"",X388/T388)</f>
        <v>0.2841200975759911</v>
      </c>
      <c r="W388" s="1">
        <v>5700.57</v>
      </c>
      <c r="X388" s="1">
        <f>T388-U388</f>
        <v>5700.5720000000019</v>
      </c>
      <c r="Y388" s="1" t="s">
        <v>40</v>
      </c>
      <c r="Z388" s="1" t="s">
        <v>41</v>
      </c>
      <c r="AA388" s="1">
        <f t="shared" si="30"/>
        <v>2</v>
      </c>
      <c r="AB388" s="2" t="str">
        <f t="shared" si="34"/>
        <v>Clean</v>
      </c>
      <c r="AC388" s="2"/>
    </row>
    <row r="389" spans="1:29">
      <c r="A389" s="1" t="s">
        <v>1259</v>
      </c>
      <c r="B389" s="2">
        <v>45938</v>
      </c>
      <c r="C389" s="2" t="str">
        <f t="shared" si="31"/>
        <v>October</v>
      </c>
      <c r="D389" s="1">
        <f t="shared" si="32"/>
        <v>2025</v>
      </c>
      <c r="E389" s="2">
        <v>45882</v>
      </c>
      <c r="F389" s="1" t="s">
        <v>1260</v>
      </c>
      <c r="G389" s="1" t="s">
        <v>122</v>
      </c>
      <c r="H389" s="1" t="s">
        <v>45</v>
      </c>
      <c r="I389" s="1" t="s">
        <v>71</v>
      </c>
      <c r="J389" s="1" t="s">
        <v>80</v>
      </c>
      <c r="K389" s="1" t="s">
        <v>81</v>
      </c>
      <c r="L389" s="1" t="s">
        <v>49</v>
      </c>
      <c r="M389" s="1" t="s">
        <v>74</v>
      </c>
      <c r="N389" s="1" t="s">
        <v>1261</v>
      </c>
      <c r="O389" s="1" t="s">
        <v>67</v>
      </c>
      <c r="P389" s="1">
        <v>5</v>
      </c>
      <c r="Q389" s="1">
        <v>352.86</v>
      </c>
      <c r="R389" s="1">
        <v>0</v>
      </c>
      <c r="S389" s="1">
        <v>1764.3</v>
      </c>
      <c r="T389" s="1">
        <f t="shared" si="33"/>
        <v>1764.3000000000002</v>
      </c>
      <c r="U389" s="1">
        <v>1332.49</v>
      </c>
      <c r="V389" s="3">
        <f>IF(T389=0,"",X389/T389)</f>
        <v>0.24474862551720236</v>
      </c>
      <c r="W389" s="1">
        <v>431.81</v>
      </c>
      <c r="X389" s="1">
        <f>T389-U389</f>
        <v>431.81000000000017</v>
      </c>
      <c r="Y389" s="1" t="s">
        <v>119</v>
      </c>
      <c r="Z389" s="1" t="s">
        <v>76</v>
      </c>
      <c r="AA389" s="4">
        <f t="shared" si="30"/>
        <v>-56</v>
      </c>
      <c r="AB389" s="2" t="str">
        <f t="shared" si="34"/>
        <v>Invalid</v>
      </c>
      <c r="AC389" s="2"/>
    </row>
    <row r="390" spans="1:29">
      <c r="A390" s="1" t="s">
        <v>1262</v>
      </c>
      <c r="B390" s="2">
        <v>45425</v>
      </c>
      <c r="C390" s="2" t="str">
        <f t="shared" si="31"/>
        <v>May</v>
      </c>
      <c r="D390" s="1">
        <f t="shared" si="32"/>
        <v>2024</v>
      </c>
      <c r="E390" s="2">
        <v>45430</v>
      </c>
      <c r="F390" s="1" t="s">
        <v>1263</v>
      </c>
      <c r="G390" s="1" t="s">
        <v>55</v>
      </c>
      <c r="H390" s="1" t="s">
        <v>45</v>
      </c>
      <c r="I390" s="1" t="s">
        <v>71</v>
      </c>
      <c r="J390" s="1" t="s">
        <v>188</v>
      </c>
      <c r="K390" s="1" t="s">
        <v>189</v>
      </c>
      <c r="L390" s="1" t="s">
        <v>49</v>
      </c>
      <c r="M390" s="1" t="s">
        <v>74</v>
      </c>
      <c r="N390" s="1" t="s">
        <v>1264</v>
      </c>
      <c r="O390" s="1" t="s">
        <v>67</v>
      </c>
      <c r="P390" s="1">
        <v>3</v>
      </c>
      <c r="Q390" s="1">
        <v>3128.59</v>
      </c>
      <c r="R390" s="1">
        <v>0</v>
      </c>
      <c r="S390" s="1">
        <v>9385.77</v>
      </c>
      <c r="T390" s="1">
        <f t="shared" si="33"/>
        <v>9385.77</v>
      </c>
      <c r="U390" s="1">
        <v>6872.44</v>
      </c>
      <c r="V390" s="3">
        <f>IF(T390=0,"",X390/T390)</f>
        <v>0.26778090662779941</v>
      </c>
      <c r="W390" s="1">
        <v>2783.66</v>
      </c>
      <c r="X390" s="1">
        <f>T390-U390</f>
        <v>2513.3300000000008</v>
      </c>
      <c r="Y390" s="1" t="s">
        <v>40</v>
      </c>
      <c r="Z390" s="1" t="s">
        <v>41</v>
      </c>
      <c r="AA390" s="1">
        <f t="shared" si="30"/>
        <v>5</v>
      </c>
      <c r="AB390" s="2" t="str">
        <f t="shared" si="34"/>
        <v>Clean</v>
      </c>
      <c r="AC390" s="2"/>
    </row>
    <row r="391" spans="1:29">
      <c r="A391" s="1" t="s">
        <v>1265</v>
      </c>
      <c r="B391" s="2">
        <v>45416</v>
      </c>
      <c r="C391" s="2" t="str">
        <f t="shared" si="31"/>
        <v>May</v>
      </c>
      <c r="D391" s="1">
        <f t="shared" si="32"/>
        <v>2024</v>
      </c>
      <c r="E391" s="2">
        <v>45395</v>
      </c>
      <c r="F391" s="1" t="s">
        <v>1266</v>
      </c>
      <c r="G391" s="1" t="s">
        <v>170</v>
      </c>
      <c r="H391" s="1" t="s">
        <v>98</v>
      </c>
      <c r="I391" s="1" t="s">
        <v>71</v>
      </c>
      <c r="J391" s="1" t="s">
        <v>188</v>
      </c>
      <c r="K391" s="1" t="s">
        <v>189</v>
      </c>
      <c r="L391" s="1" t="s">
        <v>82</v>
      </c>
      <c r="M391" s="1" t="s">
        <v>283</v>
      </c>
      <c r="N391" s="1" t="s">
        <v>1267</v>
      </c>
      <c r="O391" s="1" t="s">
        <v>39</v>
      </c>
      <c r="P391" s="1">
        <v>5</v>
      </c>
      <c r="Q391" s="1">
        <v>1937.54</v>
      </c>
      <c r="R391" s="1">
        <v>0.2</v>
      </c>
      <c r="S391" s="1">
        <v>7750.16</v>
      </c>
      <c r="T391" s="1">
        <f t="shared" si="33"/>
        <v>7750.1600000000008</v>
      </c>
      <c r="U391" s="1">
        <v>5434.3</v>
      </c>
      <c r="V391" s="3">
        <f>IF(T391=0,"",X391/T391)</f>
        <v>0.29881447608823564</v>
      </c>
      <c r="W391" s="1">
        <v>2315.86</v>
      </c>
      <c r="X391" s="1">
        <f>T391-U391</f>
        <v>2315.8600000000006</v>
      </c>
      <c r="Y391" s="1" t="s">
        <v>119</v>
      </c>
      <c r="Z391" s="1" t="s">
        <v>76</v>
      </c>
      <c r="AA391" s="4">
        <f t="shared" si="30"/>
        <v>-21</v>
      </c>
      <c r="AB391" s="2" t="str">
        <f t="shared" si="34"/>
        <v>Invalid</v>
      </c>
      <c r="AC391" s="2"/>
    </row>
    <row r="392" spans="1:29">
      <c r="A392" s="1" t="s">
        <v>1268</v>
      </c>
      <c r="B392" s="2">
        <v>45454</v>
      </c>
      <c r="C392" s="2" t="str">
        <f t="shared" si="31"/>
        <v>June</v>
      </c>
      <c r="D392" s="1">
        <f t="shared" si="32"/>
        <v>2024</v>
      </c>
      <c r="E392" s="2">
        <v>45607</v>
      </c>
      <c r="F392" s="1" t="s">
        <v>1269</v>
      </c>
      <c r="G392" s="1" t="s">
        <v>55</v>
      </c>
      <c r="H392" s="1" t="s">
        <v>32</v>
      </c>
      <c r="I392" s="1" t="s">
        <v>71</v>
      </c>
      <c r="J392" s="1" t="s">
        <v>188</v>
      </c>
      <c r="K392" s="1" t="s">
        <v>189</v>
      </c>
      <c r="L392" s="1" t="s">
        <v>49</v>
      </c>
      <c r="M392" s="1" t="s">
        <v>65</v>
      </c>
      <c r="N392" s="1" t="s">
        <v>1270</v>
      </c>
      <c r="O392" s="1" t="s">
        <v>67</v>
      </c>
      <c r="P392" s="1">
        <v>4</v>
      </c>
      <c r="Q392" s="1">
        <v>1917.26</v>
      </c>
      <c r="R392" s="1">
        <v>0.2</v>
      </c>
      <c r="S392" s="1">
        <v>6135.23</v>
      </c>
      <c r="T392" s="1">
        <f t="shared" si="33"/>
        <v>6135.232</v>
      </c>
      <c r="U392" s="1">
        <v>3439.79</v>
      </c>
      <c r="V392" s="3">
        <f>IF(T392=0,"",X392/T392)</f>
        <v>0.43933823529411764</v>
      </c>
      <c r="W392" s="1">
        <v>2695.44</v>
      </c>
      <c r="X392" s="1">
        <f>T392-U392</f>
        <v>2695.442</v>
      </c>
      <c r="Y392" s="1" t="s">
        <v>40</v>
      </c>
      <c r="Z392" s="1" t="s">
        <v>41</v>
      </c>
      <c r="AA392" s="1">
        <f t="shared" si="30"/>
        <v>153</v>
      </c>
      <c r="AB392" s="2" t="str">
        <f t="shared" si="34"/>
        <v>Clean</v>
      </c>
      <c r="AC392" s="2"/>
    </row>
    <row r="393" spans="1:29">
      <c r="A393" s="1" t="s">
        <v>1271</v>
      </c>
      <c r="B393" s="2">
        <v>45702</v>
      </c>
      <c r="C393" s="2" t="str">
        <f t="shared" si="31"/>
        <v>February</v>
      </c>
      <c r="D393" s="1">
        <f t="shared" si="32"/>
        <v>2025</v>
      </c>
      <c r="E393" s="2">
        <v>45702</v>
      </c>
      <c r="F393" s="1" t="s">
        <v>1272</v>
      </c>
      <c r="G393" s="1" t="s">
        <v>170</v>
      </c>
      <c r="H393" s="1" t="s">
        <v>32</v>
      </c>
      <c r="I393" s="1" t="s">
        <v>62</v>
      </c>
      <c r="J393" s="1" t="s">
        <v>183</v>
      </c>
      <c r="K393" s="1" t="s">
        <v>184</v>
      </c>
      <c r="L393" s="1" t="s">
        <v>36</v>
      </c>
      <c r="M393" s="1" t="s">
        <v>132</v>
      </c>
      <c r="N393" s="1" t="s">
        <v>1273</v>
      </c>
      <c r="O393" s="1" t="s">
        <v>58</v>
      </c>
      <c r="P393" s="1">
        <v>1</v>
      </c>
      <c r="Q393" s="1">
        <v>714.43</v>
      </c>
      <c r="R393" s="1">
        <v>0</v>
      </c>
      <c r="S393" s="1">
        <v>714.43</v>
      </c>
      <c r="T393" s="1">
        <f t="shared" si="33"/>
        <v>714.43</v>
      </c>
      <c r="U393" s="1">
        <v>565.44000000000005</v>
      </c>
      <c r="V393" s="3">
        <f>IF(T393=0,"",X393/T393)</f>
        <v>0.20854387413742412</v>
      </c>
      <c r="W393" s="1">
        <v>148.99</v>
      </c>
      <c r="X393" s="1">
        <f>T393-U393</f>
        <v>148.9899999999999</v>
      </c>
      <c r="Y393" s="1" t="s">
        <v>40</v>
      </c>
      <c r="Z393" s="1" t="s">
        <v>41</v>
      </c>
      <c r="AA393" s="1">
        <f t="shared" si="30"/>
        <v>0</v>
      </c>
      <c r="AB393" s="2" t="str">
        <f t="shared" si="34"/>
        <v>Clean</v>
      </c>
      <c r="AC393" s="2"/>
    </row>
    <row r="394" spans="1:29">
      <c r="A394" s="1" t="s">
        <v>1274</v>
      </c>
      <c r="B394" s="2">
        <v>45341</v>
      </c>
      <c r="C394" s="2" t="str">
        <f t="shared" si="31"/>
        <v>February</v>
      </c>
      <c r="D394" s="1">
        <f t="shared" si="32"/>
        <v>2024</v>
      </c>
      <c r="E394" s="2">
        <v>45344</v>
      </c>
      <c r="F394" s="1" t="s">
        <v>1275</v>
      </c>
      <c r="G394" s="1" t="s">
        <v>97</v>
      </c>
      <c r="H394" s="1" t="s">
        <v>45</v>
      </c>
      <c r="I394" s="1" t="s">
        <v>62</v>
      </c>
      <c r="J394" s="1" t="s">
        <v>193</v>
      </c>
      <c r="K394" s="1" t="s">
        <v>194</v>
      </c>
      <c r="L394" s="1" t="s">
        <v>49</v>
      </c>
      <c r="M394" s="1" t="s">
        <v>65</v>
      </c>
      <c r="N394" s="1" t="s">
        <v>1276</v>
      </c>
      <c r="O394" s="1" t="s">
        <v>52</v>
      </c>
      <c r="P394" s="1">
        <v>9</v>
      </c>
      <c r="Q394" s="1">
        <v>4053.01</v>
      </c>
      <c r="R394" s="1">
        <v>0</v>
      </c>
      <c r="S394" s="1">
        <v>36477.089999999997</v>
      </c>
      <c r="T394" s="1">
        <f t="shared" si="33"/>
        <v>36477.090000000004</v>
      </c>
      <c r="U394" s="1">
        <v>24525.48</v>
      </c>
      <c r="V394" s="3">
        <f>IF(T394=0,"",X394/T394)</f>
        <v>0.32764702447481425</v>
      </c>
      <c r="W394" s="1">
        <v>11951.61</v>
      </c>
      <c r="X394" s="1">
        <f>T394-U394</f>
        <v>11951.610000000004</v>
      </c>
      <c r="Y394" s="1" t="s">
        <v>40</v>
      </c>
      <c r="Z394" s="1" t="s">
        <v>41</v>
      </c>
      <c r="AA394" s="1">
        <f t="shared" si="30"/>
        <v>3</v>
      </c>
      <c r="AB394" s="2" t="str">
        <f t="shared" si="34"/>
        <v>Clean</v>
      </c>
      <c r="AC394" s="2"/>
    </row>
    <row r="395" spans="1:29">
      <c r="A395" s="1" t="s">
        <v>1277</v>
      </c>
      <c r="B395" s="2">
        <v>45527</v>
      </c>
      <c r="C395" s="2" t="str">
        <f t="shared" si="31"/>
        <v>August</v>
      </c>
      <c r="D395" s="1">
        <f t="shared" si="32"/>
        <v>2024</v>
      </c>
      <c r="E395" s="2">
        <v>45533</v>
      </c>
      <c r="F395" s="1" t="s">
        <v>1278</v>
      </c>
      <c r="G395" s="1" t="s">
        <v>44</v>
      </c>
      <c r="H395" s="1" t="s">
        <v>98</v>
      </c>
      <c r="I395" s="1" t="s">
        <v>33</v>
      </c>
      <c r="J395" s="1" t="s">
        <v>144</v>
      </c>
      <c r="K395" s="1" t="s">
        <v>145</v>
      </c>
      <c r="L395" s="1" t="s">
        <v>36</v>
      </c>
      <c r="M395" s="1" t="s">
        <v>99</v>
      </c>
      <c r="N395" s="1" t="s">
        <v>1279</v>
      </c>
      <c r="O395" s="1" t="s">
        <v>52</v>
      </c>
      <c r="P395" s="1">
        <v>2</v>
      </c>
      <c r="Q395" s="1">
        <v>1936.91</v>
      </c>
      <c r="R395" s="1">
        <v>0.05</v>
      </c>
      <c r="S395" s="1">
        <v>3680.13</v>
      </c>
      <c r="T395" s="1">
        <f t="shared" si="33"/>
        <v>3680.1289999999999</v>
      </c>
      <c r="U395" s="1">
        <v>2967.46</v>
      </c>
      <c r="V395" s="3">
        <f>IF(T395=0,"",X395/T395)</f>
        <v>0.19365326595888346</v>
      </c>
      <c r="W395" s="1">
        <v>712.67</v>
      </c>
      <c r="X395" s="1">
        <f>T395-U395</f>
        <v>712.66899999999987</v>
      </c>
      <c r="Y395" s="1" t="s">
        <v>40</v>
      </c>
      <c r="Z395" s="1" t="s">
        <v>41</v>
      </c>
      <c r="AA395" s="1">
        <f t="shared" si="30"/>
        <v>6</v>
      </c>
      <c r="AB395" s="2" t="str">
        <f t="shared" si="34"/>
        <v>Clean</v>
      </c>
      <c r="AC395" s="2"/>
    </row>
    <row r="396" spans="1:29">
      <c r="A396" s="1" t="s">
        <v>1280</v>
      </c>
      <c r="B396" s="2">
        <v>45355</v>
      </c>
      <c r="C396" s="2" t="str">
        <f t="shared" si="31"/>
        <v>March</v>
      </c>
      <c r="D396" s="1">
        <f t="shared" si="32"/>
        <v>2024</v>
      </c>
      <c r="E396" s="2">
        <v>45386</v>
      </c>
      <c r="F396" s="1" t="s">
        <v>1281</v>
      </c>
      <c r="G396" s="1" t="s">
        <v>273</v>
      </c>
      <c r="H396" s="1" t="s">
        <v>32</v>
      </c>
      <c r="I396" s="1" t="s">
        <v>71</v>
      </c>
      <c r="J396" s="1" t="s">
        <v>72</v>
      </c>
      <c r="K396" s="1" t="s">
        <v>73</v>
      </c>
      <c r="L396" s="1" t="s">
        <v>49</v>
      </c>
      <c r="M396" s="1" t="s">
        <v>65</v>
      </c>
      <c r="N396" s="1" t="s">
        <v>1282</v>
      </c>
      <c r="O396" s="1" t="s">
        <v>58</v>
      </c>
      <c r="P396" s="1">
        <v>7</v>
      </c>
      <c r="Q396" s="1">
        <v>3945.21</v>
      </c>
      <c r="R396" s="1">
        <v>0</v>
      </c>
      <c r="S396" s="1">
        <v>27616.47</v>
      </c>
      <c r="T396" s="1">
        <f t="shared" si="33"/>
        <v>27616.47</v>
      </c>
      <c r="U396" s="1">
        <v>21225.26</v>
      </c>
      <c r="V396" s="3">
        <f>IF(T396=0,"",X396/T396)</f>
        <v>0.23142747787823725</v>
      </c>
      <c r="W396" s="1">
        <v>6391.21</v>
      </c>
      <c r="X396" s="1">
        <f>T396-U396</f>
        <v>6391.2100000000028</v>
      </c>
      <c r="Y396" s="1" t="s">
        <v>40</v>
      </c>
      <c r="Z396" s="1" t="s">
        <v>41</v>
      </c>
      <c r="AA396" s="1">
        <f t="shared" si="30"/>
        <v>31</v>
      </c>
      <c r="AB396" s="2" t="str">
        <f t="shared" si="34"/>
        <v>Clean</v>
      </c>
      <c r="AC396" s="2"/>
    </row>
    <row r="397" spans="1:29">
      <c r="A397" s="1" t="s">
        <v>1283</v>
      </c>
      <c r="B397" s="2">
        <v>45449</v>
      </c>
      <c r="C397" s="2" t="str">
        <f t="shared" si="31"/>
        <v>June</v>
      </c>
      <c r="D397" s="1">
        <f t="shared" si="32"/>
        <v>2024</v>
      </c>
      <c r="E397" s="2">
        <v>45450</v>
      </c>
      <c r="F397" s="1" t="s">
        <v>1284</v>
      </c>
      <c r="G397" s="1" t="s">
        <v>126</v>
      </c>
      <c r="H397" s="1" t="s">
        <v>103</v>
      </c>
      <c r="I397" s="1" t="s">
        <v>62</v>
      </c>
      <c r="J397" s="1" t="s">
        <v>256</v>
      </c>
      <c r="K397" s="1" t="s">
        <v>257</v>
      </c>
      <c r="L397" s="1" t="s">
        <v>49</v>
      </c>
      <c r="M397" s="1" t="s">
        <v>50</v>
      </c>
      <c r="N397" s="1" t="s">
        <v>1285</v>
      </c>
      <c r="O397" s="1" t="s">
        <v>52</v>
      </c>
      <c r="P397" s="1">
        <v>7</v>
      </c>
      <c r="Q397" s="1">
        <v>861.91</v>
      </c>
      <c r="R397" s="1">
        <v>0.05</v>
      </c>
      <c r="S397" s="1">
        <v>5731.7</v>
      </c>
      <c r="T397" s="1">
        <f t="shared" si="33"/>
        <v>5731.7014999999992</v>
      </c>
      <c r="U397" s="1">
        <v>4115.5600000000004</v>
      </c>
      <c r="V397" s="3">
        <f>IF(T397=0,"",X397/T397)</f>
        <v>0.28196539893084088</v>
      </c>
      <c r="W397" s="1">
        <v>1616.14</v>
      </c>
      <c r="X397" s="1">
        <f>T397-U397</f>
        <v>1616.1414999999988</v>
      </c>
      <c r="Y397" s="1" t="s">
        <v>40</v>
      </c>
      <c r="Z397" s="1" t="s">
        <v>41</v>
      </c>
      <c r="AA397" s="1">
        <f t="shared" si="30"/>
        <v>1</v>
      </c>
      <c r="AB397" s="2" t="str">
        <f t="shared" si="34"/>
        <v>Clean</v>
      </c>
      <c r="AC397" s="2"/>
    </row>
    <row r="398" spans="1:29">
      <c r="A398" s="1" t="s">
        <v>1286</v>
      </c>
      <c r="B398" s="2">
        <v>45761</v>
      </c>
      <c r="C398" s="2" t="str">
        <f t="shared" si="31"/>
        <v>April</v>
      </c>
      <c r="D398" s="1">
        <f t="shared" si="32"/>
        <v>2025</v>
      </c>
      <c r="E398" s="2">
        <v>45769</v>
      </c>
      <c r="F398" s="1" t="s">
        <v>1287</v>
      </c>
      <c r="G398" s="1" t="s">
        <v>97</v>
      </c>
      <c r="H398" s="1" t="s">
        <v>45</v>
      </c>
      <c r="I398" s="1" t="s">
        <v>62</v>
      </c>
      <c r="J398" s="1" t="s">
        <v>183</v>
      </c>
      <c r="K398" s="1" t="s">
        <v>184</v>
      </c>
      <c r="L398" s="1" t="s">
        <v>82</v>
      </c>
      <c r="M398" s="1" t="s">
        <v>283</v>
      </c>
      <c r="N398" s="1" t="s">
        <v>1288</v>
      </c>
      <c r="O398" s="1" t="s">
        <v>67</v>
      </c>
      <c r="P398" s="1">
        <v>2</v>
      </c>
      <c r="Q398" s="1">
        <v>638.73</v>
      </c>
      <c r="R398" s="1">
        <v>0.05</v>
      </c>
      <c r="S398" s="1">
        <v>1213.5899999999999</v>
      </c>
      <c r="T398" s="1">
        <f t="shared" si="33"/>
        <v>1213.587</v>
      </c>
      <c r="U398" s="1">
        <v>956.22</v>
      </c>
      <c r="V398" s="3">
        <f>IF(T398=0,"",X398/T398)</f>
        <v>0.21207132245154239</v>
      </c>
      <c r="W398" s="1">
        <v>257.37</v>
      </c>
      <c r="X398" s="1">
        <f>T398-U398</f>
        <v>257.36699999999996</v>
      </c>
      <c r="Y398" s="1" t="s">
        <v>40</v>
      </c>
      <c r="Z398" s="1" t="s">
        <v>41</v>
      </c>
      <c r="AA398" s="1">
        <f t="shared" si="30"/>
        <v>8</v>
      </c>
      <c r="AB398" s="2" t="str">
        <f t="shared" si="34"/>
        <v>Clean</v>
      </c>
      <c r="AC398" s="2"/>
    </row>
    <row r="399" spans="1:29">
      <c r="A399" s="1" t="s">
        <v>1289</v>
      </c>
      <c r="B399" s="2">
        <v>45906</v>
      </c>
      <c r="C399" s="2" t="str">
        <f t="shared" si="31"/>
        <v>September</v>
      </c>
      <c r="D399" s="1">
        <f t="shared" si="32"/>
        <v>2025</v>
      </c>
      <c r="E399" s="2">
        <v>45936</v>
      </c>
      <c r="F399" s="1" t="s">
        <v>1290</v>
      </c>
      <c r="G399" s="1" t="s">
        <v>140</v>
      </c>
      <c r="H399" s="1" t="s">
        <v>45</v>
      </c>
      <c r="I399" s="1" t="s">
        <v>33</v>
      </c>
      <c r="J399" s="1" t="s">
        <v>144</v>
      </c>
      <c r="K399" s="1" t="s">
        <v>145</v>
      </c>
      <c r="L399" s="1" t="s">
        <v>49</v>
      </c>
      <c r="M399" s="1" t="s">
        <v>50</v>
      </c>
      <c r="N399" s="1" t="s">
        <v>1291</v>
      </c>
      <c r="O399" s="1" t="s">
        <v>39</v>
      </c>
      <c r="P399" s="1">
        <v>2</v>
      </c>
      <c r="Q399" s="1">
        <v>1731.88</v>
      </c>
      <c r="R399" s="1">
        <v>0</v>
      </c>
      <c r="S399" s="1">
        <v>3463.76</v>
      </c>
      <c r="T399" s="1">
        <f t="shared" si="33"/>
        <v>3463.76</v>
      </c>
      <c r="U399" s="1">
        <v>2143.7399999999998</v>
      </c>
      <c r="V399" s="3">
        <f>IF(T399=0,"",X399/T399)</f>
        <v>0.38109453310852959</v>
      </c>
      <c r="W399" s="1">
        <v>1320.02</v>
      </c>
      <c r="X399" s="1">
        <f>T399-U399</f>
        <v>1320.0200000000004</v>
      </c>
      <c r="Y399" s="1" t="s">
        <v>40</v>
      </c>
      <c r="Z399" s="1" t="s">
        <v>41</v>
      </c>
      <c r="AA399" s="1">
        <f t="shared" si="30"/>
        <v>30</v>
      </c>
      <c r="AB399" s="2" t="str">
        <f t="shared" si="34"/>
        <v>Clean</v>
      </c>
      <c r="AC399" s="2"/>
    </row>
    <row r="400" spans="1:29">
      <c r="A400" s="1" t="s">
        <v>1292</v>
      </c>
      <c r="B400" s="2">
        <v>45492</v>
      </c>
      <c r="C400" s="2" t="str">
        <f t="shared" si="31"/>
        <v>July</v>
      </c>
      <c r="D400" s="1">
        <f t="shared" si="32"/>
        <v>2024</v>
      </c>
      <c r="E400" s="2">
        <v>45499</v>
      </c>
      <c r="F400" s="1" t="s">
        <v>1293</v>
      </c>
      <c r="G400" s="1" t="s">
        <v>79</v>
      </c>
      <c r="H400" s="1" t="s">
        <v>98</v>
      </c>
      <c r="I400" s="1" t="s">
        <v>33</v>
      </c>
      <c r="J400" s="1" t="s">
        <v>130</v>
      </c>
      <c r="K400" s="1" t="s">
        <v>131</v>
      </c>
      <c r="L400" s="1" t="s">
        <v>82</v>
      </c>
      <c r="M400" s="1" t="s">
        <v>283</v>
      </c>
      <c r="N400" s="1" t="s">
        <v>1294</v>
      </c>
      <c r="O400" s="1" t="s">
        <v>52</v>
      </c>
      <c r="P400" s="1">
        <v>2</v>
      </c>
      <c r="Q400" s="1">
        <v>1263.6500000000001</v>
      </c>
      <c r="R400" s="1">
        <v>0.2</v>
      </c>
      <c r="S400" s="1">
        <v>2021.84</v>
      </c>
      <c r="T400" s="1">
        <f t="shared" si="33"/>
        <v>2021.8400000000001</v>
      </c>
      <c r="U400" s="1">
        <v>1355.22</v>
      </c>
      <c r="V400" s="3">
        <f>IF(T400=0,"",X400/T400)</f>
        <v>0.32970957147944452</v>
      </c>
      <c r="W400" s="1">
        <v>666.62</v>
      </c>
      <c r="X400" s="1">
        <f>T400-U400</f>
        <v>666.62000000000012</v>
      </c>
      <c r="Y400" s="1" t="s">
        <v>40</v>
      </c>
      <c r="Z400" s="1" t="s">
        <v>41</v>
      </c>
      <c r="AA400" s="1">
        <f t="shared" si="30"/>
        <v>7</v>
      </c>
      <c r="AB400" s="2" t="str">
        <f t="shared" si="34"/>
        <v>Clean</v>
      </c>
      <c r="AC400" s="2"/>
    </row>
    <row r="401" spans="1:29">
      <c r="A401" s="1" t="s">
        <v>1295</v>
      </c>
      <c r="B401" s="2">
        <v>45771</v>
      </c>
      <c r="C401" s="2" t="str">
        <f t="shared" si="31"/>
        <v>April</v>
      </c>
      <c r="D401" s="1">
        <f t="shared" si="32"/>
        <v>2025</v>
      </c>
      <c r="E401" s="2">
        <v>45776</v>
      </c>
      <c r="F401" s="1" t="s">
        <v>1296</v>
      </c>
      <c r="G401" s="1" t="s">
        <v>170</v>
      </c>
      <c r="H401" s="1" t="s">
        <v>45</v>
      </c>
      <c r="I401" s="1" t="s">
        <v>62</v>
      </c>
      <c r="J401" s="1" t="s">
        <v>92</v>
      </c>
      <c r="K401" s="1" t="s">
        <v>93</v>
      </c>
      <c r="L401" s="1" t="s">
        <v>36</v>
      </c>
      <c r="M401" s="1" t="s">
        <v>37</v>
      </c>
      <c r="N401" s="1" t="s">
        <v>1297</v>
      </c>
      <c r="O401" s="1" t="s">
        <v>52</v>
      </c>
      <c r="P401" s="1">
        <v>1</v>
      </c>
      <c r="Q401" s="1">
        <v>4358.5</v>
      </c>
      <c r="R401" s="1">
        <v>0.25</v>
      </c>
      <c r="S401" s="1">
        <v>3268.88</v>
      </c>
      <c r="T401" s="1">
        <f t="shared" si="33"/>
        <v>3268.875</v>
      </c>
      <c r="U401" s="1">
        <v>1993.74</v>
      </c>
      <c r="V401" s="3">
        <f>IF(T401=0,"",X401/T401)</f>
        <v>0.39008374440747962</v>
      </c>
      <c r="W401" s="1">
        <v>1275.1400000000001</v>
      </c>
      <c r="X401" s="1">
        <f>T401-U401</f>
        <v>1275.135</v>
      </c>
      <c r="Y401" s="1" t="s">
        <v>40</v>
      </c>
      <c r="Z401" s="1" t="s">
        <v>41</v>
      </c>
      <c r="AA401" s="1">
        <f t="shared" si="30"/>
        <v>5</v>
      </c>
      <c r="AB401" s="2" t="str">
        <f t="shared" si="34"/>
        <v>Clean</v>
      </c>
      <c r="AC401" s="2"/>
    </row>
    <row r="402" spans="1:29">
      <c r="A402" s="1" t="s">
        <v>1298</v>
      </c>
      <c r="B402" s="2">
        <v>45814</v>
      </c>
      <c r="C402" s="2" t="str">
        <f t="shared" si="31"/>
        <v>June</v>
      </c>
      <c r="D402" s="1">
        <f t="shared" si="32"/>
        <v>2025</v>
      </c>
      <c r="E402" s="2">
        <v>45967</v>
      </c>
      <c r="F402" s="1" t="s">
        <v>1299</v>
      </c>
      <c r="G402" s="1" t="s">
        <v>140</v>
      </c>
      <c r="H402" s="1" t="s">
        <v>45</v>
      </c>
      <c r="I402" s="1" t="s">
        <v>33</v>
      </c>
      <c r="J402" s="1" t="s">
        <v>144</v>
      </c>
      <c r="K402" s="1" t="s">
        <v>145</v>
      </c>
      <c r="L402" s="1" t="s">
        <v>36</v>
      </c>
      <c r="M402" s="1" t="s">
        <v>37</v>
      </c>
      <c r="N402" s="1" t="s">
        <v>1300</v>
      </c>
      <c r="O402" s="1" t="s">
        <v>52</v>
      </c>
      <c r="P402" s="1">
        <v>7</v>
      </c>
      <c r="Q402" s="1">
        <v>878.09</v>
      </c>
      <c r="R402" s="4">
        <v>-0.1</v>
      </c>
      <c r="S402" s="1">
        <v>5839.3</v>
      </c>
      <c r="T402" s="4">
        <f t="shared" si="33"/>
        <v>6761.2930000000006</v>
      </c>
      <c r="U402" s="1">
        <v>4877.38</v>
      </c>
      <c r="V402" s="3"/>
      <c r="W402" s="1">
        <v>961.92</v>
      </c>
      <c r="X402" s="1"/>
      <c r="Y402" s="1" t="s">
        <v>40</v>
      </c>
      <c r="Z402" s="1" t="s">
        <v>41</v>
      </c>
      <c r="AA402" s="1">
        <f t="shared" si="30"/>
        <v>153</v>
      </c>
      <c r="AB402" s="2" t="str">
        <f t="shared" si="34"/>
        <v>Invalid</v>
      </c>
      <c r="AC402" s="2"/>
    </row>
    <row r="403" spans="1:29">
      <c r="A403" s="1" t="s">
        <v>1301</v>
      </c>
      <c r="B403" s="2">
        <v>45903</v>
      </c>
      <c r="C403" s="2" t="str">
        <f t="shared" si="31"/>
        <v>September</v>
      </c>
      <c r="D403" s="1">
        <f t="shared" si="32"/>
        <v>2025</v>
      </c>
      <c r="E403" s="2">
        <v>45732</v>
      </c>
      <c r="F403" s="1" t="s">
        <v>1302</v>
      </c>
      <c r="G403" s="1" t="s">
        <v>61</v>
      </c>
      <c r="H403" s="1" t="s">
        <v>45</v>
      </c>
      <c r="I403" s="1" t="s">
        <v>46</v>
      </c>
      <c r="J403" s="1" t="s">
        <v>237</v>
      </c>
      <c r="K403" s="1" t="s">
        <v>238</v>
      </c>
      <c r="L403" s="1" t="s">
        <v>49</v>
      </c>
      <c r="M403" s="1" t="s">
        <v>50</v>
      </c>
      <c r="N403" s="1" t="s">
        <v>1303</v>
      </c>
      <c r="O403" s="1" t="s">
        <v>52</v>
      </c>
      <c r="P403" s="1">
        <v>3</v>
      </c>
      <c r="Q403" s="1">
        <v>2625.85</v>
      </c>
      <c r="R403" s="1">
        <v>0</v>
      </c>
      <c r="S403" s="1">
        <v>7877.55</v>
      </c>
      <c r="T403" s="1">
        <f t="shared" si="33"/>
        <v>7877.5499999999993</v>
      </c>
      <c r="U403" s="1">
        <v>5562.77</v>
      </c>
      <c r="V403" s="3">
        <f>IF(T403=0,"",X403/T403)</f>
        <v>0.29384516759652418</v>
      </c>
      <c r="W403" s="1">
        <v>2314.7800000000002</v>
      </c>
      <c r="X403" s="1">
        <f>T403-U403</f>
        <v>2314.7799999999988</v>
      </c>
      <c r="Y403" s="1" t="s">
        <v>40</v>
      </c>
      <c r="Z403" s="1" t="s">
        <v>41</v>
      </c>
      <c r="AA403" s="4">
        <f t="shared" si="30"/>
        <v>-171</v>
      </c>
      <c r="AB403" s="2" t="str">
        <f t="shared" si="34"/>
        <v>Invalid</v>
      </c>
      <c r="AC403" s="2"/>
    </row>
    <row r="404" spans="1:29">
      <c r="A404" s="1" t="s">
        <v>1304</v>
      </c>
      <c r="B404" s="2">
        <v>45373</v>
      </c>
      <c r="C404" s="2" t="str">
        <f t="shared" si="31"/>
        <v>March</v>
      </c>
      <c r="D404" s="1">
        <f t="shared" si="32"/>
        <v>2024</v>
      </c>
      <c r="E404" s="2">
        <v>45373</v>
      </c>
      <c r="F404" s="1" t="s">
        <v>1305</v>
      </c>
      <c r="G404" s="1" t="s">
        <v>122</v>
      </c>
      <c r="H404" s="1" t="s">
        <v>45</v>
      </c>
      <c r="I404" s="1" t="s">
        <v>62</v>
      </c>
      <c r="J404" s="1" t="s">
        <v>183</v>
      </c>
      <c r="K404" s="1" t="s">
        <v>184</v>
      </c>
      <c r="L404" s="1" t="s">
        <v>49</v>
      </c>
      <c r="M404" s="1" t="s">
        <v>50</v>
      </c>
      <c r="N404" s="1" t="s">
        <v>1306</v>
      </c>
      <c r="O404" s="1" t="s">
        <v>213</v>
      </c>
      <c r="P404" s="1">
        <v>3</v>
      </c>
      <c r="Q404" s="1">
        <v>1365.26</v>
      </c>
      <c r="R404" s="1">
        <v>0</v>
      </c>
      <c r="S404" s="1">
        <v>4095.78</v>
      </c>
      <c r="T404" s="1">
        <f t="shared" si="33"/>
        <v>4095.7799999999997</v>
      </c>
      <c r="U404" s="1">
        <v>2807.77</v>
      </c>
      <c r="V404" s="3">
        <f>IF(T404=0,"",X404/T404)</f>
        <v>0.31447245701673426</v>
      </c>
      <c r="W404" s="1">
        <v>1288.01</v>
      </c>
      <c r="X404" s="1">
        <f>T404-U404</f>
        <v>1288.0099999999998</v>
      </c>
      <c r="Y404" s="1" t="s">
        <v>40</v>
      </c>
      <c r="Z404" s="1" t="s">
        <v>41</v>
      </c>
      <c r="AA404" s="1">
        <f t="shared" si="30"/>
        <v>0</v>
      </c>
      <c r="AB404" s="2" t="str">
        <f t="shared" si="34"/>
        <v>Warning</v>
      </c>
      <c r="AC404" s="2"/>
    </row>
    <row r="405" spans="1:29">
      <c r="A405" s="1" t="s">
        <v>1307</v>
      </c>
      <c r="B405" s="2">
        <v>45565</v>
      </c>
      <c r="C405" s="2" t="str">
        <f t="shared" si="31"/>
        <v>September</v>
      </c>
      <c r="D405" s="1">
        <f t="shared" si="32"/>
        <v>2024</v>
      </c>
      <c r="E405" s="2">
        <v>45392</v>
      </c>
      <c r="F405" s="1" t="s">
        <v>1308</v>
      </c>
      <c r="G405" s="1" t="s">
        <v>61</v>
      </c>
      <c r="H405" s="1" t="s">
        <v>45</v>
      </c>
      <c r="I405" s="1" t="s">
        <v>62</v>
      </c>
      <c r="J405" s="1" t="s">
        <v>193</v>
      </c>
      <c r="K405" s="1" t="s">
        <v>194</v>
      </c>
      <c r="L405" s="1" t="s">
        <v>36</v>
      </c>
      <c r="M405" s="1" t="s">
        <v>37</v>
      </c>
      <c r="N405" s="1" t="s">
        <v>1309</v>
      </c>
      <c r="O405" s="1" t="s">
        <v>52</v>
      </c>
      <c r="P405" s="1">
        <v>5</v>
      </c>
      <c r="Q405" s="1">
        <v>3512.25</v>
      </c>
      <c r="R405" s="1">
        <v>0.05</v>
      </c>
      <c r="S405" s="1">
        <v>16683.189999999999</v>
      </c>
      <c r="T405" s="1">
        <f t="shared" si="33"/>
        <v>16683.1875</v>
      </c>
      <c r="U405" s="1">
        <v>10301.16</v>
      </c>
      <c r="V405" s="3">
        <f>IF(T405=0,"",X405/T405)</f>
        <v>0.38254245479168775</v>
      </c>
      <c r="W405" s="1">
        <v>6382.03</v>
      </c>
      <c r="X405" s="1">
        <f>T405-U405</f>
        <v>6382.0275000000001</v>
      </c>
      <c r="Y405" s="1" t="s">
        <v>40</v>
      </c>
      <c r="Z405" s="1" t="s">
        <v>111</v>
      </c>
      <c r="AA405" s="4">
        <f t="shared" si="30"/>
        <v>-173</v>
      </c>
      <c r="AB405" s="2" t="str">
        <f t="shared" si="34"/>
        <v>Invalid</v>
      </c>
      <c r="AC405" s="2"/>
    </row>
    <row r="406" spans="1:29">
      <c r="A406" s="1" t="s">
        <v>1310</v>
      </c>
      <c r="B406" s="2">
        <v>45318</v>
      </c>
      <c r="C406" s="2" t="str">
        <f t="shared" si="31"/>
        <v>January</v>
      </c>
      <c r="D406" s="1">
        <f t="shared" si="32"/>
        <v>2024</v>
      </c>
      <c r="E406" s="2">
        <v>45325</v>
      </c>
      <c r="F406" s="1" t="s">
        <v>1311</v>
      </c>
      <c r="G406" s="1" t="s">
        <v>97</v>
      </c>
      <c r="H406" s="1" t="s">
        <v>98</v>
      </c>
      <c r="I406" s="1" t="s">
        <v>71</v>
      </c>
      <c r="J406" s="1" t="s">
        <v>34</v>
      </c>
      <c r="K406" s="1" t="s">
        <v>117</v>
      </c>
      <c r="L406" s="1" t="s">
        <v>49</v>
      </c>
      <c r="M406" s="1" t="s">
        <v>74</v>
      </c>
      <c r="N406" s="1" t="s">
        <v>1312</v>
      </c>
      <c r="O406" s="1" t="s">
        <v>52</v>
      </c>
      <c r="P406" s="1">
        <v>3</v>
      </c>
      <c r="Q406" s="1">
        <v>359.61</v>
      </c>
      <c r="R406" s="1">
        <v>0</v>
      </c>
      <c r="S406" s="1">
        <v>1078.83</v>
      </c>
      <c r="T406" s="1">
        <f t="shared" si="33"/>
        <v>1078.83</v>
      </c>
      <c r="U406" s="1">
        <v>926.35</v>
      </c>
      <c r="V406" s="3">
        <f>IF(T406=0,"",X406/T406)</f>
        <v>0.14133830167867034</v>
      </c>
      <c r="W406" s="1">
        <v>152.47999999999999</v>
      </c>
      <c r="X406" s="1">
        <f>T406-U406</f>
        <v>152.4799999999999</v>
      </c>
      <c r="Y406" s="1" t="s">
        <v>40</v>
      </c>
      <c r="Z406" s="1" t="s">
        <v>41</v>
      </c>
      <c r="AA406" s="1">
        <f t="shared" si="30"/>
        <v>7</v>
      </c>
      <c r="AB406" s="2" t="str">
        <f t="shared" si="34"/>
        <v>Clean</v>
      </c>
      <c r="AC406" s="2"/>
    </row>
    <row r="407" spans="1:29">
      <c r="A407" s="1" t="s">
        <v>1313</v>
      </c>
      <c r="B407" s="2">
        <v>45558</v>
      </c>
      <c r="C407" s="2" t="str">
        <f t="shared" si="31"/>
        <v>September</v>
      </c>
      <c r="D407" s="1">
        <f t="shared" si="32"/>
        <v>2024</v>
      </c>
      <c r="E407" s="2">
        <v>45559</v>
      </c>
      <c r="F407" s="1" t="s">
        <v>1314</v>
      </c>
      <c r="G407" s="1" t="s">
        <v>97</v>
      </c>
      <c r="H407" s="1" t="s">
        <v>103</v>
      </c>
      <c r="I407" s="1" t="s">
        <v>71</v>
      </c>
      <c r="J407" s="1" t="s">
        <v>188</v>
      </c>
      <c r="K407" s="1" t="s">
        <v>189</v>
      </c>
      <c r="L407" s="1" t="s">
        <v>49</v>
      </c>
      <c r="M407" s="1" t="s">
        <v>166</v>
      </c>
      <c r="N407" s="1" t="s">
        <v>1315</v>
      </c>
      <c r="O407" s="1" t="s">
        <v>213</v>
      </c>
      <c r="P407" s="1">
        <v>7</v>
      </c>
      <c r="Q407" s="1">
        <v>3878.01</v>
      </c>
      <c r="R407" s="1">
        <v>0.1</v>
      </c>
      <c r="S407" s="1">
        <v>24431.46</v>
      </c>
      <c r="T407" s="1">
        <f t="shared" si="33"/>
        <v>24431.463</v>
      </c>
      <c r="U407" s="1">
        <v>18202.36</v>
      </c>
      <c r="V407" s="3">
        <f>IF(T407=0,"",X407/T407)</f>
        <v>0.25496234097810677</v>
      </c>
      <c r="W407" s="1">
        <v>6229.1</v>
      </c>
      <c r="X407" s="1">
        <f>T407-U407</f>
        <v>6229.1029999999992</v>
      </c>
      <c r="Y407" s="1" t="s">
        <v>40</v>
      </c>
      <c r="Z407" s="1" t="s">
        <v>41</v>
      </c>
      <c r="AA407" s="1">
        <f t="shared" si="30"/>
        <v>1</v>
      </c>
      <c r="AB407" s="2" t="str">
        <f t="shared" si="34"/>
        <v>Warning</v>
      </c>
      <c r="AC407" s="2"/>
    </row>
    <row r="408" spans="1:29">
      <c r="A408" s="1" t="s">
        <v>1316</v>
      </c>
      <c r="B408" s="2">
        <v>45713</v>
      </c>
      <c r="C408" s="2" t="str">
        <f t="shared" si="31"/>
        <v>February</v>
      </c>
      <c r="D408" s="1">
        <f t="shared" si="32"/>
        <v>2025</v>
      </c>
      <c r="E408" s="2">
        <v>45713</v>
      </c>
      <c r="F408" s="1" t="s">
        <v>1317</v>
      </c>
      <c r="G408" s="1" t="s">
        <v>273</v>
      </c>
      <c r="H408" s="1" t="s">
        <v>45</v>
      </c>
      <c r="I408" s="1" t="s">
        <v>71</v>
      </c>
      <c r="J408" s="1" t="s">
        <v>198</v>
      </c>
      <c r="K408" s="1" t="s">
        <v>199</v>
      </c>
      <c r="L408" s="1" t="s">
        <v>49</v>
      </c>
      <c r="M408" s="1" t="s">
        <v>65</v>
      </c>
      <c r="N408" s="1" t="s">
        <v>1318</v>
      </c>
      <c r="O408" s="1" t="s">
        <v>67</v>
      </c>
      <c r="P408" s="1">
        <v>2</v>
      </c>
      <c r="Q408" s="1">
        <v>3924.2</v>
      </c>
      <c r="R408" s="1">
        <v>0.25</v>
      </c>
      <c r="S408" s="1">
        <v>5886.3</v>
      </c>
      <c r="T408" s="1">
        <f t="shared" si="33"/>
        <v>5886.2999999999993</v>
      </c>
      <c r="U408" s="1">
        <v>3621.76</v>
      </c>
      <c r="V408" s="3">
        <f>IF(T408=0,"",X408/T408)</f>
        <v>0.38471365713606159</v>
      </c>
      <c r="W408" s="1">
        <v>2264.54</v>
      </c>
      <c r="X408" s="1">
        <f>T408-U408</f>
        <v>2264.5399999999991</v>
      </c>
      <c r="Y408" s="1" t="s">
        <v>119</v>
      </c>
      <c r="Z408" s="1" t="s">
        <v>111</v>
      </c>
      <c r="AA408" s="1">
        <f t="shared" si="30"/>
        <v>0</v>
      </c>
      <c r="AB408" s="2" t="str">
        <f t="shared" si="34"/>
        <v>Clean</v>
      </c>
      <c r="AC408" s="2"/>
    </row>
    <row r="409" spans="1:29">
      <c r="A409" s="1" t="s">
        <v>1319</v>
      </c>
      <c r="B409" s="2">
        <v>45631</v>
      </c>
      <c r="C409" s="2" t="str">
        <f t="shared" si="31"/>
        <v>December</v>
      </c>
      <c r="D409" s="1">
        <f t="shared" si="32"/>
        <v>2024</v>
      </c>
      <c r="E409" s="2">
        <v>45425</v>
      </c>
      <c r="F409" s="1" t="s">
        <v>1320</v>
      </c>
      <c r="G409" s="1" t="s">
        <v>126</v>
      </c>
      <c r="H409" s="1" t="s">
        <v>98</v>
      </c>
      <c r="I409" s="1" t="s">
        <v>71</v>
      </c>
      <c r="J409" s="1" t="s">
        <v>198</v>
      </c>
      <c r="K409" s="1" t="s">
        <v>199</v>
      </c>
      <c r="L409" s="1" t="s">
        <v>36</v>
      </c>
      <c r="M409" s="1" t="s">
        <v>99</v>
      </c>
      <c r="N409" s="1" t="s">
        <v>1321</v>
      </c>
      <c r="O409" s="1" t="s">
        <v>39</v>
      </c>
      <c r="P409" s="1">
        <v>3</v>
      </c>
      <c r="Q409" s="1">
        <v>2644.55</v>
      </c>
      <c r="R409" s="1">
        <v>0</v>
      </c>
      <c r="S409" s="1">
        <v>7933.65</v>
      </c>
      <c r="T409" s="1">
        <f t="shared" si="33"/>
        <v>7933.6500000000005</v>
      </c>
      <c r="U409" s="1">
        <v>5698.42</v>
      </c>
      <c r="V409" s="3">
        <f>IF(T409=0,"",X409/T409)</f>
        <v>0.2817404347305465</v>
      </c>
      <c r="W409" s="1">
        <v>2235.23</v>
      </c>
      <c r="X409" s="1">
        <f>T409-U409</f>
        <v>2235.2300000000005</v>
      </c>
      <c r="Y409" s="1" t="s">
        <v>40</v>
      </c>
      <c r="Z409" s="1" t="s">
        <v>41</v>
      </c>
      <c r="AA409" s="4">
        <f t="shared" si="30"/>
        <v>-206</v>
      </c>
      <c r="AB409" s="2" t="str">
        <f t="shared" si="34"/>
        <v>Invalid</v>
      </c>
      <c r="AC409" s="2"/>
    </row>
    <row r="410" spans="1:29">
      <c r="A410" s="1" t="s">
        <v>1322</v>
      </c>
      <c r="B410" s="2">
        <v>45870</v>
      </c>
      <c r="C410" s="2" t="str">
        <f t="shared" si="31"/>
        <v>August</v>
      </c>
      <c r="D410" s="1">
        <f t="shared" si="32"/>
        <v>2025</v>
      </c>
      <c r="E410" s="2">
        <v>45872</v>
      </c>
      <c r="F410" s="1" t="s">
        <v>1323</v>
      </c>
      <c r="G410" s="1" t="s">
        <v>140</v>
      </c>
      <c r="H410" s="1" t="s">
        <v>32</v>
      </c>
      <c r="I410" s="1" t="s">
        <v>71</v>
      </c>
      <c r="J410" s="1" t="s">
        <v>72</v>
      </c>
      <c r="K410" s="1" t="s">
        <v>73</v>
      </c>
      <c r="L410" s="1" t="s">
        <v>49</v>
      </c>
      <c r="M410" s="1" t="s">
        <v>74</v>
      </c>
      <c r="N410" s="1" t="s">
        <v>1324</v>
      </c>
      <c r="O410" s="1" t="s">
        <v>58</v>
      </c>
      <c r="P410" s="1">
        <v>4</v>
      </c>
      <c r="Q410" s="1">
        <v>1773.46</v>
      </c>
      <c r="R410" s="1">
        <v>0</v>
      </c>
      <c r="S410" s="1">
        <v>7093.84</v>
      </c>
      <c r="T410" s="1">
        <f t="shared" si="33"/>
        <v>7093.84</v>
      </c>
      <c r="U410" s="1">
        <v>4587.49</v>
      </c>
      <c r="V410" s="3">
        <f>IF(T410=0,"",X410/T410)</f>
        <v>0.35331357910525191</v>
      </c>
      <c r="W410" s="1">
        <v>2506.35</v>
      </c>
      <c r="X410" s="1">
        <f>T410-U410</f>
        <v>2506.3500000000004</v>
      </c>
      <c r="Y410" s="1" t="s">
        <v>163</v>
      </c>
      <c r="Z410" s="1" t="s">
        <v>111</v>
      </c>
      <c r="AA410" s="1">
        <f t="shared" si="30"/>
        <v>2</v>
      </c>
      <c r="AB410" s="2" t="str">
        <f t="shared" si="34"/>
        <v>Clean</v>
      </c>
      <c r="AC410" s="2"/>
    </row>
    <row r="411" spans="1:29">
      <c r="A411" s="1" t="s">
        <v>1325</v>
      </c>
      <c r="B411" s="2">
        <v>45701</v>
      </c>
      <c r="C411" s="2" t="str">
        <f t="shared" si="31"/>
        <v>February</v>
      </c>
      <c r="D411" s="1">
        <f t="shared" si="32"/>
        <v>2025</v>
      </c>
      <c r="E411" s="2">
        <v>45703</v>
      </c>
      <c r="F411" s="1" t="s">
        <v>1326</v>
      </c>
      <c r="G411" s="1" t="s">
        <v>31</v>
      </c>
      <c r="H411" s="1" t="s">
        <v>32</v>
      </c>
      <c r="I411" s="1" t="s">
        <v>46</v>
      </c>
      <c r="J411" s="1" t="s">
        <v>174</v>
      </c>
      <c r="K411" s="1" t="s">
        <v>175</v>
      </c>
      <c r="L411" s="1" t="s">
        <v>82</v>
      </c>
      <c r="M411" s="1" t="s">
        <v>83</v>
      </c>
      <c r="N411" s="1" t="s">
        <v>1327</v>
      </c>
      <c r="O411" s="1" t="s">
        <v>52</v>
      </c>
      <c r="P411" s="1">
        <v>1</v>
      </c>
      <c r="Q411" s="1">
        <v>3025.46</v>
      </c>
      <c r="R411" s="1">
        <v>0.25</v>
      </c>
      <c r="S411" s="1">
        <v>2269.1</v>
      </c>
      <c r="T411" s="1">
        <f t="shared" si="33"/>
        <v>2269.0950000000003</v>
      </c>
      <c r="U411" s="1">
        <v>1593.59</v>
      </c>
      <c r="V411" s="3">
        <f>IF(T411=0,"",X411/T411)</f>
        <v>0.29769798091309541</v>
      </c>
      <c r="W411" s="1">
        <v>675.51</v>
      </c>
      <c r="X411" s="1">
        <f>T411-U411</f>
        <v>675.50500000000034</v>
      </c>
      <c r="Y411" s="1" t="s">
        <v>110</v>
      </c>
      <c r="Z411" s="1" t="s">
        <v>111</v>
      </c>
      <c r="AA411" s="1">
        <f t="shared" si="30"/>
        <v>2</v>
      </c>
      <c r="AB411" s="2" t="str">
        <f t="shared" si="34"/>
        <v>Clean</v>
      </c>
      <c r="AC411" s="2"/>
    </row>
    <row r="412" spans="1:29">
      <c r="A412" s="1" t="s">
        <v>1328</v>
      </c>
      <c r="B412" s="2">
        <v>45630</v>
      </c>
      <c r="C412" s="2" t="str">
        <f t="shared" si="31"/>
        <v>December</v>
      </c>
      <c r="D412" s="1">
        <f t="shared" si="32"/>
        <v>2024</v>
      </c>
      <c r="E412" s="2">
        <v>45402</v>
      </c>
      <c r="F412" s="1" t="s">
        <v>1329</v>
      </c>
      <c r="G412" s="1" t="s">
        <v>170</v>
      </c>
      <c r="H412" s="1" t="s">
        <v>32</v>
      </c>
      <c r="I412" s="1" t="s">
        <v>71</v>
      </c>
      <c r="J412" s="1" t="s">
        <v>198</v>
      </c>
      <c r="K412" s="1" t="s">
        <v>199</v>
      </c>
      <c r="L412" s="1" t="s">
        <v>49</v>
      </c>
      <c r="M412" s="1" t="s">
        <v>50</v>
      </c>
      <c r="N412" s="1" t="s">
        <v>1330</v>
      </c>
      <c r="O412" s="1" t="s">
        <v>58</v>
      </c>
      <c r="P412" s="1">
        <v>9</v>
      </c>
      <c r="Q412" s="1">
        <v>1302.6099999999999</v>
      </c>
      <c r="R412" s="1">
        <v>0.2</v>
      </c>
      <c r="S412" s="1">
        <v>9378.7900000000009</v>
      </c>
      <c r="T412" s="1">
        <f t="shared" si="33"/>
        <v>9378.7919999999995</v>
      </c>
      <c r="U412" s="1">
        <v>6774.48</v>
      </c>
      <c r="V412" s="3">
        <f>IF(T412=0,"",X412/T412)</f>
        <v>0.27768096360384154</v>
      </c>
      <c r="W412" s="1">
        <v>2604.31</v>
      </c>
      <c r="X412" s="1">
        <f>T412-U412</f>
        <v>2604.3119999999999</v>
      </c>
      <c r="Y412" s="1" t="s">
        <v>40</v>
      </c>
      <c r="Z412" s="1" t="s">
        <v>41</v>
      </c>
      <c r="AA412" s="4">
        <f t="shared" si="30"/>
        <v>-228</v>
      </c>
      <c r="AB412" s="2" t="str">
        <f t="shared" si="34"/>
        <v>Invalid</v>
      </c>
      <c r="AC412" s="2"/>
    </row>
    <row r="413" spans="1:29">
      <c r="A413" s="1" t="s">
        <v>1331</v>
      </c>
      <c r="B413" s="2">
        <v>45892</v>
      </c>
      <c r="C413" s="2" t="str">
        <f t="shared" si="31"/>
        <v>August</v>
      </c>
      <c r="D413" s="1">
        <f t="shared" si="32"/>
        <v>2025</v>
      </c>
      <c r="E413" s="2">
        <v>45897</v>
      </c>
      <c r="F413" s="1" t="s">
        <v>1332</v>
      </c>
      <c r="G413" s="1" t="s">
        <v>61</v>
      </c>
      <c r="H413" s="1" t="s">
        <v>103</v>
      </c>
      <c r="I413" s="1" t="s">
        <v>71</v>
      </c>
      <c r="J413" s="1" t="s">
        <v>34</v>
      </c>
      <c r="K413" s="1" t="s">
        <v>117</v>
      </c>
      <c r="L413" s="1" t="s">
        <v>49</v>
      </c>
      <c r="M413" s="1" t="s">
        <v>50</v>
      </c>
      <c r="N413" s="1" t="s">
        <v>1333</v>
      </c>
      <c r="O413" s="1" t="s">
        <v>58</v>
      </c>
      <c r="P413" s="1">
        <v>1</v>
      </c>
      <c r="Q413" s="1">
        <v>4167.8100000000004</v>
      </c>
      <c r="R413" s="1">
        <v>0.2</v>
      </c>
      <c r="S413" s="1">
        <v>3334.25</v>
      </c>
      <c r="T413" s="1">
        <f t="shared" si="33"/>
        <v>3334.2480000000005</v>
      </c>
      <c r="U413" s="1">
        <v>2768.77</v>
      </c>
      <c r="V413" s="3">
        <f>IF(T413=0,"",X413/T413)</f>
        <v>0.16959686262089696</v>
      </c>
      <c r="W413" s="1">
        <v>565.48</v>
      </c>
      <c r="X413" s="1">
        <f>T413-U413</f>
        <v>565.47800000000052</v>
      </c>
      <c r="Y413" s="1" t="s">
        <v>163</v>
      </c>
      <c r="Z413" s="1" t="s">
        <v>111</v>
      </c>
      <c r="AA413" s="1">
        <f t="shared" si="30"/>
        <v>5</v>
      </c>
      <c r="AB413" s="2" t="str">
        <f t="shared" si="34"/>
        <v>Clean</v>
      </c>
      <c r="AC413" s="2"/>
    </row>
    <row r="414" spans="1:29">
      <c r="A414" s="1" t="s">
        <v>1334</v>
      </c>
      <c r="B414" s="2">
        <v>45313</v>
      </c>
      <c r="C414" s="2" t="str">
        <f t="shared" si="31"/>
        <v>January</v>
      </c>
      <c r="D414" s="1">
        <f t="shared" si="32"/>
        <v>2024</v>
      </c>
      <c r="E414" s="2">
        <v>45321</v>
      </c>
      <c r="F414" s="1" t="s">
        <v>1335</v>
      </c>
      <c r="G414" s="1" t="s">
        <v>55</v>
      </c>
      <c r="H414" s="1" t="s">
        <v>98</v>
      </c>
      <c r="I414" s="1" t="s">
        <v>62</v>
      </c>
      <c r="J414" s="1" t="s">
        <v>183</v>
      </c>
      <c r="K414" s="1" t="s">
        <v>184</v>
      </c>
      <c r="L414" s="1" t="s">
        <v>49</v>
      </c>
      <c r="M414" s="1" t="s">
        <v>74</v>
      </c>
      <c r="N414" s="1" t="s">
        <v>1336</v>
      </c>
      <c r="O414" s="1" t="s">
        <v>52</v>
      </c>
      <c r="P414" s="1">
        <v>1</v>
      </c>
      <c r="Q414" s="1">
        <v>2111.39</v>
      </c>
      <c r="R414" s="1">
        <v>0.25</v>
      </c>
      <c r="S414" s="1">
        <v>1583.54</v>
      </c>
      <c r="T414" s="1">
        <f t="shared" si="33"/>
        <v>1583.5425</v>
      </c>
      <c r="U414" s="1">
        <v>1014.19</v>
      </c>
      <c r="V414" s="3">
        <f>IF(T414=0,"",X414/T414)</f>
        <v>0.35954355503562424</v>
      </c>
      <c r="W414" s="1">
        <v>569.35</v>
      </c>
      <c r="X414" s="1">
        <f>T414-U414</f>
        <v>569.35249999999996</v>
      </c>
      <c r="Y414" s="1" t="s">
        <v>40</v>
      </c>
      <c r="Z414" s="1" t="s">
        <v>41</v>
      </c>
      <c r="AA414" s="1">
        <f t="shared" si="30"/>
        <v>8</v>
      </c>
      <c r="AB414" s="2" t="str">
        <f t="shared" si="34"/>
        <v>Clean</v>
      </c>
      <c r="AC414" s="2"/>
    </row>
    <row r="415" spans="1:29">
      <c r="A415" s="1" t="s">
        <v>1337</v>
      </c>
      <c r="B415" s="2">
        <v>45882</v>
      </c>
      <c r="C415" s="2" t="str">
        <f t="shared" si="31"/>
        <v>August</v>
      </c>
      <c r="D415" s="1">
        <f t="shared" si="32"/>
        <v>2025</v>
      </c>
      <c r="E415" s="2">
        <v>45886</v>
      </c>
      <c r="F415" s="1" t="s">
        <v>1338</v>
      </c>
      <c r="G415" s="1" t="s">
        <v>87</v>
      </c>
      <c r="H415" s="1" t="s">
        <v>103</v>
      </c>
      <c r="I415" s="1" t="s">
        <v>71</v>
      </c>
      <c r="J415" s="1" t="s">
        <v>80</v>
      </c>
      <c r="K415" s="1" t="s">
        <v>81</v>
      </c>
      <c r="L415" s="1" t="s">
        <v>82</v>
      </c>
      <c r="M415" s="1" t="s">
        <v>83</v>
      </c>
      <c r="N415" s="1" t="s">
        <v>1339</v>
      </c>
      <c r="O415" s="1" t="s">
        <v>39</v>
      </c>
      <c r="P415" s="1">
        <v>8</v>
      </c>
      <c r="Q415" s="1">
        <v>1918.23</v>
      </c>
      <c r="R415" s="1">
        <v>0</v>
      </c>
      <c r="S415" s="1">
        <v>15345.84</v>
      </c>
      <c r="T415" s="1">
        <f t="shared" si="33"/>
        <v>15345.84</v>
      </c>
      <c r="U415" s="1">
        <v>10735.33</v>
      </c>
      <c r="V415" s="3">
        <f>IF(T415=0,"",X415/T415)</f>
        <v>0.30044037993358463</v>
      </c>
      <c r="W415" s="1">
        <v>4610.51</v>
      </c>
      <c r="X415" s="1">
        <f>T415-U415</f>
        <v>4610.51</v>
      </c>
      <c r="Y415" s="1" t="s">
        <v>119</v>
      </c>
      <c r="Z415" s="1" t="s">
        <v>76</v>
      </c>
      <c r="AA415" s="1">
        <f t="shared" si="30"/>
        <v>4</v>
      </c>
      <c r="AB415" s="2" t="str">
        <f t="shared" si="34"/>
        <v>Clean</v>
      </c>
      <c r="AC415" s="2"/>
    </row>
    <row r="416" spans="1:29">
      <c r="A416" s="1" t="s">
        <v>1340</v>
      </c>
      <c r="B416" s="2">
        <v>45533</v>
      </c>
      <c r="C416" s="2" t="str">
        <f t="shared" si="31"/>
        <v>August</v>
      </c>
      <c r="D416" s="1">
        <f t="shared" si="32"/>
        <v>2024</v>
      </c>
      <c r="E416" s="2">
        <v>45534</v>
      </c>
      <c r="F416" s="1" t="s">
        <v>1341</v>
      </c>
      <c r="G416" s="1" t="s">
        <v>61</v>
      </c>
      <c r="H416" s="1" t="s">
        <v>103</v>
      </c>
      <c r="I416" s="1" t="s">
        <v>46</v>
      </c>
      <c r="J416" s="1" t="s">
        <v>174</v>
      </c>
      <c r="K416" s="1" t="s">
        <v>175</v>
      </c>
      <c r="L416" s="1" t="s">
        <v>36</v>
      </c>
      <c r="M416" s="1" t="s">
        <v>132</v>
      </c>
      <c r="N416" s="1" t="s">
        <v>1342</v>
      </c>
      <c r="O416" s="1" t="s">
        <v>58</v>
      </c>
      <c r="P416" s="1">
        <v>4</v>
      </c>
      <c r="Q416" s="1">
        <v>2484.08</v>
      </c>
      <c r="R416" s="1">
        <v>0.05</v>
      </c>
      <c r="S416" s="1">
        <v>9439.5</v>
      </c>
      <c r="T416" s="1">
        <f t="shared" si="33"/>
        <v>9439.503999999999</v>
      </c>
      <c r="U416" s="1">
        <v>5519.39</v>
      </c>
      <c r="V416" s="3">
        <f>IF(T416=0,"",X416/T416)</f>
        <v>0.41528813378330037</v>
      </c>
      <c r="W416" s="1">
        <v>3920.11</v>
      </c>
      <c r="X416" s="1">
        <f>T416-U416</f>
        <v>3920.1139999999987</v>
      </c>
      <c r="Y416" s="1" t="s">
        <v>40</v>
      </c>
      <c r="Z416" s="1" t="s">
        <v>41</v>
      </c>
      <c r="AA416" s="1">
        <f t="shared" si="30"/>
        <v>1</v>
      </c>
      <c r="AB416" s="2" t="str">
        <f t="shared" si="34"/>
        <v>Clean</v>
      </c>
      <c r="AC416" s="2"/>
    </row>
    <row r="417" spans="1:29">
      <c r="A417" s="1" t="s">
        <v>1343</v>
      </c>
      <c r="B417" s="2">
        <v>45316</v>
      </c>
      <c r="C417" s="2" t="str">
        <f t="shared" si="31"/>
        <v>January</v>
      </c>
      <c r="D417" s="1">
        <f t="shared" si="32"/>
        <v>2024</v>
      </c>
      <c r="E417" s="2">
        <v>45318</v>
      </c>
      <c r="F417" s="1" t="s">
        <v>1344</v>
      </c>
      <c r="G417" s="1" t="s">
        <v>136</v>
      </c>
      <c r="H417" s="1" t="s">
        <v>98</v>
      </c>
      <c r="I417" s="1" t="s">
        <v>62</v>
      </c>
      <c r="J417" s="1" t="s">
        <v>183</v>
      </c>
      <c r="K417" s="1" t="s">
        <v>184</v>
      </c>
      <c r="L417" s="1" t="s">
        <v>36</v>
      </c>
      <c r="M417" s="1" t="s">
        <v>132</v>
      </c>
      <c r="N417" s="1" t="s">
        <v>1345</v>
      </c>
      <c r="O417" s="1" t="s">
        <v>52</v>
      </c>
      <c r="P417" s="1">
        <v>7</v>
      </c>
      <c r="Q417" s="1">
        <v>1727.26</v>
      </c>
      <c r="R417" s="1">
        <v>0.15</v>
      </c>
      <c r="S417" s="1">
        <v>10277.200000000001</v>
      </c>
      <c r="T417" s="1">
        <f t="shared" si="33"/>
        <v>10277.197</v>
      </c>
      <c r="U417" s="1">
        <v>7906.5</v>
      </c>
      <c r="V417" s="3">
        <f>IF(T417=0,"",X417/T417)</f>
        <v>0.23067544584384245</v>
      </c>
      <c r="W417" s="1">
        <v>2370.6999999999998</v>
      </c>
      <c r="X417" s="1">
        <f>T417-U417</f>
        <v>2370.6970000000001</v>
      </c>
      <c r="Y417" s="1" t="s">
        <v>40</v>
      </c>
      <c r="Z417" s="1" t="s">
        <v>111</v>
      </c>
      <c r="AA417" s="1">
        <f t="shared" si="30"/>
        <v>2</v>
      </c>
      <c r="AB417" s="2" t="str">
        <f t="shared" si="34"/>
        <v>Clean</v>
      </c>
      <c r="AC417" s="2"/>
    </row>
    <row r="418" spans="1:29">
      <c r="A418" s="1" t="s">
        <v>1346</v>
      </c>
      <c r="B418" s="2">
        <v>45870</v>
      </c>
      <c r="C418" s="2" t="str">
        <f t="shared" si="31"/>
        <v>August</v>
      </c>
      <c r="D418" s="1">
        <f t="shared" si="32"/>
        <v>2025</v>
      </c>
      <c r="E418" s="2">
        <v>45673</v>
      </c>
      <c r="F418" s="1" t="s">
        <v>1347</v>
      </c>
      <c r="G418" s="1" t="s">
        <v>87</v>
      </c>
      <c r="H418" s="1" t="s">
        <v>32</v>
      </c>
      <c r="I418" s="1" t="s">
        <v>62</v>
      </c>
      <c r="J418" s="1" t="s">
        <v>63</v>
      </c>
      <c r="K418" s="1" t="s">
        <v>64</v>
      </c>
      <c r="L418" s="1" t="s">
        <v>49</v>
      </c>
      <c r="M418" s="1" t="s">
        <v>65</v>
      </c>
      <c r="N418" s="1" t="s">
        <v>1348</v>
      </c>
      <c r="O418" s="1" t="s">
        <v>58</v>
      </c>
      <c r="P418" s="1">
        <v>8</v>
      </c>
      <c r="Q418" s="1">
        <v>638.95000000000005</v>
      </c>
      <c r="R418" s="1">
        <v>0.25</v>
      </c>
      <c r="S418" s="1">
        <v>3833.7</v>
      </c>
      <c r="T418" s="1">
        <f t="shared" si="33"/>
        <v>3833.7000000000003</v>
      </c>
      <c r="U418" s="1">
        <v>2886.35</v>
      </c>
      <c r="V418" s="3">
        <f>IF(T418=0,"",X418/T418)</f>
        <v>0.24711114589039318</v>
      </c>
      <c r="W418" s="1">
        <v>947.35</v>
      </c>
      <c r="X418" s="1">
        <f>T418-U418</f>
        <v>947.35000000000036</v>
      </c>
      <c r="Y418" s="1" t="s">
        <v>40</v>
      </c>
      <c r="Z418" s="1" t="s">
        <v>41</v>
      </c>
      <c r="AA418" s="4">
        <f t="shared" si="30"/>
        <v>-197</v>
      </c>
      <c r="AB418" s="2" t="str">
        <f t="shared" si="34"/>
        <v>Invalid</v>
      </c>
      <c r="AC418" s="2"/>
    </row>
    <row r="419" spans="1:29">
      <c r="A419" s="1" t="s">
        <v>1349</v>
      </c>
      <c r="B419" s="2">
        <v>45686</v>
      </c>
      <c r="C419" s="2" t="str">
        <f t="shared" si="31"/>
        <v>January</v>
      </c>
      <c r="D419" s="1">
        <f t="shared" si="32"/>
        <v>2025</v>
      </c>
      <c r="E419" s="2">
        <v>45693</v>
      </c>
      <c r="F419" s="1" t="s">
        <v>1350</v>
      </c>
      <c r="G419" s="1" t="s">
        <v>44</v>
      </c>
      <c r="H419" s="1" t="s">
        <v>32</v>
      </c>
      <c r="I419" s="1" t="s">
        <v>71</v>
      </c>
      <c r="J419" s="1" t="s">
        <v>188</v>
      </c>
      <c r="K419" s="1" t="s">
        <v>189</v>
      </c>
      <c r="L419" s="1" t="s">
        <v>36</v>
      </c>
      <c r="M419" s="1" t="s">
        <v>56</v>
      </c>
      <c r="N419" s="1" t="s">
        <v>1351</v>
      </c>
      <c r="O419" s="1" t="s">
        <v>58</v>
      </c>
      <c r="P419" s="1">
        <v>6</v>
      </c>
      <c r="Q419" s="1">
        <v>3863</v>
      </c>
      <c r="R419" s="1">
        <v>0.2</v>
      </c>
      <c r="S419" s="1">
        <v>18542.400000000001</v>
      </c>
      <c r="T419" s="1">
        <f t="shared" si="33"/>
        <v>18542.400000000001</v>
      </c>
      <c r="U419" s="1">
        <v>11193.75</v>
      </c>
      <c r="V419" s="3">
        <f>IF(T419=0,"",X419/T419)</f>
        <v>0.39631601087237905</v>
      </c>
      <c r="W419" s="1">
        <v>7348.65</v>
      </c>
      <c r="X419" s="1">
        <f>T419-U419</f>
        <v>7348.6500000000015</v>
      </c>
      <c r="Y419" s="1" t="s">
        <v>40</v>
      </c>
      <c r="Z419" s="1" t="s">
        <v>41</v>
      </c>
      <c r="AA419" s="1">
        <f t="shared" si="30"/>
        <v>7</v>
      </c>
      <c r="AB419" s="2" t="str">
        <f t="shared" si="34"/>
        <v>Clean</v>
      </c>
      <c r="AC419" s="2"/>
    </row>
    <row r="420" spans="1:29">
      <c r="A420" s="1" t="s">
        <v>1352</v>
      </c>
      <c r="B420" s="2">
        <v>45605</v>
      </c>
      <c r="C420" s="2" t="str">
        <f t="shared" si="31"/>
        <v>November</v>
      </c>
      <c r="D420" s="1">
        <f t="shared" si="32"/>
        <v>2024</v>
      </c>
      <c r="E420" s="2">
        <v>45613</v>
      </c>
      <c r="F420" s="1" t="s">
        <v>1353</v>
      </c>
      <c r="G420" s="1" t="s">
        <v>140</v>
      </c>
      <c r="H420" s="1" t="s">
        <v>98</v>
      </c>
      <c r="I420" s="1" t="s">
        <v>46</v>
      </c>
      <c r="J420" s="1" t="s">
        <v>47</v>
      </c>
      <c r="K420" s="1" t="s">
        <v>48</v>
      </c>
      <c r="L420" s="1" t="s">
        <v>82</v>
      </c>
      <c r="M420" s="1" t="s">
        <v>88</v>
      </c>
      <c r="N420" s="1" t="s">
        <v>1354</v>
      </c>
      <c r="O420" s="1" t="s">
        <v>67</v>
      </c>
      <c r="P420" s="1">
        <v>6</v>
      </c>
      <c r="Q420" s="1">
        <v>3660.4</v>
      </c>
      <c r="R420" s="1">
        <v>0</v>
      </c>
      <c r="S420" s="1">
        <v>21962.400000000001</v>
      </c>
      <c r="T420" s="1">
        <f t="shared" si="33"/>
        <v>21962.400000000001</v>
      </c>
      <c r="U420" s="1">
        <v>15331.99</v>
      </c>
      <c r="V420" s="3">
        <f>IF(T420=0,"",X420/T420)</f>
        <v>0.3018982442720286</v>
      </c>
      <c r="W420" s="1">
        <v>6630.41</v>
      </c>
      <c r="X420" s="1">
        <f>T420-U420</f>
        <v>6630.4100000000017</v>
      </c>
      <c r="Y420" s="1" t="s">
        <v>163</v>
      </c>
      <c r="Z420" s="1" t="s">
        <v>76</v>
      </c>
      <c r="AA420" s="1">
        <f t="shared" si="30"/>
        <v>8</v>
      </c>
      <c r="AB420" s="2" t="str">
        <f t="shared" si="34"/>
        <v>Clean</v>
      </c>
      <c r="AC420" s="2"/>
    </row>
    <row r="421" spans="1:29">
      <c r="A421" s="1" t="s">
        <v>1355</v>
      </c>
      <c r="B421" s="2">
        <v>45926</v>
      </c>
      <c r="C421" s="2" t="str">
        <f t="shared" si="31"/>
        <v>September</v>
      </c>
      <c r="D421" s="1">
        <f t="shared" si="32"/>
        <v>2025</v>
      </c>
      <c r="E421" s="2">
        <v>45930</v>
      </c>
      <c r="F421" s="1" t="s">
        <v>1356</v>
      </c>
      <c r="G421" s="1" t="s">
        <v>140</v>
      </c>
      <c r="H421" s="1" t="s">
        <v>103</v>
      </c>
      <c r="I421" s="1" t="s">
        <v>33</v>
      </c>
      <c r="J421" s="1" t="s">
        <v>245</v>
      </c>
      <c r="K421" s="1" t="s">
        <v>246</v>
      </c>
      <c r="L421" s="1" t="s">
        <v>82</v>
      </c>
      <c r="M421" s="1" t="s">
        <v>179</v>
      </c>
      <c r="N421" s="1" t="s">
        <v>1357</v>
      </c>
      <c r="O421" s="1" t="s">
        <v>52</v>
      </c>
      <c r="P421" s="1">
        <v>2</v>
      </c>
      <c r="Q421" s="1">
        <v>688.83</v>
      </c>
      <c r="R421" s="1">
        <v>0.05</v>
      </c>
      <c r="S421" s="1">
        <v>1308.78</v>
      </c>
      <c r="T421" s="1">
        <f t="shared" si="33"/>
        <v>1308.777</v>
      </c>
      <c r="U421" s="1">
        <v>843</v>
      </c>
      <c r="V421" s="3">
        <f>IF(T421=0,"",X421/T421)</f>
        <v>0.35588721378813964</v>
      </c>
      <c r="W421" s="1">
        <v>465.78</v>
      </c>
      <c r="X421" s="1">
        <f>T421-U421</f>
        <v>465.77700000000004</v>
      </c>
      <c r="Y421" s="1" t="s">
        <v>40</v>
      </c>
      <c r="Z421" s="1" t="s">
        <v>41</v>
      </c>
      <c r="AA421" s="1">
        <f t="shared" si="30"/>
        <v>4</v>
      </c>
      <c r="AB421" s="2" t="str">
        <f t="shared" si="34"/>
        <v>Clean</v>
      </c>
      <c r="AC421" s="2"/>
    </row>
    <row r="422" spans="1:29">
      <c r="A422" s="1" t="s">
        <v>1358</v>
      </c>
      <c r="B422" s="2">
        <v>45734</v>
      </c>
      <c r="C422" s="2" t="str">
        <f t="shared" si="31"/>
        <v>March</v>
      </c>
      <c r="D422" s="1">
        <f t="shared" si="32"/>
        <v>2025</v>
      </c>
      <c r="E422" s="2">
        <v>45735</v>
      </c>
      <c r="F422" s="1" t="s">
        <v>1359</v>
      </c>
      <c r="G422" s="1" t="s">
        <v>55</v>
      </c>
      <c r="H422" s="1" t="s">
        <v>98</v>
      </c>
      <c r="I422" s="1" t="s">
        <v>62</v>
      </c>
      <c r="J422" s="1" t="s">
        <v>256</v>
      </c>
      <c r="K422" s="1" t="s">
        <v>257</v>
      </c>
      <c r="L422" s="1" t="s">
        <v>82</v>
      </c>
      <c r="M422" s="1" t="s">
        <v>283</v>
      </c>
      <c r="N422" s="1" t="s">
        <v>1360</v>
      </c>
      <c r="O422" s="1" t="s">
        <v>67</v>
      </c>
      <c r="P422" s="1">
        <v>2</v>
      </c>
      <c r="Q422" s="1">
        <v>1209.99</v>
      </c>
      <c r="R422" s="1">
        <v>0.25</v>
      </c>
      <c r="S422" s="1">
        <v>1814.99</v>
      </c>
      <c r="T422" s="1">
        <f t="shared" si="33"/>
        <v>1814.9850000000001</v>
      </c>
      <c r="U422" s="1">
        <v>1120.06</v>
      </c>
      <c r="V422" s="3">
        <f>IF(T422=0,"",X422/T422)</f>
        <v>0.38288195219244242</v>
      </c>
      <c r="W422" s="1">
        <v>694.93</v>
      </c>
      <c r="X422" s="1">
        <f>T422-U422</f>
        <v>694.92500000000018</v>
      </c>
      <c r="Y422" s="1" t="s">
        <v>119</v>
      </c>
      <c r="Z422" s="1" t="s">
        <v>76</v>
      </c>
      <c r="AA422" s="1">
        <f t="shared" si="30"/>
        <v>1</v>
      </c>
      <c r="AB422" s="2" t="str">
        <f t="shared" si="34"/>
        <v>Clean</v>
      </c>
      <c r="AC422" s="2"/>
    </row>
    <row r="423" spans="1:29">
      <c r="A423" s="1" t="s">
        <v>1361</v>
      </c>
      <c r="B423" s="2">
        <v>45822</v>
      </c>
      <c r="C423" s="2" t="str">
        <f t="shared" si="31"/>
        <v>June</v>
      </c>
      <c r="D423" s="1">
        <f t="shared" si="32"/>
        <v>2025</v>
      </c>
      <c r="E423" s="2">
        <v>45827</v>
      </c>
      <c r="F423" s="1" t="s">
        <v>1362</v>
      </c>
      <c r="G423" s="1" t="s">
        <v>149</v>
      </c>
      <c r="H423" s="1" t="s">
        <v>45</v>
      </c>
      <c r="I423" s="1" t="s">
        <v>33</v>
      </c>
      <c r="J423" s="1" t="s">
        <v>359</v>
      </c>
      <c r="K423" s="1" t="s">
        <v>360</v>
      </c>
      <c r="L423" s="1" t="s">
        <v>36</v>
      </c>
      <c r="M423" s="1" t="s">
        <v>161</v>
      </c>
      <c r="N423" s="1" t="s">
        <v>1363</v>
      </c>
      <c r="O423" s="1" t="s">
        <v>52</v>
      </c>
      <c r="P423" s="1">
        <v>3</v>
      </c>
      <c r="Q423" s="1">
        <v>1037.45</v>
      </c>
      <c r="R423" s="1">
        <v>0.2</v>
      </c>
      <c r="S423" s="1">
        <v>2489.88</v>
      </c>
      <c r="T423" s="1">
        <f t="shared" si="33"/>
        <v>2489.8800000000006</v>
      </c>
      <c r="U423" s="1">
        <v>1707.52</v>
      </c>
      <c r="V423" s="3">
        <f>IF(T423=0,"",X423/T423)</f>
        <v>0.31421594615001541</v>
      </c>
      <c r="W423" s="1">
        <v>782.36</v>
      </c>
      <c r="X423" s="1">
        <f>T423-U423</f>
        <v>782.36000000000058</v>
      </c>
      <c r="Y423" s="1" t="s">
        <v>119</v>
      </c>
      <c r="Z423" s="1" t="s">
        <v>111</v>
      </c>
      <c r="AA423" s="1">
        <f t="shared" si="30"/>
        <v>5</v>
      </c>
      <c r="AB423" s="2" t="str">
        <f t="shared" si="34"/>
        <v>Clean</v>
      </c>
      <c r="AC423" s="2"/>
    </row>
    <row r="424" spans="1:29">
      <c r="A424" s="1" t="s">
        <v>1364</v>
      </c>
      <c r="B424" s="2">
        <v>45903</v>
      </c>
      <c r="C424" s="2" t="str">
        <f t="shared" si="31"/>
        <v>September</v>
      </c>
      <c r="D424" s="1">
        <f t="shared" si="32"/>
        <v>2025</v>
      </c>
      <c r="E424" s="2">
        <v>45817</v>
      </c>
      <c r="F424" s="1" t="s">
        <v>1365</v>
      </c>
      <c r="G424" s="1" t="s">
        <v>273</v>
      </c>
      <c r="H424" s="1" t="s">
        <v>32</v>
      </c>
      <c r="I424" s="1" t="s">
        <v>71</v>
      </c>
      <c r="J424" s="1" t="s">
        <v>80</v>
      </c>
      <c r="K424" s="1" t="s">
        <v>81</v>
      </c>
      <c r="L424" s="1" t="s">
        <v>82</v>
      </c>
      <c r="M424" s="1" t="s">
        <v>88</v>
      </c>
      <c r="N424" s="1" t="s">
        <v>1366</v>
      </c>
      <c r="O424" s="1" t="s">
        <v>52</v>
      </c>
      <c r="P424" s="1">
        <v>7</v>
      </c>
      <c r="Q424" s="1">
        <v>688.85</v>
      </c>
      <c r="R424" s="1">
        <v>0.15</v>
      </c>
      <c r="S424" s="1">
        <v>4098.66</v>
      </c>
      <c r="T424" s="1">
        <f t="shared" si="33"/>
        <v>4098.6574999999993</v>
      </c>
      <c r="U424" s="1">
        <v>2678.06</v>
      </c>
      <c r="V424" s="3">
        <f>IF(T424=0,"",X424/T424)</f>
        <v>0.34660068571233377</v>
      </c>
      <c r="W424" s="1">
        <v>1420.6</v>
      </c>
      <c r="X424" s="1">
        <f>T424-U424</f>
        <v>1420.5974999999994</v>
      </c>
      <c r="Y424" s="1" t="s">
        <v>40</v>
      </c>
      <c r="Z424" s="1" t="s">
        <v>41</v>
      </c>
      <c r="AA424" s="4">
        <f t="shared" si="30"/>
        <v>-86</v>
      </c>
      <c r="AB424" s="2" t="str">
        <f t="shared" si="34"/>
        <v>Invalid</v>
      </c>
      <c r="AC424" s="2"/>
    </row>
    <row r="425" spans="1:29">
      <c r="A425" s="1" t="s">
        <v>1367</v>
      </c>
      <c r="B425" s="2">
        <v>45893</v>
      </c>
      <c r="C425" s="2" t="str">
        <f t="shared" si="31"/>
        <v>August</v>
      </c>
      <c r="D425" s="1">
        <f t="shared" si="32"/>
        <v>2025</v>
      </c>
      <c r="E425" s="2">
        <v>45898</v>
      </c>
      <c r="F425" s="1" t="s">
        <v>1368</v>
      </c>
      <c r="G425" s="1" t="s">
        <v>136</v>
      </c>
      <c r="H425" s="1" t="s">
        <v>45</v>
      </c>
      <c r="I425" s="1" t="s">
        <v>46</v>
      </c>
      <c r="J425" s="1" t="s">
        <v>153</v>
      </c>
      <c r="K425" s="1" t="s">
        <v>154</v>
      </c>
      <c r="L425" s="1" t="s">
        <v>82</v>
      </c>
      <c r="M425" s="1" t="s">
        <v>88</v>
      </c>
      <c r="N425" s="1" t="s">
        <v>1369</v>
      </c>
      <c r="O425" s="1" t="s">
        <v>58</v>
      </c>
      <c r="P425" s="1">
        <v>3</v>
      </c>
      <c r="Q425" s="1">
        <v>3703.96</v>
      </c>
      <c r="R425" s="1">
        <v>0.15</v>
      </c>
      <c r="S425" s="1">
        <v>9445.1</v>
      </c>
      <c r="T425" s="1">
        <f t="shared" si="33"/>
        <v>9445.098</v>
      </c>
      <c r="U425" s="1">
        <v>5586.28</v>
      </c>
      <c r="V425" s="3">
        <f>IF(T425=0,"",X425/T425)</f>
        <v>0.40855245758170006</v>
      </c>
      <c r="W425" s="1">
        <v>3858.82</v>
      </c>
      <c r="X425" s="1">
        <f>T425-U425</f>
        <v>3858.8180000000002</v>
      </c>
      <c r="Y425" s="1" t="s">
        <v>40</v>
      </c>
      <c r="Z425" s="1" t="s">
        <v>41</v>
      </c>
      <c r="AA425" s="1">
        <f t="shared" si="30"/>
        <v>5</v>
      </c>
      <c r="AB425" s="2" t="str">
        <f t="shared" si="34"/>
        <v>Clean</v>
      </c>
      <c r="AC425" s="2" t="s">
        <v>392</v>
      </c>
    </row>
    <row r="426" spans="1:29">
      <c r="A426" s="1" t="s">
        <v>1370</v>
      </c>
      <c r="B426" s="2">
        <v>45469</v>
      </c>
      <c r="C426" s="2" t="str">
        <f t="shared" si="31"/>
        <v>June</v>
      </c>
      <c r="D426" s="1">
        <f t="shared" si="32"/>
        <v>2024</v>
      </c>
      <c r="E426" s="2">
        <v>45472</v>
      </c>
      <c r="F426" s="1" t="s">
        <v>1371</v>
      </c>
      <c r="G426" s="1" t="s">
        <v>87</v>
      </c>
      <c r="H426" s="1" t="s">
        <v>98</v>
      </c>
      <c r="I426" s="1" t="s">
        <v>33</v>
      </c>
      <c r="J426" s="1" t="s">
        <v>130</v>
      </c>
      <c r="K426" s="1" t="s">
        <v>131</v>
      </c>
      <c r="L426" s="1" t="s">
        <v>82</v>
      </c>
      <c r="M426" s="1" t="s">
        <v>179</v>
      </c>
      <c r="N426" s="1" t="s">
        <v>1372</v>
      </c>
      <c r="O426" s="1" t="s">
        <v>67</v>
      </c>
      <c r="P426" s="1">
        <v>8</v>
      </c>
      <c r="Q426" s="1">
        <v>804.52</v>
      </c>
      <c r="R426" s="1">
        <v>0</v>
      </c>
      <c r="S426" s="1">
        <v>6436.16</v>
      </c>
      <c r="T426" s="1">
        <f t="shared" si="33"/>
        <v>6436.16</v>
      </c>
      <c r="U426" s="1">
        <v>4263.83</v>
      </c>
      <c r="V426" s="3">
        <f>IF(T426=0,"",X426/T426)</f>
        <v>0.33751957689056827</v>
      </c>
      <c r="W426" s="1">
        <v>2172.33</v>
      </c>
      <c r="X426" s="1">
        <f>T426-U426</f>
        <v>2172.33</v>
      </c>
      <c r="Y426" s="1" t="s">
        <v>40</v>
      </c>
      <c r="Z426" s="1" t="s">
        <v>41</v>
      </c>
      <c r="AA426" s="1">
        <f t="shared" si="30"/>
        <v>3</v>
      </c>
      <c r="AB426" s="2" t="str">
        <f t="shared" si="34"/>
        <v>Clean</v>
      </c>
      <c r="AC426" s="2"/>
    </row>
    <row r="427" spans="1:29">
      <c r="A427" s="1" t="s">
        <v>1373</v>
      </c>
      <c r="B427" s="2">
        <v>45561</v>
      </c>
      <c r="C427" s="2" t="str">
        <f t="shared" si="31"/>
        <v>September</v>
      </c>
      <c r="D427" s="1">
        <f t="shared" si="32"/>
        <v>2024</v>
      </c>
      <c r="E427" s="2">
        <v>45562</v>
      </c>
      <c r="F427" s="1" t="s">
        <v>1374</v>
      </c>
      <c r="G427" s="1" t="s">
        <v>55</v>
      </c>
      <c r="H427" s="1" t="s">
        <v>103</v>
      </c>
      <c r="I427" s="1" t="s">
        <v>33</v>
      </c>
      <c r="J427" s="1" t="s">
        <v>359</v>
      </c>
      <c r="K427" s="1" t="s">
        <v>360</v>
      </c>
      <c r="L427" s="1" t="s">
        <v>36</v>
      </c>
      <c r="M427" s="1" t="s">
        <v>99</v>
      </c>
      <c r="N427" s="1" t="s">
        <v>1375</v>
      </c>
      <c r="O427" s="1" t="s">
        <v>58</v>
      </c>
      <c r="P427" s="1">
        <v>2</v>
      </c>
      <c r="Q427" s="1">
        <v>1065.69</v>
      </c>
      <c r="R427" s="1">
        <v>0.1</v>
      </c>
      <c r="S427" s="1">
        <v>1918.24</v>
      </c>
      <c r="T427" s="1">
        <f t="shared" si="33"/>
        <v>1918.2420000000002</v>
      </c>
      <c r="U427" s="1">
        <v>1373.52</v>
      </c>
      <c r="V427" s="3">
        <f>IF(T427=0,"",X427/T427)</f>
        <v>0.2839693844676533</v>
      </c>
      <c r="W427" s="1">
        <v>544.72</v>
      </c>
      <c r="X427" s="1">
        <f>T427-U427</f>
        <v>544.72200000000021</v>
      </c>
      <c r="Y427" s="1" t="s">
        <v>110</v>
      </c>
      <c r="Z427" s="1" t="s">
        <v>76</v>
      </c>
      <c r="AA427" s="1">
        <f t="shared" si="30"/>
        <v>1</v>
      </c>
      <c r="AB427" s="2" t="str">
        <f t="shared" si="34"/>
        <v>Clean</v>
      </c>
      <c r="AC427" s="2"/>
    </row>
    <row r="428" spans="1:29">
      <c r="A428" s="1" t="s">
        <v>1376</v>
      </c>
      <c r="B428" s="2">
        <v>45473</v>
      </c>
      <c r="C428" s="2" t="str">
        <f t="shared" si="31"/>
        <v>June</v>
      </c>
      <c r="D428" s="1">
        <f t="shared" si="32"/>
        <v>2024</v>
      </c>
      <c r="E428" s="2">
        <v>45298</v>
      </c>
      <c r="F428" s="1" t="s">
        <v>1377</v>
      </c>
      <c r="G428" s="1" t="s">
        <v>97</v>
      </c>
      <c r="H428" s="1" t="s">
        <v>32</v>
      </c>
      <c r="I428" s="1" t="s">
        <v>33</v>
      </c>
      <c r="J428" s="1" t="s">
        <v>245</v>
      </c>
      <c r="K428" s="1" t="s">
        <v>246</v>
      </c>
      <c r="L428" s="1" t="s">
        <v>82</v>
      </c>
      <c r="M428" s="1" t="s">
        <v>88</v>
      </c>
      <c r="N428" s="1" t="s">
        <v>1378</v>
      </c>
      <c r="O428" s="1" t="s">
        <v>52</v>
      </c>
      <c r="P428" s="1">
        <v>8</v>
      </c>
      <c r="Q428" s="1">
        <v>3756.66</v>
      </c>
      <c r="R428" s="1">
        <v>0.1</v>
      </c>
      <c r="S428" s="1">
        <v>27047.95</v>
      </c>
      <c r="T428" s="1">
        <f t="shared" si="33"/>
        <v>27047.952000000001</v>
      </c>
      <c r="U428" s="1">
        <v>18431.330000000002</v>
      </c>
      <c r="V428" s="3">
        <f>IF(T428=0,"",X428/T428)</f>
        <v>0.31856837072174626</v>
      </c>
      <c r="W428" s="1">
        <v>8616.6200000000008</v>
      </c>
      <c r="X428" s="1">
        <f>T428-U428</f>
        <v>8616.6219999999994</v>
      </c>
      <c r="Y428" s="1" t="s">
        <v>40</v>
      </c>
      <c r="Z428" s="1" t="s">
        <v>41</v>
      </c>
      <c r="AA428" s="4">
        <f t="shared" si="30"/>
        <v>-175</v>
      </c>
      <c r="AB428" s="2" t="str">
        <f t="shared" si="34"/>
        <v>Invalid</v>
      </c>
      <c r="AC428" s="2"/>
    </row>
    <row r="429" spans="1:29">
      <c r="A429" s="1" t="s">
        <v>1379</v>
      </c>
      <c r="B429" s="2">
        <v>45769</v>
      </c>
      <c r="C429" s="2" t="str">
        <f t="shared" si="31"/>
        <v>April</v>
      </c>
      <c r="D429" s="1">
        <f t="shared" si="32"/>
        <v>2025</v>
      </c>
      <c r="E429" s="2">
        <v>45771</v>
      </c>
      <c r="F429" s="1" t="s">
        <v>1380</v>
      </c>
      <c r="G429" s="1" t="s">
        <v>55</v>
      </c>
      <c r="H429" s="1" t="s">
        <v>98</v>
      </c>
      <c r="I429" s="1" t="s">
        <v>213</v>
      </c>
      <c r="J429" s="1" t="s">
        <v>237</v>
      </c>
      <c r="K429" s="1" t="s">
        <v>238</v>
      </c>
      <c r="L429" s="1" t="s">
        <v>82</v>
      </c>
      <c r="M429" s="1" t="s">
        <v>83</v>
      </c>
      <c r="N429" s="1" t="s">
        <v>1381</v>
      </c>
      <c r="O429" s="1" t="s">
        <v>67</v>
      </c>
      <c r="P429" s="1">
        <v>9</v>
      </c>
      <c r="Q429" s="1">
        <v>2939.44</v>
      </c>
      <c r="R429" s="1">
        <v>0</v>
      </c>
      <c r="S429" s="1">
        <v>26454.959999999999</v>
      </c>
      <c r="T429" s="1">
        <f t="shared" si="33"/>
        <v>26454.959999999999</v>
      </c>
      <c r="U429" s="1">
        <v>17630.25</v>
      </c>
      <c r="V429" s="3">
        <f>IF(T429=0,"",X429/T429)</f>
        <v>0.33357487594008833</v>
      </c>
      <c r="W429" s="1">
        <v>8824.7099999999991</v>
      </c>
      <c r="X429" s="1">
        <f>T429-U429</f>
        <v>8824.7099999999991</v>
      </c>
      <c r="Y429" s="1" t="s">
        <v>40</v>
      </c>
      <c r="Z429" s="1" t="s">
        <v>41</v>
      </c>
      <c r="AA429" s="1">
        <f t="shared" si="30"/>
        <v>2</v>
      </c>
      <c r="AB429" s="2" t="str">
        <f t="shared" si="34"/>
        <v>Warning</v>
      </c>
      <c r="AC429" s="2"/>
    </row>
    <row r="430" spans="1:29">
      <c r="A430" s="1" t="s">
        <v>1382</v>
      </c>
      <c r="B430" s="2">
        <v>45731</v>
      </c>
      <c r="C430" s="2" t="str">
        <f t="shared" si="31"/>
        <v>March</v>
      </c>
      <c r="D430" s="1">
        <f t="shared" si="32"/>
        <v>2025</v>
      </c>
      <c r="E430" s="2">
        <v>45738</v>
      </c>
      <c r="F430" s="1" t="s">
        <v>1383</v>
      </c>
      <c r="G430" s="1" t="s">
        <v>31</v>
      </c>
      <c r="H430" s="1" t="s">
        <v>45</v>
      </c>
      <c r="I430" s="1" t="s">
        <v>46</v>
      </c>
      <c r="J430" s="1" t="s">
        <v>107</v>
      </c>
      <c r="K430" s="1" t="s">
        <v>108</v>
      </c>
      <c r="L430" s="1" t="s">
        <v>82</v>
      </c>
      <c r="M430" s="1" t="s">
        <v>179</v>
      </c>
      <c r="N430" s="1" t="s">
        <v>1384</v>
      </c>
      <c r="O430" s="1" t="s">
        <v>52</v>
      </c>
      <c r="P430" s="1">
        <v>2</v>
      </c>
      <c r="Q430" s="1">
        <v>1235.93</v>
      </c>
      <c r="R430" s="1">
        <v>0.25</v>
      </c>
      <c r="S430" s="1">
        <v>1853.89</v>
      </c>
      <c r="T430" s="1">
        <f t="shared" si="33"/>
        <v>1853.895</v>
      </c>
      <c r="U430" s="1">
        <v>1101.23</v>
      </c>
      <c r="V430" s="3">
        <f>IF(T430=0,"",X430/T430)</f>
        <v>0.40599116994220275</v>
      </c>
      <c r="W430" s="1">
        <v>752.66</v>
      </c>
      <c r="X430" s="1">
        <f>T430-U430</f>
        <v>752.66499999999996</v>
      </c>
      <c r="Y430" s="1" t="s">
        <v>119</v>
      </c>
      <c r="Z430" s="1" t="s">
        <v>76</v>
      </c>
      <c r="AA430" s="1">
        <f t="shared" si="30"/>
        <v>7</v>
      </c>
      <c r="AB430" s="2" t="str">
        <f t="shared" si="34"/>
        <v>Clean</v>
      </c>
      <c r="AC430" s="2"/>
    </row>
    <row r="431" spans="1:29">
      <c r="A431" s="1" t="s">
        <v>1385</v>
      </c>
      <c r="B431" s="2">
        <v>45660</v>
      </c>
      <c r="C431" s="2" t="str">
        <f t="shared" si="31"/>
        <v>January</v>
      </c>
      <c r="D431" s="1">
        <f t="shared" si="32"/>
        <v>2025</v>
      </c>
      <c r="E431" s="2">
        <v>45872</v>
      </c>
      <c r="F431" s="1" t="s">
        <v>1386</v>
      </c>
      <c r="G431" s="1" t="s">
        <v>87</v>
      </c>
      <c r="H431" s="1" t="s">
        <v>103</v>
      </c>
      <c r="I431" s="1" t="s">
        <v>33</v>
      </c>
      <c r="J431" s="1" t="s">
        <v>34</v>
      </c>
      <c r="K431" s="1" t="s">
        <v>35</v>
      </c>
      <c r="L431" s="1" t="s">
        <v>82</v>
      </c>
      <c r="M431" s="1" t="s">
        <v>88</v>
      </c>
      <c r="N431" s="1" t="s">
        <v>1387</v>
      </c>
      <c r="O431" s="1" t="s">
        <v>52</v>
      </c>
      <c r="P431" s="1">
        <v>8</v>
      </c>
      <c r="Q431" s="1">
        <v>2943.1</v>
      </c>
      <c r="R431" s="1">
        <v>0.25</v>
      </c>
      <c r="S431" s="1">
        <v>17658.599999999999</v>
      </c>
      <c r="T431" s="1">
        <f t="shared" si="33"/>
        <v>17658.599999999999</v>
      </c>
      <c r="U431" s="1">
        <v>13842.48</v>
      </c>
      <c r="V431" s="3">
        <f>IF(T431=0,"",X431/T431)</f>
        <v>0.2161054670245659</v>
      </c>
      <c r="W431" s="1">
        <v>3816.12</v>
      </c>
      <c r="X431" s="1">
        <f>T431-U431</f>
        <v>3816.119999999999</v>
      </c>
      <c r="Y431" s="1" t="s">
        <v>40</v>
      </c>
      <c r="Z431" s="1" t="s">
        <v>41</v>
      </c>
      <c r="AA431" s="1">
        <f t="shared" si="30"/>
        <v>212</v>
      </c>
      <c r="AB431" s="2" t="str">
        <f t="shared" si="34"/>
        <v>Clean</v>
      </c>
      <c r="AC431" s="2"/>
    </row>
    <row r="432" spans="1:29">
      <c r="A432" s="1" t="s">
        <v>1388</v>
      </c>
      <c r="B432" s="2">
        <v>45534</v>
      </c>
      <c r="C432" s="2" t="str">
        <f t="shared" si="31"/>
        <v>August</v>
      </c>
      <c r="D432" s="1">
        <f t="shared" si="32"/>
        <v>2024</v>
      </c>
      <c r="E432" s="2">
        <v>45331</v>
      </c>
      <c r="F432" s="1" t="s">
        <v>1389</v>
      </c>
      <c r="G432" s="1" t="s">
        <v>87</v>
      </c>
      <c r="H432" s="1" t="s">
        <v>45</v>
      </c>
      <c r="I432" s="1" t="s">
        <v>33</v>
      </c>
      <c r="J432" s="1" t="s">
        <v>245</v>
      </c>
      <c r="K432" s="1" t="s">
        <v>246</v>
      </c>
      <c r="L432" s="1" t="s">
        <v>36</v>
      </c>
      <c r="M432" s="1" t="s">
        <v>37</v>
      </c>
      <c r="N432" s="1" t="s">
        <v>1390</v>
      </c>
      <c r="O432" s="1" t="s">
        <v>39</v>
      </c>
      <c r="P432" s="1">
        <v>1</v>
      </c>
      <c r="Q432" s="1">
        <v>4320.84</v>
      </c>
      <c r="R432" s="1">
        <v>0.15</v>
      </c>
      <c r="S432" s="1">
        <v>3672.71</v>
      </c>
      <c r="T432" s="1">
        <f t="shared" si="33"/>
        <v>3672.7139999999999</v>
      </c>
      <c r="U432" s="1">
        <v>2714.23</v>
      </c>
      <c r="V432" s="3">
        <f>IF(T432=0,"",X432/T432)</f>
        <v>0.26097430946161337</v>
      </c>
      <c r="W432" s="1">
        <v>763.38</v>
      </c>
      <c r="X432" s="1">
        <f>T432-U432</f>
        <v>958.48399999999992</v>
      </c>
      <c r="Y432" s="1" t="s">
        <v>40</v>
      </c>
      <c r="Z432" s="1" t="s">
        <v>41</v>
      </c>
      <c r="AA432" s="4">
        <f t="shared" si="30"/>
        <v>-203</v>
      </c>
      <c r="AB432" s="2" t="str">
        <f t="shared" si="34"/>
        <v>Invalid</v>
      </c>
      <c r="AC432" s="2"/>
    </row>
    <row r="433" spans="1:29">
      <c r="A433" s="1" t="s">
        <v>1391</v>
      </c>
      <c r="B433" s="2">
        <v>45567</v>
      </c>
      <c r="C433" s="2" t="str">
        <f t="shared" si="31"/>
        <v>October</v>
      </c>
      <c r="D433" s="1">
        <f t="shared" si="32"/>
        <v>2024</v>
      </c>
      <c r="E433" s="2">
        <v>45335</v>
      </c>
      <c r="F433" s="1" t="s">
        <v>1392</v>
      </c>
      <c r="G433" s="1" t="s">
        <v>31</v>
      </c>
      <c r="H433" s="1" t="s">
        <v>103</v>
      </c>
      <c r="I433" s="1" t="s">
        <v>71</v>
      </c>
      <c r="J433" s="1" t="s">
        <v>198</v>
      </c>
      <c r="K433" s="1" t="s">
        <v>199</v>
      </c>
      <c r="L433" s="1" t="s">
        <v>82</v>
      </c>
      <c r="M433" s="1" t="s">
        <v>283</v>
      </c>
      <c r="N433" s="1" t="s">
        <v>1393</v>
      </c>
      <c r="O433" s="1" t="s">
        <v>52</v>
      </c>
      <c r="P433" s="1">
        <v>2</v>
      </c>
      <c r="Q433" s="1">
        <v>4118.45</v>
      </c>
      <c r="R433" s="1">
        <v>0.25</v>
      </c>
      <c r="S433" s="1">
        <v>6177.67</v>
      </c>
      <c r="T433" s="1">
        <f t="shared" si="33"/>
        <v>6177.6749999999993</v>
      </c>
      <c r="U433" s="1">
        <v>4520.75</v>
      </c>
      <c r="V433" s="3">
        <f>IF(T433=0,"",X433/T433)</f>
        <v>0.26821174632851347</v>
      </c>
      <c r="W433" s="1">
        <v>1656.92</v>
      </c>
      <c r="X433" s="1">
        <f>T433-U433</f>
        <v>1656.9249999999993</v>
      </c>
      <c r="Y433" s="1" t="s">
        <v>40</v>
      </c>
      <c r="Z433" s="1" t="s">
        <v>41</v>
      </c>
      <c r="AA433" s="4">
        <f t="shared" si="30"/>
        <v>-232</v>
      </c>
      <c r="AB433" s="2" t="str">
        <f t="shared" si="34"/>
        <v>Invalid</v>
      </c>
      <c r="AC433" s="2"/>
    </row>
    <row r="434" spans="1:29">
      <c r="A434" s="1" t="s">
        <v>1394</v>
      </c>
      <c r="B434" s="2">
        <v>45533</v>
      </c>
      <c r="C434" s="2" t="str">
        <f t="shared" si="31"/>
        <v>August</v>
      </c>
      <c r="D434" s="1">
        <f t="shared" si="32"/>
        <v>2024</v>
      </c>
      <c r="E434" s="2">
        <v>45331</v>
      </c>
      <c r="F434" s="1" t="s">
        <v>1395</v>
      </c>
      <c r="G434" s="1" t="s">
        <v>122</v>
      </c>
      <c r="H434" s="1" t="s">
        <v>45</v>
      </c>
      <c r="I434" s="1" t="s">
        <v>71</v>
      </c>
      <c r="J434" s="1" t="s">
        <v>72</v>
      </c>
      <c r="K434" s="1" t="s">
        <v>73</v>
      </c>
      <c r="L434" s="1" t="s">
        <v>49</v>
      </c>
      <c r="M434" s="1" t="s">
        <v>166</v>
      </c>
      <c r="N434" s="1" t="s">
        <v>1396</v>
      </c>
      <c r="O434" s="1" t="s">
        <v>67</v>
      </c>
      <c r="P434" s="1">
        <v>6</v>
      </c>
      <c r="Q434" s="1">
        <v>172.82</v>
      </c>
      <c r="R434" s="1">
        <v>0.05</v>
      </c>
      <c r="S434" s="1">
        <v>985.07</v>
      </c>
      <c r="T434" s="1">
        <f t="shared" si="33"/>
        <v>985.07400000000007</v>
      </c>
      <c r="U434" s="1">
        <v>844.48</v>
      </c>
      <c r="V434" s="3">
        <f>IF(T434=0,"",X434/T434)</f>
        <v>0.14272430294576857</v>
      </c>
      <c r="W434" s="1">
        <v>140.59</v>
      </c>
      <c r="X434" s="1">
        <f>T434-U434</f>
        <v>140.59400000000005</v>
      </c>
      <c r="Y434" s="1" t="s">
        <v>40</v>
      </c>
      <c r="Z434" s="1" t="s">
        <v>41</v>
      </c>
      <c r="AA434" s="4">
        <f t="shared" si="30"/>
        <v>-202</v>
      </c>
      <c r="AB434" s="2" t="str">
        <f t="shared" si="34"/>
        <v>Invalid</v>
      </c>
      <c r="AC434" s="2"/>
    </row>
    <row r="435" spans="1:29">
      <c r="A435" s="1" t="s">
        <v>1397</v>
      </c>
      <c r="B435" s="2">
        <v>45401</v>
      </c>
      <c r="C435" s="2" t="str">
        <f t="shared" si="31"/>
        <v>April</v>
      </c>
      <c r="D435" s="1">
        <f t="shared" si="32"/>
        <v>2024</v>
      </c>
      <c r="E435" s="2">
        <v>45402</v>
      </c>
      <c r="F435" s="1" t="s">
        <v>1398</v>
      </c>
      <c r="G435" s="1" t="s">
        <v>122</v>
      </c>
      <c r="H435" s="1" t="s">
        <v>98</v>
      </c>
      <c r="I435" s="1" t="s">
        <v>62</v>
      </c>
      <c r="J435" s="1" t="s">
        <v>193</v>
      </c>
      <c r="K435" s="1" t="s">
        <v>194</v>
      </c>
      <c r="L435" s="1" t="s">
        <v>36</v>
      </c>
      <c r="M435" s="1" t="s">
        <v>56</v>
      </c>
      <c r="N435" s="1" t="s">
        <v>1399</v>
      </c>
      <c r="O435" s="1" t="s">
        <v>39</v>
      </c>
      <c r="P435" s="1">
        <v>4</v>
      </c>
      <c r="Q435" s="1">
        <v>1540.22</v>
      </c>
      <c r="R435" s="1">
        <v>0</v>
      </c>
      <c r="S435" s="1">
        <v>6160.88</v>
      </c>
      <c r="T435" s="1">
        <f t="shared" si="33"/>
        <v>6160.88</v>
      </c>
      <c r="U435" s="1">
        <v>4938.7</v>
      </c>
      <c r="V435" s="3">
        <f>IF(T435=0,"",X435/T435)</f>
        <v>0.19837750451234243</v>
      </c>
      <c r="W435" s="1">
        <v>1222.18</v>
      </c>
      <c r="X435" s="1">
        <f>T435-U435</f>
        <v>1222.1800000000003</v>
      </c>
      <c r="Y435" s="1" t="s">
        <v>110</v>
      </c>
      <c r="Z435" s="1" t="s">
        <v>111</v>
      </c>
      <c r="AA435" s="1">
        <f t="shared" si="30"/>
        <v>1</v>
      </c>
      <c r="AB435" s="2" t="str">
        <f t="shared" si="34"/>
        <v>Clean</v>
      </c>
      <c r="AC435" s="2"/>
    </row>
    <row r="436" spans="1:29">
      <c r="A436" s="1" t="s">
        <v>1400</v>
      </c>
      <c r="B436" s="2">
        <v>45758</v>
      </c>
      <c r="C436" s="2" t="str">
        <f t="shared" si="31"/>
        <v>April</v>
      </c>
      <c r="D436" s="1">
        <f t="shared" si="32"/>
        <v>2025</v>
      </c>
      <c r="E436" s="2">
        <v>45762</v>
      </c>
      <c r="F436" s="1" t="s">
        <v>1401</v>
      </c>
      <c r="G436" s="1" t="s">
        <v>44</v>
      </c>
      <c r="H436" s="1" t="s">
        <v>103</v>
      </c>
      <c r="I436" s="1" t="s">
        <v>33</v>
      </c>
      <c r="J436" s="1" t="s">
        <v>144</v>
      </c>
      <c r="K436" s="1" t="s">
        <v>145</v>
      </c>
      <c r="L436" s="1" t="s">
        <v>82</v>
      </c>
      <c r="M436" s="1" t="s">
        <v>83</v>
      </c>
      <c r="N436" s="1" t="s">
        <v>1402</v>
      </c>
      <c r="O436" s="1" t="s">
        <v>39</v>
      </c>
      <c r="P436" s="1">
        <v>5</v>
      </c>
      <c r="Q436" s="1">
        <v>652.78</v>
      </c>
      <c r="R436" s="1">
        <v>0</v>
      </c>
      <c r="S436" s="1">
        <v>3263.9</v>
      </c>
      <c r="T436" s="1">
        <f t="shared" si="33"/>
        <v>3263.8999999999996</v>
      </c>
      <c r="U436" s="1">
        <v>2068.44</v>
      </c>
      <c r="V436" s="3">
        <f>IF(T436=0,"",X436/T436)</f>
        <v>0.3662673488771101</v>
      </c>
      <c r="W436" s="1">
        <v>1195.46</v>
      </c>
      <c r="X436" s="1">
        <f>T436-U436</f>
        <v>1195.4599999999996</v>
      </c>
      <c r="Y436" s="1" t="s">
        <v>40</v>
      </c>
      <c r="Z436" s="1" t="s">
        <v>41</v>
      </c>
      <c r="AA436" s="1">
        <f t="shared" si="30"/>
        <v>4</v>
      </c>
      <c r="AB436" s="2" t="str">
        <f t="shared" si="34"/>
        <v>Clean</v>
      </c>
      <c r="AC436" s="2"/>
    </row>
    <row r="437" spans="1:29">
      <c r="A437" s="1" t="s">
        <v>1403</v>
      </c>
      <c r="B437" s="2">
        <v>45995</v>
      </c>
      <c r="C437" s="2" t="str">
        <f t="shared" si="31"/>
        <v>December</v>
      </c>
      <c r="D437" s="1">
        <f t="shared" si="32"/>
        <v>2025</v>
      </c>
      <c r="E437" s="2">
        <v>45767</v>
      </c>
      <c r="F437" s="1" t="s">
        <v>1404</v>
      </c>
      <c r="G437" s="1" t="s">
        <v>273</v>
      </c>
      <c r="H437" s="1" t="s">
        <v>103</v>
      </c>
      <c r="I437" s="1" t="s">
        <v>33</v>
      </c>
      <c r="J437" s="1" t="s">
        <v>359</v>
      </c>
      <c r="K437" s="1" t="s">
        <v>360</v>
      </c>
      <c r="L437" s="1" t="s">
        <v>82</v>
      </c>
      <c r="M437" s="1" t="s">
        <v>283</v>
      </c>
      <c r="N437" s="1" t="s">
        <v>1405</v>
      </c>
      <c r="O437" s="1" t="s">
        <v>67</v>
      </c>
      <c r="P437" s="1">
        <v>1</v>
      </c>
      <c r="Q437" s="1">
        <v>2737.71</v>
      </c>
      <c r="R437" s="1">
        <v>0.15</v>
      </c>
      <c r="S437" s="1">
        <v>2327.0500000000002</v>
      </c>
      <c r="T437" s="1">
        <f t="shared" si="33"/>
        <v>2327.0535</v>
      </c>
      <c r="U437" s="1">
        <v>1919.42</v>
      </c>
      <c r="V437" s="3">
        <f>IF(T437=0,"",X437/T437)</f>
        <v>0.17517152055163318</v>
      </c>
      <c r="W437" s="1">
        <v>407.63</v>
      </c>
      <c r="X437" s="1">
        <f>T437-U437</f>
        <v>407.63349999999991</v>
      </c>
      <c r="Y437" s="1" t="s">
        <v>40</v>
      </c>
      <c r="Z437" s="1" t="s">
        <v>76</v>
      </c>
      <c r="AA437" s="4">
        <f t="shared" si="30"/>
        <v>-228</v>
      </c>
      <c r="AB437" s="2" t="str">
        <f t="shared" si="34"/>
        <v>Invalid</v>
      </c>
      <c r="AC437" s="2"/>
    </row>
    <row r="438" spans="1:29">
      <c r="A438" s="1" t="s">
        <v>1406</v>
      </c>
      <c r="B438" s="2">
        <v>45459</v>
      </c>
      <c r="C438" s="2" t="str">
        <f t="shared" si="31"/>
        <v>June</v>
      </c>
      <c r="D438" s="1">
        <f t="shared" si="32"/>
        <v>2024</v>
      </c>
      <c r="E438" s="2">
        <v>45464</v>
      </c>
      <c r="F438" s="1" t="s">
        <v>1407</v>
      </c>
      <c r="G438" s="1" t="s">
        <v>87</v>
      </c>
      <c r="H438" s="1" t="s">
        <v>32</v>
      </c>
      <c r="I438" s="1" t="s">
        <v>62</v>
      </c>
      <c r="J438" s="1" t="s">
        <v>193</v>
      </c>
      <c r="K438" s="1" t="s">
        <v>194</v>
      </c>
      <c r="L438" s="1" t="s">
        <v>49</v>
      </c>
      <c r="M438" s="1" t="s">
        <v>65</v>
      </c>
      <c r="N438" s="1" t="s">
        <v>1408</v>
      </c>
      <c r="O438" s="1" t="s">
        <v>52</v>
      </c>
      <c r="P438" s="1">
        <v>6</v>
      </c>
      <c r="Q438" s="1">
        <v>1156.78</v>
      </c>
      <c r="R438" s="1">
        <v>0.05</v>
      </c>
      <c r="S438" s="1">
        <v>6593.65</v>
      </c>
      <c r="T438" s="1">
        <f t="shared" si="33"/>
        <v>6593.6459999999997</v>
      </c>
      <c r="U438" s="1">
        <v>4359.3900000000003</v>
      </c>
      <c r="V438" s="3">
        <f>IF(T438=0,"",X438/T438)</f>
        <v>0.33884985636171544</v>
      </c>
      <c r="W438" s="1">
        <v>2234.2600000000002</v>
      </c>
      <c r="X438" s="1">
        <f>T438-U438</f>
        <v>2234.2559999999994</v>
      </c>
      <c r="Y438" s="1" t="s">
        <v>40</v>
      </c>
      <c r="Z438" s="1" t="s">
        <v>111</v>
      </c>
      <c r="AA438" s="1">
        <f t="shared" si="30"/>
        <v>5</v>
      </c>
      <c r="AB438" s="2" t="str">
        <f t="shared" si="34"/>
        <v>Clean</v>
      </c>
      <c r="AC438" s="2"/>
    </row>
    <row r="439" spans="1:29">
      <c r="A439" s="1" t="s">
        <v>1409</v>
      </c>
      <c r="B439" s="2">
        <v>45337</v>
      </c>
      <c r="C439" s="2" t="str">
        <f t="shared" si="31"/>
        <v>February</v>
      </c>
      <c r="D439" s="1">
        <f t="shared" si="32"/>
        <v>2024</v>
      </c>
      <c r="E439" s="2">
        <v>45340</v>
      </c>
      <c r="F439" s="1" t="s">
        <v>1410</v>
      </c>
      <c r="G439" s="1" t="s">
        <v>97</v>
      </c>
      <c r="H439" s="1" t="s">
        <v>45</v>
      </c>
      <c r="I439" s="1" t="s">
        <v>62</v>
      </c>
      <c r="J439" s="1" t="s">
        <v>193</v>
      </c>
      <c r="K439" s="1" t="s">
        <v>194</v>
      </c>
      <c r="L439" s="1" t="s">
        <v>82</v>
      </c>
      <c r="M439" s="1" t="s">
        <v>83</v>
      </c>
      <c r="N439" s="1" t="s">
        <v>1411</v>
      </c>
      <c r="O439" s="1" t="s">
        <v>52</v>
      </c>
      <c r="P439" s="1">
        <v>8</v>
      </c>
      <c r="Q439" s="1">
        <v>379.82</v>
      </c>
      <c r="R439" s="1">
        <v>0.05</v>
      </c>
      <c r="S439" s="1">
        <v>2886.63</v>
      </c>
      <c r="T439" s="1">
        <f t="shared" si="33"/>
        <v>2886.6319999999996</v>
      </c>
      <c r="U439" s="1">
        <v>1588.23</v>
      </c>
      <c r="V439" s="3">
        <f>IF(T439=0,"",X439/T439)</f>
        <v>0.44979824238073984</v>
      </c>
      <c r="W439" s="1">
        <v>1298.4000000000001</v>
      </c>
      <c r="X439" s="1">
        <f>T439-U439</f>
        <v>1298.4019999999996</v>
      </c>
      <c r="Y439" s="1" t="s">
        <v>163</v>
      </c>
      <c r="Z439" s="1" t="s">
        <v>111</v>
      </c>
      <c r="AA439" s="1">
        <f t="shared" si="30"/>
        <v>3</v>
      </c>
      <c r="AB439" s="2" t="str">
        <f t="shared" si="34"/>
        <v>Clean</v>
      </c>
      <c r="AC439" s="2"/>
    </row>
    <row r="440" spans="1:29">
      <c r="A440" s="1" t="s">
        <v>1412</v>
      </c>
      <c r="B440" s="2">
        <v>45843</v>
      </c>
      <c r="C440" s="2" t="str">
        <f t="shared" si="31"/>
        <v>July</v>
      </c>
      <c r="D440" s="1">
        <f t="shared" si="32"/>
        <v>2025</v>
      </c>
      <c r="E440" s="2">
        <v>45782</v>
      </c>
      <c r="F440" s="1" t="s">
        <v>1413</v>
      </c>
      <c r="G440" s="1" t="s">
        <v>87</v>
      </c>
      <c r="H440" s="1" t="s">
        <v>98</v>
      </c>
      <c r="I440" s="1" t="s">
        <v>46</v>
      </c>
      <c r="J440" s="1" t="s">
        <v>237</v>
      </c>
      <c r="K440" s="1" t="s">
        <v>238</v>
      </c>
      <c r="L440" s="1" t="s">
        <v>82</v>
      </c>
      <c r="M440" s="1" t="s">
        <v>179</v>
      </c>
      <c r="N440" s="1" t="s">
        <v>1414</v>
      </c>
      <c r="O440" s="1" t="s">
        <v>67</v>
      </c>
      <c r="P440" s="1">
        <v>1</v>
      </c>
      <c r="Q440" s="1">
        <v>2266.4699999999998</v>
      </c>
      <c r="R440" s="1">
        <v>0.2</v>
      </c>
      <c r="S440" s="1">
        <v>1813.18</v>
      </c>
      <c r="T440" s="1">
        <f t="shared" si="33"/>
        <v>1813.1759999999999</v>
      </c>
      <c r="U440" s="1">
        <v>1363.64</v>
      </c>
      <c r="V440" s="3">
        <f>IF(T440=0,"",X440/T440)</f>
        <v>0.24792739370033567</v>
      </c>
      <c r="W440" s="1">
        <v>449.54</v>
      </c>
      <c r="X440" s="1">
        <f>T440-U440</f>
        <v>449.53599999999983</v>
      </c>
      <c r="Y440" s="1" t="s">
        <v>40</v>
      </c>
      <c r="Z440" s="1" t="s">
        <v>41</v>
      </c>
      <c r="AA440" s="4">
        <f t="shared" si="30"/>
        <v>-61</v>
      </c>
      <c r="AB440" s="2" t="str">
        <f t="shared" si="34"/>
        <v>Invalid</v>
      </c>
      <c r="AC440" s="2"/>
    </row>
    <row r="441" spans="1:29">
      <c r="A441" s="1" t="s">
        <v>1415</v>
      </c>
      <c r="B441" s="2">
        <v>45838</v>
      </c>
      <c r="C441" s="2" t="str">
        <f t="shared" si="31"/>
        <v>June</v>
      </c>
      <c r="D441" s="1">
        <f t="shared" si="32"/>
        <v>2025</v>
      </c>
      <c r="E441" s="2">
        <v>45723</v>
      </c>
      <c r="F441" s="1" t="s">
        <v>1416</v>
      </c>
      <c r="G441" s="1" t="s">
        <v>136</v>
      </c>
      <c r="H441" s="1" t="s">
        <v>103</v>
      </c>
      <c r="I441" s="1" t="s">
        <v>71</v>
      </c>
      <c r="J441" s="1" t="s">
        <v>198</v>
      </c>
      <c r="K441" s="1" t="s">
        <v>199</v>
      </c>
      <c r="L441" s="1" t="s">
        <v>36</v>
      </c>
      <c r="M441" s="1" t="s">
        <v>132</v>
      </c>
      <c r="N441" s="1" t="s">
        <v>1417</v>
      </c>
      <c r="O441" s="1" t="s">
        <v>52</v>
      </c>
      <c r="P441" s="1">
        <v>5</v>
      </c>
      <c r="Q441" s="1">
        <v>665.25</v>
      </c>
      <c r="R441" s="1">
        <v>0</v>
      </c>
      <c r="S441" s="1">
        <v>3326.25</v>
      </c>
      <c r="T441" s="1">
        <f t="shared" si="33"/>
        <v>3326.25</v>
      </c>
      <c r="U441" s="1">
        <v>2689.36</v>
      </c>
      <c r="V441" s="3">
        <f>IF(T441=0,"",X441/T441)</f>
        <v>0.19147388199924836</v>
      </c>
      <c r="W441" s="1">
        <v>636.89</v>
      </c>
      <c r="X441" s="1">
        <f>T441-U441</f>
        <v>636.88999999999987</v>
      </c>
      <c r="Y441" s="1" t="s">
        <v>110</v>
      </c>
      <c r="Z441" s="1" t="s">
        <v>111</v>
      </c>
      <c r="AA441" s="4">
        <f t="shared" si="30"/>
        <v>-115</v>
      </c>
      <c r="AB441" s="2" t="str">
        <f t="shared" si="34"/>
        <v>Invalid</v>
      </c>
      <c r="AC441" s="2"/>
    </row>
    <row r="442" spans="1:29">
      <c r="A442" s="1" t="s">
        <v>1418</v>
      </c>
      <c r="B442" s="2">
        <v>45384</v>
      </c>
      <c r="C442" s="2" t="str">
        <f t="shared" si="31"/>
        <v>April</v>
      </c>
      <c r="D442" s="1">
        <f t="shared" si="32"/>
        <v>2024</v>
      </c>
      <c r="E442" s="2">
        <v>45390</v>
      </c>
      <c r="F442" s="1" t="s">
        <v>279</v>
      </c>
      <c r="G442" s="1" t="s">
        <v>79</v>
      </c>
      <c r="H442" s="1" t="s">
        <v>98</v>
      </c>
      <c r="I442" s="1" t="s">
        <v>46</v>
      </c>
      <c r="J442" s="1" t="s">
        <v>47</v>
      </c>
      <c r="K442" s="1" t="s">
        <v>48</v>
      </c>
      <c r="L442" s="1" t="s">
        <v>82</v>
      </c>
      <c r="M442" s="1" t="s">
        <v>283</v>
      </c>
      <c r="N442" s="1" t="s">
        <v>1419</v>
      </c>
      <c r="O442" s="1" t="s">
        <v>39</v>
      </c>
      <c r="P442" s="1">
        <v>6</v>
      </c>
      <c r="Q442" s="1">
        <v>3722.84</v>
      </c>
      <c r="R442" s="1">
        <v>0.2</v>
      </c>
      <c r="S442" s="1">
        <v>17869.63</v>
      </c>
      <c r="T442" s="1">
        <f t="shared" si="33"/>
        <v>17869.632000000001</v>
      </c>
      <c r="U442" s="1">
        <v>12163.8</v>
      </c>
      <c r="V442" s="3">
        <f>IF(T442=0,"",X442/T442)</f>
        <v>0.31930327384469931</v>
      </c>
      <c r="W442" s="1">
        <v>5705.83</v>
      </c>
      <c r="X442" s="1">
        <f>T442-U442</f>
        <v>5705.8320000000022</v>
      </c>
      <c r="Y442" s="1" t="s">
        <v>40</v>
      </c>
      <c r="Z442" s="1" t="s">
        <v>41</v>
      </c>
      <c r="AA442" s="1">
        <f t="shared" si="30"/>
        <v>6</v>
      </c>
      <c r="AB442" s="2" t="str">
        <f t="shared" si="34"/>
        <v>Clean</v>
      </c>
      <c r="AC442" s="2"/>
    </row>
    <row r="443" spans="1:29">
      <c r="A443" s="1" t="s">
        <v>1420</v>
      </c>
      <c r="B443" s="2">
        <v>45361</v>
      </c>
      <c r="C443" s="2" t="str">
        <f t="shared" si="31"/>
        <v>March</v>
      </c>
      <c r="D443" s="1">
        <f t="shared" si="32"/>
        <v>2024</v>
      </c>
      <c r="E443" s="2">
        <v>45361</v>
      </c>
      <c r="F443" s="1" t="s">
        <v>1421</v>
      </c>
      <c r="G443" s="1" t="s">
        <v>31</v>
      </c>
      <c r="H443" s="1" t="s">
        <v>32</v>
      </c>
      <c r="I443" s="1" t="s">
        <v>46</v>
      </c>
      <c r="J443" s="1" t="s">
        <v>153</v>
      </c>
      <c r="K443" s="1" t="s">
        <v>154</v>
      </c>
      <c r="L443" s="1" t="s">
        <v>49</v>
      </c>
      <c r="M443" s="1" t="s">
        <v>166</v>
      </c>
      <c r="N443" s="1" t="s">
        <v>1422</v>
      </c>
      <c r="O443" s="1" t="s">
        <v>67</v>
      </c>
      <c r="P443" s="1">
        <v>6</v>
      </c>
      <c r="Q443" s="1">
        <v>4217.49</v>
      </c>
      <c r="R443" s="1">
        <v>0</v>
      </c>
      <c r="S443" s="1">
        <v>25304.94</v>
      </c>
      <c r="T443" s="1">
        <f t="shared" si="33"/>
        <v>25304.94</v>
      </c>
      <c r="U443" s="1">
        <v>20771.95</v>
      </c>
      <c r="V443" s="3">
        <f>IF(T443=0,"",X443/T443)</f>
        <v>0.17913458795002077</v>
      </c>
      <c r="W443" s="1">
        <v>4532.99</v>
      </c>
      <c r="X443" s="1">
        <f>T443-U443</f>
        <v>4532.989999999998</v>
      </c>
      <c r="Y443" s="1" t="s">
        <v>40</v>
      </c>
      <c r="Z443" s="1" t="s">
        <v>76</v>
      </c>
      <c r="AA443" s="1">
        <f t="shared" si="30"/>
        <v>0</v>
      </c>
      <c r="AB443" s="2" t="str">
        <f t="shared" si="34"/>
        <v>Clean</v>
      </c>
      <c r="AC443" s="2"/>
    </row>
    <row r="444" spans="1:29">
      <c r="A444" s="1" t="s">
        <v>1423</v>
      </c>
      <c r="B444" s="2">
        <v>45992</v>
      </c>
      <c r="C444" s="2" t="str">
        <f t="shared" si="31"/>
        <v>December</v>
      </c>
      <c r="D444" s="1">
        <f t="shared" si="32"/>
        <v>2025</v>
      </c>
      <c r="E444" s="2">
        <v>45676</v>
      </c>
      <c r="F444" s="1" t="s">
        <v>1424</v>
      </c>
      <c r="G444" s="1" t="s">
        <v>136</v>
      </c>
      <c r="H444" s="1" t="s">
        <v>32</v>
      </c>
      <c r="I444" s="1" t="s">
        <v>46</v>
      </c>
      <c r="J444" s="1" t="s">
        <v>237</v>
      </c>
      <c r="K444" s="1" t="s">
        <v>238</v>
      </c>
      <c r="L444" s="1" t="s">
        <v>49</v>
      </c>
      <c r="M444" s="1" t="s">
        <v>50</v>
      </c>
      <c r="N444" s="1" t="s">
        <v>1425</v>
      </c>
      <c r="O444" s="1" t="s">
        <v>58</v>
      </c>
      <c r="P444" s="1">
        <v>1</v>
      </c>
      <c r="Q444" s="1">
        <v>1842.31</v>
      </c>
      <c r="R444" s="1">
        <v>0</v>
      </c>
      <c r="S444" s="1">
        <v>1842.31</v>
      </c>
      <c r="T444" s="1">
        <f t="shared" si="33"/>
        <v>1842.31</v>
      </c>
      <c r="U444" s="1">
        <v>1019.17</v>
      </c>
      <c r="V444" s="3">
        <f>IF(T444=0,"",X444/T444)</f>
        <v>0.44679777019068451</v>
      </c>
      <c r="W444" s="1">
        <v>823.14</v>
      </c>
      <c r="X444" s="1">
        <f>T444-U444</f>
        <v>823.14</v>
      </c>
      <c r="Y444" s="1" t="s">
        <v>40</v>
      </c>
      <c r="Z444" s="1" t="s">
        <v>41</v>
      </c>
      <c r="AA444" s="4">
        <f t="shared" si="30"/>
        <v>-316</v>
      </c>
      <c r="AB444" s="2" t="str">
        <f t="shared" si="34"/>
        <v>Invalid</v>
      </c>
      <c r="AC444" s="2"/>
    </row>
    <row r="445" spans="1:29">
      <c r="A445" s="1" t="s">
        <v>1426</v>
      </c>
      <c r="B445" s="2">
        <v>45386</v>
      </c>
      <c r="C445" s="2" t="str">
        <f t="shared" si="31"/>
        <v>April</v>
      </c>
      <c r="D445" s="1">
        <f t="shared" si="32"/>
        <v>2024</v>
      </c>
      <c r="E445" s="2">
        <v>45477</v>
      </c>
      <c r="F445" s="1" t="s">
        <v>1427</v>
      </c>
      <c r="G445" s="1" t="s">
        <v>149</v>
      </c>
      <c r="H445" s="1" t="s">
        <v>103</v>
      </c>
      <c r="I445" s="1" t="s">
        <v>46</v>
      </c>
      <c r="J445" s="1" t="s">
        <v>47</v>
      </c>
      <c r="K445" s="1" t="s">
        <v>48</v>
      </c>
      <c r="L445" s="1" t="s">
        <v>49</v>
      </c>
      <c r="M445" s="1" t="s">
        <v>65</v>
      </c>
      <c r="N445" s="1" t="s">
        <v>1428</v>
      </c>
      <c r="O445" s="1" t="s">
        <v>58</v>
      </c>
      <c r="P445" s="1">
        <v>1</v>
      </c>
      <c r="Q445" s="1">
        <v>3683.75</v>
      </c>
      <c r="R445" s="1">
        <v>0.1</v>
      </c>
      <c r="S445" s="1">
        <v>3315.38</v>
      </c>
      <c r="T445" s="1">
        <f t="shared" si="33"/>
        <v>3315.375</v>
      </c>
      <c r="U445" s="1">
        <v>2347.6799999999998</v>
      </c>
      <c r="V445" s="3">
        <f>IF(T445=0,"",X445/T445)</f>
        <v>0.29188100893564084</v>
      </c>
      <c r="W445" s="1">
        <v>967.7</v>
      </c>
      <c r="X445" s="1">
        <f>T445-U445</f>
        <v>967.69500000000016</v>
      </c>
      <c r="Y445" s="1" t="s">
        <v>40</v>
      </c>
      <c r="Z445" s="1" t="s">
        <v>41</v>
      </c>
      <c r="AA445" s="1">
        <f t="shared" si="30"/>
        <v>91</v>
      </c>
      <c r="AB445" s="2" t="str">
        <f t="shared" si="34"/>
        <v>Clean</v>
      </c>
      <c r="AC445" s="2"/>
    </row>
    <row r="446" spans="1:29">
      <c r="A446" s="1" t="s">
        <v>1429</v>
      </c>
      <c r="B446" s="2">
        <v>45999</v>
      </c>
      <c r="C446" s="2" t="str">
        <f t="shared" si="31"/>
        <v>December</v>
      </c>
      <c r="D446" s="1">
        <f t="shared" si="32"/>
        <v>2025</v>
      </c>
      <c r="E446" s="2">
        <v>45885</v>
      </c>
      <c r="F446" s="1" t="s">
        <v>1430</v>
      </c>
      <c r="G446" s="1" t="s">
        <v>70</v>
      </c>
      <c r="H446" s="1" t="s">
        <v>32</v>
      </c>
      <c r="I446" s="1" t="s">
        <v>46</v>
      </c>
      <c r="J446" s="1" t="s">
        <v>174</v>
      </c>
      <c r="K446" s="1" t="s">
        <v>175</v>
      </c>
      <c r="L446" s="1" t="s">
        <v>82</v>
      </c>
      <c r="M446" s="1" t="s">
        <v>83</v>
      </c>
      <c r="N446" s="1" t="s">
        <v>1431</v>
      </c>
      <c r="O446" s="1" t="s">
        <v>52</v>
      </c>
      <c r="P446" s="1">
        <v>9</v>
      </c>
      <c r="Q446" s="1">
        <v>2379.2399999999998</v>
      </c>
      <c r="R446" s="1">
        <v>0.05</v>
      </c>
      <c r="S446" s="1">
        <v>20342.5</v>
      </c>
      <c r="T446" s="1">
        <f t="shared" si="33"/>
        <v>20342.501999999997</v>
      </c>
      <c r="U446" s="1">
        <v>12407.51</v>
      </c>
      <c r="V446" s="3">
        <f>IF(T446=0,"",X446/T446)</f>
        <v>0.39006961877157481</v>
      </c>
      <c r="W446" s="1">
        <v>7934.99</v>
      </c>
      <c r="X446" s="1">
        <f>T446-U446</f>
        <v>7934.9919999999966</v>
      </c>
      <c r="Y446" s="1" t="s">
        <v>40</v>
      </c>
      <c r="Z446" s="1" t="s">
        <v>41</v>
      </c>
      <c r="AA446" s="4">
        <f t="shared" si="30"/>
        <v>-114</v>
      </c>
      <c r="AB446" s="2" t="str">
        <f t="shared" si="34"/>
        <v>Invalid</v>
      </c>
      <c r="AC446" s="2"/>
    </row>
    <row r="447" spans="1:29">
      <c r="A447" s="1" t="s">
        <v>1432</v>
      </c>
      <c r="B447" s="2">
        <v>45421</v>
      </c>
      <c r="C447" s="2" t="str">
        <f t="shared" si="31"/>
        <v>May</v>
      </c>
      <c r="D447" s="1">
        <f t="shared" si="32"/>
        <v>2024</v>
      </c>
      <c r="E447" s="2">
        <v>45417</v>
      </c>
      <c r="F447" s="1" t="s">
        <v>1433</v>
      </c>
      <c r="G447" s="1" t="s">
        <v>61</v>
      </c>
      <c r="H447" s="1" t="s">
        <v>32</v>
      </c>
      <c r="I447" s="1" t="s">
        <v>46</v>
      </c>
      <c r="J447" s="1" t="s">
        <v>174</v>
      </c>
      <c r="K447" s="1" t="s">
        <v>175</v>
      </c>
      <c r="L447" s="1" t="s">
        <v>49</v>
      </c>
      <c r="M447" s="1" t="s">
        <v>166</v>
      </c>
      <c r="N447" s="1" t="s">
        <v>1434</v>
      </c>
      <c r="O447" s="1" t="s">
        <v>52</v>
      </c>
      <c r="P447" s="1">
        <v>2</v>
      </c>
      <c r="Q447" s="1">
        <v>2111.23</v>
      </c>
      <c r="R447" s="1">
        <v>0.2</v>
      </c>
      <c r="S447" s="1">
        <v>3377.97</v>
      </c>
      <c r="T447" s="1">
        <f t="shared" si="33"/>
        <v>3377.9680000000003</v>
      </c>
      <c r="U447" s="1">
        <v>2496.29</v>
      </c>
      <c r="V447" s="3">
        <f>IF(T447=0,"",X447/T447)</f>
        <v>0.26100839321154029</v>
      </c>
      <c r="W447" s="1">
        <v>881.68</v>
      </c>
      <c r="X447" s="1">
        <f>T447-U447</f>
        <v>881.67800000000034</v>
      </c>
      <c r="Y447" s="1" t="s">
        <v>40</v>
      </c>
      <c r="Z447" s="1" t="s">
        <v>41</v>
      </c>
      <c r="AA447" s="4">
        <f t="shared" si="30"/>
        <v>-4</v>
      </c>
      <c r="AB447" s="2" t="str">
        <f t="shared" si="34"/>
        <v>Invalid</v>
      </c>
      <c r="AC447" s="2"/>
    </row>
    <row r="448" spans="1:29">
      <c r="A448" s="1" t="s">
        <v>1435</v>
      </c>
      <c r="B448" s="2">
        <v>45918</v>
      </c>
      <c r="C448" s="2" t="str">
        <f t="shared" si="31"/>
        <v>September</v>
      </c>
      <c r="D448" s="1">
        <f t="shared" si="32"/>
        <v>2025</v>
      </c>
      <c r="E448" s="2">
        <v>45919</v>
      </c>
      <c r="F448" s="1" t="s">
        <v>1436</v>
      </c>
      <c r="G448" s="1" t="s">
        <v>140</v>
      </c>
      <c r="H448" s="1" t="s">
        <v>103</v>
      </c>
      <c r="I448" s="1" t="s">
        <v>62</v>
      </c>
      <c r="J448" s="1" t="s">
        <v>92</v>
      </c>
      <c r="K448" s="1" t="s">
        <v>93</v>
      </c>
      <c r="L448" s="1" t="s">
        <v>36</v>
      </c>
      <c r="M448" s="1" t="s">
        <v>132</v>
      </c>
      <c r="N448" s="1" t="s">
        <v>1437</v>
      </c>
      <c r="O448" s="1" t="s">
        <v>52</v>
      </c>
      <c r="P448" s="1">
        <v>8</v>
      </c>
      <c r="Q448" s="1">
        <v>4242.51</v>
      </c>
      <c r="R448" s="1">
        <v>0</v>
      </c>
      <c r="S448" s="1">
        <v>33940.080000000002</v>
      </c>
      <c r="T448" s="1">
        <f t="shared" si="33"/>
        <v>33940.080000000002</v>
      </c>
      <c r="U448" s="1">
        <v>23754.19</v>
      </c>
      <c r="V448" s="3">
        <f>IF(T448=0,"",X448/T448)</f>
        <v>0.30011390662603044</v>
      </c>
      <c r="W448" s="1">
        <v>10185.89</v>
      </c>
      <c r="X448" s="1">
        <f>T448-U448</f>
        <v>10185.890000000003</v>
      </c>
      <c r="Y448" s="1" t="s">
        <v>40</v>
      </c>
      <c r="Z448" s="1" t="s">
        <v>41</v>
      </c>
      <c r="AA448" s="1">
        <f t="shared" si="30"/>
        <v>1</v>
      </c>
      <c r="AB448" s="2" t="str">
        <f t="shared" si="34"/>
        <v>Clean</v>
      </c>
      <c r="AC448" s="2"/>
    </row>
    <row r="449" spans="1:29">
      <c r="A449" s="1" t="s">
        <v>1438</v>
      </c>
      <c r="B449" s="2">
        <v>45938</v>
      </c>
      <c r="C449" s="2" t="str">
        <f t="shared" si="31"/>
        <v>October</v>
      </c>
      <c r="D449" s="1">
        <f t="shared" si="32"/>
        <v>2025</v>
      </c>
      <c r="E449" s="2">
        <v>45938</v>
      </c>
      <c r="F449" s="1" t="s">
        <v>1439</v>
      </c>
      <c r="G449" s="1" t="s">
        <v>149</v>
      </c>
      <c r="H449" s="1" t="s">
        <v>103</v>
      </c>
      <c r="I449" s="1" t="s">
        <v>62</v>
      </c>
      <c r="J449" s="1" t="s">
        <v>63</v>
      </c>
      <c r="K449" s="1" t="s">
        <v>64</v>
      </c>
      <c r="L449" s="1" t="s">
        <v>49</v>
      </c>
      <c r="M449" s="1" t="s">
        <v>166</v>
      </c>
      <c r="N449" s="1" t="s">
        <v>1440</v>
      </c>
      <c r="O449" s="1" t="s">
        <v>67</v>
      </c>
      <c r="P449" s="1">
        <v>6</v>
      </c>
      <c r="Q449" s="1">
        <v>4288.7</v>
      </c>
      <c r="R449" s="1">
        <v>0.15</v>
      </c>
      <c r="S449" s="1">
        <v>21872.37</v>
      </c>
      <c r="T449" s="1">
        <f t="shared" si="33"/>
        <v>21872.369999999995</v>
      </c>
      <c r="U449" s="1">
        <v>13829.5</v>
      </c>
      <c r="V449" s="3">
        <f>IF(T449=0,"",X449/T449)</f>
        <v>0.36771826738483288</v>
      </c>
      <c r="W449" s="1">
        <v>8042.87</v>
      </c>
      <c r="X449" s="1">
        <f>T449-U449</f>
        <v>8042.8699999999953</v>
      </c>
      <c r="Y449" s="1" t="s">
        <v>119</v>
      </c>
      <c r="Z449" s="1" t="s">
        <v>111</v>
      </c>
      <c r="AA449" s="1">
        <f t="shared" si="30"/>
        <v>0</v>
      </c>
      <c r="AB449" s="2" t="str">
        <f t="shared" si="34"/>
        <v>Clean</v>
      </c>
      <c r="AC449" s="2"/>
    </row>
    <row r="450" spans="1:29">
      <c r="A450" s="1" t="s">
        <v>1441</v>
      </c>
      <c r="B450" s="2">
        <v>45306</v>
      </c>
      <c r="C450" s="2" t="str">
        <f t="shared" si="31"/>
        <v>January</v>
      </c>
      <c r="D450" s="1">
        <f t="shared" si="32"/>
        <v>2024</v>
      </c>
      <c r="E450" s="2">
        <v>45309</v>
      </c>
      <c r="F450" s="1" t="s">
        <v>1442</v>
      </c>
      <c r="G450" s="1" t="s">
        <v>44</v>
      </c>
      <c r="H450" s="1" t="s">
        <v>45</v>
      </c>
      <c r="I450" s="1" t="s">
        <v>62</v>
      </c>
      <c r="J450" s="1" t="s">
        <v>92</v>
      </c>
      <c r="K450" s="1" t="s">
        <v>93</v>
      </c>
      <c r="L450" s="1" t="s">
        <v>49</v>
      </c>
      <c r="M450" s="1" t="s">
        <v>74</v>
      </c>
      <c r="N450" s="1" t="s">
        <v>1443</v>
      </c>
      <c r="O450" s="1" t="s">
        <v>58</v>
      </c>
      <c r="P450" s="1">
        <v>2</v>
      </c>
      <c r="Q450" s="1">
        <v>201.21</v>
      </c>
      <c r="R450" s="1">
        <v>0.15</v>
      </c>
      <c r="S450" s="1">
        <v>342.06</v>
      </c>
      <c r="T450" s="1">
        <f t="shared" si="33"/>
        <v>342.05700000000002</v>
      </c>
      <c r="U450" s="1">
        <v>244.57</v>
      </c>
      <c r="V450" s="3">
        <f>IF(T450=0,"",X450/T450)</f>
        <v>0.28500220723446684</v>
      </c>
      <c r="W450" s="1">
        <v>97.49</v>
      </c>
      <c r="X450" s="1">
        <f>T450-U450</f>
        <v>97.487000000000023</v>
      </c>
      <c r="Y450" s="1" t="s">
        <v>40</v>
      </c>
      <c r="Z450" s="1" t="s">
        <v>41</v>
      </c>
      <c r="AA450" s="1">
        <f t="shared" ref="AA450:AA513" si="35">E450-B450</f>
        <v>3</v>
      </c>
      <c r="AB450" s="2" t="str">
        <f t="shared" si="34"/>
        <v>Clean</v>
      </c>
      <c r="AC450" s="2"/>
    </row>
    <row r="451" spans="1:29">
      <c r="A451" s="1" t="s">
        <v>1444</v>
      </c>
      <c r="B451" s="2">
        <v>45449</v>
      </c>
      <c r="C451" s="2" t="str">
        <f t="shared" ref="C451:C514" si="36">TEXT(B451,"mmmm")</f>
        <v>June</v>
      </c>
      <c r="D451" s="1">
        <f t="shared" ref="D451:D514" si="37">YEAR(B451)</f>
        <v>2024</v>
      </c>
      <c r="E451" s="2">
        <v>45456</v>
      </c>
      <c r="F451" s="1" t="s">
        <v>1338</v>
      </c>
      <c r="G451" s="1" t="s">
        <v>97</v>
      </c>
      <c r="H451" s="1" t="s">
        <v>98</v>
      </c>
      <c r="I451" s="1" t="s">
        <v>46</v>
      </c>
      <c r="J451" s="1" t="s">
        <v>174</v>
      </c>
      <c r="K451" s="1" t="s">
        <v>175</v>
      </c>
      <c r="L451" s="1" t="s">
        <v>82</v>
      </c>
      <c r="M451" s="1" t="s">
        <v>283</v>
      </c>
      <c r="N451" s="1" t="s">
        <v>1445</v>
      </c>
      <c r="O451" s="1" t="s">
        <v>39</v>
      </c>
      <c r="P451" s="1">
        <v>6</v>
      </c>
      <c r="Q451" s="1">
        <v>3270.36</v>
      </c>
      <c r="R451" s="1">
        <v>0</v>
      </c>
      <c r="S451" s="1">
        <v>19622.16</v>
      </c>
      <c r="T451" s="1">
        <f t="shared" ref="T451:T514" si="38">P451*Q451*(1-R451)</f>
        <v>19622.16</v>
      </c>
      <c r="U451" s="1">
        <v>14271.27</v>
      </c>
      <c r="V451" s="3">
        <f>IF(T451=0,"",X451/T451)</f>
        <v>0.27269627808559299</v>
      </c>
      <c r="W451" s="1">
        <v>5350.89</v>
      </c>
      <c r="X451" s="1">
        <f>T451-U451</f>
        <v>5350.8899999999994</v>
      </c>
      <c r="Y451" s="1" t="s">
        <v>40</v>
      </c>
      <c r="Z451" s="1" t="s">
        <v>41</v>
      </c>
      <c r="AA451" s="1">
        <f t="shared" si="35"/>
        <v>7</v>
      </c>
      <c r="AB451" s="2" t="str">
        <f t="shared" ref="AB451:AB514" si="39">IF(OR(AA451&lt;0,R451&lt;0),"Invalid",IF(OR(I451="Unknown",O451="Unknown"),"Warning","Clean"))</f>
        <v>Clean</v>
      </c>
      <c r="AC451" s="2"/>
    </row>
    <row r="452" spans="1:29">
      <c r="A452" s="1" t="s">
        <v>1446</v>
      </c>
      <c r="B452" s="2">
        <v>45820</v>
      </c>
      <c r="C452" s="2" t="str">
        <f t="shared" si="36"/>
        <v>June</v>
      </c>
      <c r="D452" s="1">
        <f t="shared" si="37"/>
        <v>2025</v>
      </c>
      <c r="E452" s="2">
        <v>45827</v>
      </c>
      <c r="F452" s="1" t="s">
        <v>1447</v>
      </c>
      <c r="G452" s="1" t="s">
        <v>70</v>
      </c>
      <c r="H452" s="1" t="s">
        <v>98</v>
      </c>
      <c r="I452" s="1" t="s">
        <v>33</v>
      </c>
      <c r="J452" s="1" t="s">
        <v>359</v>
      </c>
      <c r="K452" s="1" t="s">
        <v>360</v>
      </c>
      <c r="L452" s="1" t="s">
        <v>49</v>
      </c>
      <c r="M452" s="1" t="s">
        <v>74</v>
      </c>
      <c r="N452" s="1" t="s">
        <v>1448</v>
      </c>
      <c r="O452" s="1" t="s">
        <v>67</v>
      </c>
      <c r="P452" s="1">
        <v>9</v>
      </c>
      <c r="Q452" s="1">
        <v>2278.5700000000002</v>
      </c>
      <c r="R452" s="1">
        <v>0.25</v>
      </c>
      <c r="S452" s="1">
        <v>15380.35</v>
      </c>
      <c r="T452" s="1">
        <f t="shared" si="38"/>
        <v>15380.3475</v>
      </c>
      <c r="U452" s="1">
        <v>9907.3700000000008</v>
      </c>
      <c r="V452" s="3">
        <f>IF(T452=0,"",X452/T452)</f>
        <v>0.35584225258889624</v>
      </c>
      <c r="W452" s="1">
        <v>5472.98</v>
      </c>
      <c r="X452" s="1">
        <f>T452-U452</f>
        <v>5472.9774999999991</v>
      </c>
      <c r="Y452" s="1" t="s">
        <v>40</v>
      </c>
      <c r="Z452" s="1" t="s">
        <v>41</v>
      </c>
      <c r="AA452" s="1">
        <f t="shared" si="35"/>
        <v>7</v>
      </c>
      <c r="AB452" s="2" t="str">
        <f t="shared" si="39"/>
        <v>Clean</v>
      </c>
      <c r="AC452" s="2"/>
    </row>
    <row r="453" spans="1:29">
      <c r="A453" s="1" t="s">
        <v>1449</v>
      </c>
      <c r="B453" s="2">
        <v>45375</v>
      </c>
      <c r="C453" s="2" t="str">
        <f t="shared" si="36"/>
        <v>March</v>
      </c>
      <c r="D453" s="1">
        <f t="shared" si="37"/>
        <v>2024</v>
      </c>
      <c r="E453" s="2">
        <v>45377</v>
      </c>
      <c r="F453" s="1" t="s">
        <v>1450</v>
      </c>
      <c r="G453" s="1" t="s">
        <v>149</v>
      </c>
      <c r="H453" s="1" t="s">
        <v>45</v>
      </c>
      <c r="I453" s="1" t="s">
        <v>33</v>
      </c>
      <c r="J453" s="1" t="s">
        <v>245</v>
      </c>
      <c r="K453" s="1" t="s">
        <v>246</v>
      </c>
      <c r="L453" s="1" t="s">
        <v>36</v>
      </c>
      <c r="M453" s="1" t="s">
        <v>37</v>
      </c>
      <c r="N453" s="1" t="s">
        <v>1451</v>
      </c>
      <c r="O453" s="1" t="s">
        <v>39</v>
      </c>
      <c r="P453" s="1">
        <v>8</v>
      </c>
      <c r="Q453" s="1">
        <v>1917.64</v>
      </c>
      <c r="R453" s="1">
        <v>0.15</v>
      </c>
      <c r="S453" s="1">
        <v>13039.95</v>
      </c>
      <c r="T453" s="1">
        <f t="shared" si="38"/>
        <v>13039.952000000001</v>
      </c>
      <c r="U453" s="1">
        <v>11127.82</v>
      </c>
      <c r="V453" s="3">
        <f>IF(T453=0,"",X453/T453)</f>
        <v>0.1466364293365498</v>
      </c>
      <c r="W453" s="1">
        <v>1912.13</v>
      </c>
      <c r="X453" s="1">
        <f>T453-U453</f>
        <v>1912.1320000000014</v>
      </c>
      <c r="Y453" s="1" t="s">
        <v>40</v>
      </c>
      <c r="Z453" s="1" t="s">
        <v>76</v>
      </c>
      <c r="AA453" s="1">
        <f t="shared" si="35"/>
        <v>2</v>
      </c>
      <c r="AB453" s="2" t="str">
        <f t="shared" si="39"/>
        <v>Clean</v>
      </c>
      <c r="AC453" s="2"/>
    </row>
    <row r="454" spans="1:29">
      <c r="A454" s="1" t="s">
        <v>1452</v>
      </c>
      <c r="B454" s="2">
        <v>45570</v>
      </c>
      <c r="C454" s="2" t="str">
        <f t="shared" si="36"/>
        <v>October</v>
      </c>
      <c r="D454" s="1">
        <f t="shared" si="37"/>
        <v>2024</v>
      </c>
      <c r="E454" s="2">
        <v>45428</v>
      </c>
      <c r="F454" s="1" t="s">
        <v>1453</v>
      </c>
      <c r="G454" s="1" t="s">
        <v>170</v>
      </c>
      <c r="H454" s="1" t="s">
        <v>103</v>
      </c>
      <c r="I454" s="1" t="s">
        <v>46</v>
      </c>
      <c r="J454" s="1" t="s">
        <v>237</v>
      </c>
      <c r="K454" s="1" t="s">
        <v>238</v>
      </c>
      <c r="L454" s="1" t="s">
        <v>82</v>
      </c>
      <c r="M454" s="1" t="s">
        <v>83</v>
      </c>
      <c r="N454" s="1" t="s">
        <v>1454</v>
      </c>
      <c r="O454" s="1" t="s">
        <v>39</v>
      </c>
      <c r="P454" s="1">
        <v>6</v>
      </c>
      <c r="Q454" s="1">
        <v>2013.33</v>
      </c>
      <c r="R454" s="1">
        <v>0.2</v>
      </c>
      <c r="S454" s="1">
        <v>9663.98</v>
      </c>
      <c r="T454" s="1">
        <f t="shared" si="38"/>
        <v>9663.9840000000004</v>
      </c>
      <c r="U454" s="1">
        <v>5628.93</v>
      </c>
      <c r="V454" s="3">
        <f>IF(T454=0,"",X454/T454)</f>
        <v>0.41753525254180884</v>
      </c>
      <c r="W454" s="1">
        <v>4035.05</v>
      </c>
      <c r="X454" s="1">
        <f>T454-U454</f>
        <v>4035.0540000000001</v>
      </c>
      <c r="Y454" s="1" t="s">
        <v>40</v>
      </c>
      <c r="Z454" s="1" t="s">
        <v>41</v>
      </c>
      <c r="AA454" s="4">
        <f t="shared" si="35"/>
        <v>-142</v>
      </c>
      <c r="AB454" s="2" t="str">
        <f t="shared" si="39"/>
        <v>Invalid</v>
      </c>
      <c r="AC454" s="2"/>
    </row>
    <row r="455" spans="1:29">
      <c r="A455" s="1" t="s">
        <v>1455</v>
      </c>
      <c r="B455" s="2">
        <v>45780</v>
      </c>
      <c r="C455" s="2" t="str">
        <f t="shared" si="36"/>
        <v>May</v>
      </c>
      <c r="D455" s="1">
        <f t="shared" si="37"/>
        <v>2025</v>
      </c>
      <c r="E455" s="2">
        <v>45966</v>
      </c>
      <c r="F455" s="1" t="s">
        <v>1456</v>
      </c>
      <c r="G455" s="1" t="s">
        <v>149</v>
      </c>
      <c r="H455" s="1" t="s">
        <v>45</v>
      </c>
      <c r="I455" s="1" t="s">
        <v>71</v>
      </c>
      <c r="J455" s="1" t="s">
        <v>80</v>
      </c>
      <c r="K455" s="1" t="s">
        <v>81</v>
      </c>
      <c r="L455" s="1" t="s">
        <v>36</v>
      </c>
      <c r="M455" s="1" t="s">
        <v>99</v>
      </c>
      <c r="N455" s="1" t="s">
        <v>1457</v>
      </c>
      <c r="O455" s="1" t="s">
        <v>52</v>
      </c>
      <c r="P455" s="1">
        <v>5</v>
      </c>
      <c r="Q455" s="1">
        <v>1483.52</v>
      </c>
      <c r="R455" s="1">
        <v>0</v>
      </c>
      <c r="S455" s="1">
        <v>7417.6</v>
      </c>
      <c r="T455" s="1">
        <f t="shared" si="38"/>
        <v>7417.6</v>
      </c>
      <c r="U455" s="1">
        <v>4955.8599999999997</v>
      </c>
      <c r="V455" s="3">
        <f>IF(T455=0,"",X455/T455)</f>
        <v>0.3318782355478862</v>
      </c>
      <c r="W455" s="1">
        <v>2461.7399999999998</v>
      </c>
      <c r="X455" s="1">
        <f>T455-U455</f>
        <v>2461.7400000000007</v>
      </c>
      <c r="Y455" s="1" t="s">
        <v>40</v>
      </c>
      <c r="Z455" s="1" t="s">
        <v>41</v>
      </c>
      <c r="AA455" s="1">
        <f t="shared" si="35"/>
        <v>186</v>
      </c>
      <c r="AB455" s="2" t="str">
        <f t="shared" si="39"/>
        <v>Clean</v>
      </c>
      <c r="AC455" s="2"/>
    </row>
    <row r="456" spans="1:29">
      <c r="A456" s="1" t="s">
        <v>1458</v>
      </c>
      <c r="B456" s="2">
        <v>45739</v>
      </c>
      <c r="C456" s="2" t="str">
        <f t="shared" si="36"/>
        <v>March</v>
      </c>
      <c r="D456" s="1">
        <f t="shared" si="37"/>
        <v>2025</v>
      </c>
      <c r="E456" s="2">
        <v>45744</v>
      </c>
      <c r="F456" s="1" t="s">
        <v>1459</v>
      </c>
      <c r="G456" s="1" t="s">
        <v>79</v>
      </c>
      <c r="H456" s="1" t="s">
        <v>45</v>
      </c>
      <c r="I456" s="1" t="s">
        <v>33</v>
      </c>
      <c r="J456" s="1" t="s">
        <v>34</v>
      </c>
      <c r="K456" s="1" t="s">
        <v>35</v>
      </c>
      <c r="L456" s="1" t="s">
        <v>49</v>
      </c>
      <c r="M456" s="1" t="s">
        <v>65</v>
      </c>
      <c r="N456" s="1" t="s">
        <v>1460</v>
      </c>
      <c r="O456" s="1" t="s">
        <v>67</v>
      </c>
      <c r="P456" s="1">
        <v>9</v>
      </c>
      <c r="Q456" s="1">
        <v>3298</v>
      </c>
      <c r="R456" s="1">
        <v>0.15</v>
      </c>
      <c r="S456" s="1">
        <v>25229.7</v>
      </c>
      <c r="T456" s="1">
        <f t="shared" si="38"/>
        <v>25229.7</v>
      </c>
      <c r="U456" s="1">
        <v>20170.43</v>
      </c>
      <c r="V456" s="3">
        <f>IF(T456=0,"",X456/T456)</f>
        <v>0.20052834556098567</v>
      </c>
      <c r="W456" s="1">
        <v>5059.2700000000004</v>
      </c>
      <c r="X456" s="1">
        <f>T456-U456</f>
        <v>5059.2700000000004</v>
      </c>
      <c r="Y456" s="1" t="s">
        <v>40</v>
      </c>
      <c r="Z456" s="1" t="s">
        <v>41</v>
      </c>
      <c r="AA456" s="1">
        <f t="shared" si="35"/>
        <v>5</v>
      </c>
      <c r="AB456" s="2" t="str">
        <f t="shared" si="39"/>
        <v>Clean</v>
      </c>
      <c r="AC456" s="2"/>
    </row>
    <row r="457" spans="1:29">
      <c r="A457" s="1" t="s">
        <v>1461</v>
      </c>
      <c r="B457" s="2">
        <v>45491</v>
      </c>
      <c r="C457" s="2" t="str">
        <f t="shared" si="36"/>
        <v>July</v>
      </c>
      <c r="D457" s="1">
        <f t="shared" si="37"/>
        <v>2024</v>
      </c>
      <c r="E457" s="2">
        <v>45495</v>
      </c>
      <c r="F457" s="1" t="s">
        <v>1462</v>
      </c>
      <c r="G457" s="1" t="s">
        <v>87</v>
      </c>
      <c r="H457" s="1" t="s">
        <v>45</v>
      </c>
      <c r="I457" s="1" t="s">
        <v>62</v>
      </c>
      <c r="J457" s="1" t="s">
        <v>63</v>
      </c>
      <c r="K457" s="1" t="s">
        <v>64</v>
      </c>
      <c r="L457" s="1" t="s">
        <v>36</v>
      </c>
      <c r="M457" s="1" t="s">
        <v>56</v>
      </c>
      <c r="N457" s="1" t="s">
        <v>1463</v>
      </c>
      <c r="O457" s="1" t="s">
        <v>67</v>
      </c>
      <c r="P457" s="1">
        <v>4</v>
      </c>
      <c r="Q457" s="1">
        <v>808.77</v>
      </c>
      <c r="R457" s="1">
        <v>0</v>
      </c>
      <c r="S457" s="1">
        <v>3235.08</v>
      </c>
      <c r="T457" s="1">
        <f t="shared" si="38"/>
        <v>3235.08</v>
      </c>
      <c r="U457" s="1">
        <v>1848.6</v>
      </c>
      <c r="V457" s="3">
        <f>IF(T457=0,"",X457/T457)</f>
        <v>0.42857672762342819</v>
      </c>
      <c r="W457" s="1">
        <v>1386.48</v>
      </c>
      <c r="X457" s="1">
        <f>T457-U457</f>
        <v>1386.48</v>
      </c>
      <c r="Y457" s="1" t="s">
        <v>40</v>
      </c>
      <c r="Z457" s="1" t="s">
        <v>41</v>
      </c>
      <c r="AA457" s="1">
        <f t="shared" si="35"/>
        <v>4</v>
      </c>
      <c r="AB457" s="2" t="str">
        <f t="shared" si="39"/>
        <v>Clean</v>
      </c>
      <c r="AC457" s="2"/>
    </row>
    <row r="458" spans="1:29">
      <c r="A458" s="1" t="s">
        <v>1464</v>
      </c>
      <c r="B458" s="2">
        <v>45342</v>
      </c>
      <c r="C458" s="2" t="str">
        <f t="shared" si="36"/>
        <v>February</v>
      </c>
      <c r="D458" s="1">
        <f t="shared" si="37"/>
        <v>2024</v>
      </c>
      <c r="E458" s="2">
        <v>45342</v>
      </c>
      <c r="F458" s="1" t="s">
        <v>1465</v>
      </c>
      <c r="G458" s="1" t="s">
        <v>87</v>
      </c>
      <c r="H458" s="1" t="s">
        <v>98</v>
      </c>
      <c r="I458" s="1" t="s">
        <v>33</v>
      </c>
      <c r="J458" s="1" t="s">
        <v>144</v>
      </c>
      <c r="K458" s="1" t="s">
        <v>145</v>
      </c>
      <c r="L458" s="1" t="s">
        <v>82</v>
      </c>
      <c r="M458" s="1" t="s">
        <v>83</v>
      </c>
      <c r="N458" s="1" t="s">
        <v>1466</v>
      </c>
      <c r="O458" s="1" t="s">
        <v>52</v>
      </c>
      <c r="P458" s="1">
        <v>5</v>
      </c>
      <c r="Q458" s="1">
        <v>2604.91</v>
      </c>
      <c r="R458" s="1">
        <v>0.15</v>
      </c>
      <c r="S458" s="1">
        <v>11070.87</v>
      </c>
      <c r="T458" s="1">
        <f t="shared" si="38"/>
        <v>11070.867499999998</v>
      </c>
      <c r="U458" s="1">
        <v>6623.61</v>
      </c>
      <c r="V458" s="3">
        <f>IF(T458=0,"",X458/T458)</f>
        <v>0.40170813172499803</v>
      </c>
      <c r="W458" s="1">
        <v>4447.26</v>
      </c>
      <c r="X458" s="1">
        <f>T458-U458</f>
        <v>4447.2574999999988</v>
      </c>
      <c r="Y458" s="1" t="s">
        <v>40</v>
      </c>
      <c r="Z458" s="1" t="s">
        <v>111</v>
      </c>
      <c r="AA458" s="1">
        <f t="shared" si="35"/>
        <v>0</v>
      </c>
      <c r="AB458" s="2" t="str">
        <f t="shared" si="39"/>
        <v>Clean</v>
      </c>
      <c r="AC458" s="2"/>
    </row>
    <row r="459" spans="1:29">
      <c r="A459" s="1" t="s">
        <v>1467</v>
      </c>
      <c r="B459" s="2">
        <v>45416</v>
      </c>
      <c r="C459" s="2" t="str">
        <f t="shared" si="36"/>
        <v>May</v>
      </c>
      <c r="D459" s="1">
        <f t="shared" si="37"/>
        <v>2024</v>
      </c>
      <c r="E459" s="2">
        <v>45387</v>
      </c>
      <c r="F459" s="1" t="s">
        <v>1468</v>
      </c>
      <c r="G459" s="1" t="s">
        <v>44</v>
      </c>
      <c r="H459" s="1" t="s">
        <v>45</v>
      </c>
      <c r="I459" s="1" t="s">
        <v>71</v>
      </c>
      <c r="J459" s="1" t="s">
        <v>198</v>
      </c>
      <c r="K459" s="1" t="s">
        <v>199</v>
      </c>
      <c r="L459" s="1" t="s">
        <v>49</v>
      </c>
      <c r="M459" s="1" t="s">
        <v>50</v>
      </c>
      <c r="N459" s="1" t="s">
        <v>1469</v>
      </c>
      <c r="O459" s="1" t="s">
        <v>67</v>
      </c>
      <c r="P459" s="1">
        <v>7</v>
      </c>
      <c r="Q459" s="1">
        <v>2851.51</v>
      </c>
      <c r="R459" s="1">
        <v>0</v>
      </c>
      <c r="S459" s="1">
        <v>19960.57</v>
      </c>
      <c r="T459" s="1">
        <f t="shared" si="38"/>
        <v>19960.57</v>
      </c>
      <c r="U459" s="1">
        <v>16603.599999999999</v>
      </c>
      <c r="V459" s="3">
        <f>IF(T459=0,"",X459/T459)</f>
        <v>0.1681800670020947</v>
      </c>
      <c r="W459" s="1">
        <v>3356.97</v>
      </c>
      <c r="X459" s="1">
        <f>T459-U459</f>
        <v>3356.9700000000012</v>
      </c>
      <c r="Y459" s="1" t="s">
        <v>40</v>
      </c>
      <c r="Z459" s="1" t="s">
        <v>41</v>
      </c>
      <c r="AA459" s="4">
        <f t="shared" si="35"/>
        <v>-29</v>
      </c>
      <c r="AB459" s="2" t="str">
        <f t="shared" si="39"/>
        <v>Invalid</v>
      </c>
      <c r="AC459" s="2"/>
    </row>
    <row r="460" spans="1:29">
      <c r="A460" s="1" t="s">
        <v>1470</v>
      </c>
      <c r="B460" s="2">
        <v>45567</v>
      </c>
      <c r="C460" s="2" t="str">
        <f t="shared" si="36"/>
        <v>October</v>
      </c>
      <c r="D460" s="1">
        <f t="shared" si="37"/>
        <v>2024</v>
      </c>
      <c r="E460" s="2">
        <v>45333</v>
      </c>
      <c r="F460" s="1" t="s">
        <v>1471</v>
      </c>
      <c r="G460" s="1" t="s">
        <v>31</v>
      </c>
      <c r="H460" s="1" t="s">
        <v>98</v>
      </c>
      <c r="I460" s="1" t="s">
        <v>33</v>
      </c>
      <c r="J460" s="1" t="s">
        <v>34</v>
      </c>
      <c r="K460" s="1" t="s">
        <v>35</v>
      </c>
      <c r="L460" s="1" t="s">
        <v>82</v>
      </c>
      <c r="M460" s="1" t="s">
        <v>179</v>
      </c>
      <c r="N460" s="1" t="s">
        <v>1472</v>
      </c>
      <c r="O460" s="1" t="s">
        <v>39</v>
      </c>
      <c r="P460" s="1">
        <v>3</v>
      </c>
      <c r="Q460" s="1">
        <v>3183.72</v>
      </c>
      <c r="R460" s="1">
        <v>0.1</v>
      </c>
      <c r="S460" s="1">
        <v>8596.0400000000009</v>
      </c>
      <c r="T460" s="1">
        <f t="shared" si="38"/>
        <v>8596.0439999999999</v>
      </c>
      <c r="U460" s="1">
        <v>5378.16</v>
      </c>
      <c r="V460" s="3">
        <f>IF(T460=0,"",X460/T460)</f>
        <v>0.37434475672762962</v>
      </c>
      <c r="W460" s="1">
        <v>3217.88</v>
      </c>
      <c r="X460" s="1">
        <f>T460-U460</f>
        <v>3217.884</v>
      </c>
      <c r="Y460" s="1" t="s">
        <v>40</v>
      </c>
      <c r="Z460" s="1" t="s">
        <v>41</v>
      </c>
      <c r="AA460" s="4">
        <f t="shared" si="35"/>
        <v>-234</v>
      </c>
      <c r="AB460" s="2" t="str">
        <f t="shared" si="39"/>
        <v>Invalid</v>
      </c>
      <c r="AC460" s="2"/>
    </row>
    <row r="461" spans="1:29">
      <c r="A461" s="1" t="s">
        <v>1473</v>
      </c>
      <c r="B461" s="2">
        <v>45379</v>
      </c>
      <c r="C461" s="2" t="str">
        <f t="shared" si="36"/>
        <v>March</v>
      </c>
      <c r="D461" s="1">
        <f t="shared" si="37"/>
        <v>2024</v>
      </c>
      <c r="E461" s="2">
        <v>45386</v>
      </c>
      <c r="F461" s="1" t="s">
        <v>1474</v>
      </c>
      <c r="G461" s="1" t="s">
        <v>70</v>
      </c>
      <c r="H461" s="1" t="s">
        <v>103</v>
      </c>
      <c r="I461" s="1" t="s">
        <v>71</v>
      </c>
      <c r="J461" s="1" t="s">
        <v>198</v>
      </c>
      <c r="K461" s="1" t="s">
        <v>199</v>
      </c>
      <c r="L461" s="1" t="s">
        <v>36</v>
      </c>
      <c r="M461" s="1" t="s">
        <v>37</v>
      </c>
      <c r="N461" s="1" t="s">
        <v>1475</v>
      </c>
      <c r="O461" s="1" t="s">
        <v>58</v>
      </c>
      <c r="P461" s="1">
        <v>3</v>
      </c>
      <c r="Q461" s="1">
        <v>1150.92</v>
      </c>
      <c r="R461" s="1">
        <v>0</v>
      </c>
      <c r="S461" s="1">
        <v>3452.76</v>
      </c>
      <c r="T461" s="1">
        <f t="shared" si="38"/>
        <v>3452.76</v>
      </c>
      <c r="U461" s="1">
        <v>2077.96</v>
      </c>
      <c r="V461" s="3">
        <f>IF(T461=0,"",X461/T461)</f>
        <v>0.39817421425178701</v>
      </c>
      <c r="W461" s="1">
        <v>1374.8</v>
      </c>
      <c r="X461" s="1">
        <f>T461-U461</f>
        <v>1374.8000000000002</v>
      </c>
      <c r="Y461" s="1" t="s">
        <v>40</v>
      </c>
      <c r="Z461" s="1" t="s">
        <v>41</v>
      </c>
      <c r="AA461" s="1">
        <f t="shared" si="35"/>
        <v>7</v>
      </c>
      <c r="AB461" s="2" t="str">
        <f t="shared" si="39"/>
        <v>Clean</v>
      </c>
      <c r="AC461" s="2"/>
    </row>
    <row r="462" spans="1:29">
      <c r="A462" s="1" t="s">
        <v>1476</v>
      </c>
      <c r="B462" s="2">
        <v>45930</v>
      </c>
      <c r="C462" s="2" t="str">
        <f t="shared" si="36"/>
        <v>September</v>
      </c>
      <c r="D462" s="1">
        <f t="shared" si="37"/>
        <v>2025</v>
      </c>
      <c r="E462" s="2">
        <v>45818</v>
      </c>
      <c r="F462" s="1" t="s">
        <v>1477</v>
      </c>
      <c r="G462" s="1" t="s">
        <v>136</v>
      </c>
      <c r="H462" s="1" t="s">
        <v>98</v>
      </c>
      <c r="I462" s="1" t="s">
        <v>213</v>
      </c>
      <c r="J462" s="1" t="s">
        <v>34</v>
      </c>
      <c r="K462" s="1" t="s">
        <v>35</v>
      </c>
      <c r="L462" s="1" t="s">
        <v>82</v>
      </c>
      <c r="M462" s="1" t="s">
        <v>88</v>
      </c>
      <c r="N462" s="1" t="s">
        <v>1478</v>
      </c>
      <c r="O462" s="1" t="s">
        <v>39</v>
      </c>
      <c r="P462" s="1">
        <v>9</v>
      </c>
      <c r="Q462" s="1">
        <v>1359.88</v>
      </c>
      <c r="R462" s="1">
        <v>0.05</v>
      </c>
      <c r="S462" s="1">
        <v>11626.97</v>
      </c>
      <c r="T462" s="1">
        <f t="shared" si="38"/>
        <v>11626.974000000002</v>
      </c>
      <c r="U462" s="1">
        <v>7394.07</v>
      </c>
      <c r="V462" s="3">
        <f>IF(T462=0,"",X462/T462)</f>
        <v>0.36405895463428417</v>
      </c>
      <c r="W462" s="1">
        <v>4232.8999999999996</v>
      </c>
      <c r="X462" s="1">
        <f>T462-U462</f>
        <v>4232.9040000000023</v>
      </c>
      <c r="Y462" s="1" t="s">
        <v>40</v>
      </c>
      <c r="Z462" s="1" t="s">
        <v>41</v>
      </c>
      <c r="AA462" s="4">
        <f t="shared" si="35"/>
        <v>-112</v>
      </c>
      <c r="AB462" s="2" t="s">
        <v>459</v>
      </c>
      <c r="AC462" s="2"/>
    </row>
    <row r="463" spans="1:29">
      <c r="A463" s="1" t="s">
        <v>1479</v>
      </c>
      <c r="B463" s="2">
        <v>45802</v>
      </c>
      <c r="C463" s="2" t="str">
        <f t="shared" si="36"/>
        <v>May</v>
      </c>
      <c r="D463" s="1">
        <f t="shared" si="37"/>
        <v>2025</v>
      </c>
      <c r="E463" s="2">
        <v>45803</v>
      </c>
      <c r="F463" s="1" t="s">
        <v>1480</v>
      </c>
      <c r="G463" s="1" t="s">
        <v>87</v>
      </c>
      <c r="H463" s="1" t="s">
        <v>98</v>
      </c>
      <c r="I463" s="1" t="s">
        <v>62</v>
      </c>
      <c r="J463" s="1" t="s">
        <v>92</v>
      </c>
      <c r="K463" s="1" t="s">
        <v>93</v>
      </c>
      <c r="L463" s="1" t="s">
        <v>36</v>
      </c>
      <c r="M463" s="1" t="s">
        <v>37</v>
      </c>
      <c r="N463" s="1" t="s">
        <v>1481</v>
      </c>
      <c r="O463" s="1" t="s">
        <v>67</v>
      </c>
      <c r="P463" s="1">
        <v>3</v>
      </c>
      <c r="Q463" s="1">
        <v>3378.15</v>
      </c>
      <c r="R463" s="1">
        <v>0.15</v>
      </c>
      <c r="S463" s="1">
        <v>8614.2800000000007</v>
      </c>
      <c r="T463" s="1">
        <f t="shared" si="38"/>
        <v>8614.2825000000012</v>
      </c>
      <c r="U463" s="1">
        <v>7052.08</v>
      </c>
      <c r="V463" s="3">
        <f>IF(T463=0,"",X463/T463)</f>
        <v>0.18135027496486225</v>
      </c>
      <c r="W463" s="1">
        <v>1562.2</v>
      </c>
      <c r="X463" s="1">
        <f>T463-U463</f>
        <v>1562.2025000000012</v>
      </c>
      <c r="Y463" s="1" t="s">
        <v>40</v>
      </c>
      <c r="Z463" s="1" t="s">
        <v>41</v>
      </c>
      <c r="AA463" s="1">
        <f t="shared" si="35"/>
        <v>1</v>
      </c>
      <c r="AB463" s="2" t="str">
        <f t="shared" si="39"/>
        <v>Clean</v>
      </c>
      <c r="AC463" s="2"/>
    </row>
    <row r="464" spans="1:29">
      <c r="A464" s="1" t="s">
        <v>1482</v>
      </c>
      <c r="B464" s="2">
        <v>45558</v>
      </c>
      <c r="C464" s="2" t="str">
        <f t="shared" si="36"/>
        <v>September</v>
      </c>
      <c r="D464" s="1">
        <f t="shared" si="37"/>
        <v>2024</v>
      </c>
      <c r="E464" s="2">
        <v>45560</v>
      </c>
      <c r="F464" s="1" t="s">
        <v>1483</v>
      </c>
      <c r="G464" s="1" t="s">
        <v>136</v>
      </c>
      <c r="H464" s="1" t="s">
        <v>103</v>
      </c>
      <c r="I464" s="1" t="s">
        <v>33</v>
      </c>
      <c r="J464" s="1" t="s">
        <v>359</v>
      </c>
      <c r="K464" s="1" t="s">
        <v>360</v>
      </c>
      <c r="L464" s="1" t="s">
        <v>36</v>
      </c>
      <c r="M464" s="1" t="s">
        <v>161</v>
      </c>
      <c r="N464" s="1" t="s">
        <v>1484</v>
      </c>
      <c r="O464" s="1" t="s">
        <v>58</v>
      </c>
      <c r="P464" s="1">
        <v>2</v>
      </c>
      <c r="Q464" s="1">
        <v>1275.1400000000001</v>
      </c>
      <c r="R464" s="1">
        <v>0.2</v>
      </c>
      <c r="S464" s="1">
        <v>2040.22</v>
      </c>
      <c r="T464" s="1">
        <f t="shared" si="38"/>
        <v>2040.2240000000002</v>
      </c>
      <c r="U464" s="1">
        <v>1395.71</v>
      </c>
      <c r="V464" s="3">
        <f>IF(T464=0,"",X464/T464)</f>
        <v>0.31590354784572677</v>
      </c>
      <c r="W464" s="1">
        <v>644.51</v>
      </c>
      <c r="X464" s="1">
        <f>T464-U464</f>
        <v>644.51400000000012</v>
      </c>
      <c r="Y464" s="1" t="s">
        <v>40</v>
      </c>
      <c r="Z464" s="1" t="s">
        <v>41</v>
      </c>
      <c r="AA464" s="1">
        <f t="shared" si="35"/>
        <v>2</v>
      </c>
      <c r="AB464" s="2" t="str">
        <f t="shared" si="39"/>
        <v>Clean</v>
      </c>
      <c r="AC464" s="2"/>
    </row>
    <row r="465" spans="1:29">
      <c r="A465" s="1" t="s">
        <v>1485</v>
      </c>
      <c r="B465" s="2">
        <v>45840</v>
      </c>
      <c r="C465" s="2" t="str">
        <f t="shared" si="36"/>
        <v>July</v>
      </c>
      <c r="D465" s="1">
        <f t="shared" si="37"/>
        <v>2025</v>
      </c>
      <c r="E465" s="2">
        <v>45871</v>
      </c>
      <c r="F465" s="1" t="s">
        <v>1486</v>
      </c>
      <c r="G465" s="1" t="s">
        <v>61</v>
      </c>
      <c r="H465" s="1" t="s">
        <v>98</v>
      </c>
      <c r="I465" s="1" t="s">
        <v>71</v>
      </c>
      <c r="J465" s="1" t="s">
        <v>80</v>
      </c>
      <c r="K465" s="1" t="s">
        <v>81</v>
      </c>
      <c r="L465" s="1" t="s">
        <v>82</v>
      </c>
      <c r="M465" s="1" t="s">
        <v>179</v>
      </c>
      <c r="N465" s="1" t="s">
        <v>1487</v>
      </c>
      <c r="O465" s="1" t="s">
        <v>67</v>
      </c>
      <c r="P465" s="1">
        <v>4</v>
      </c>
      <c r="Q465" s="1">
        <v>889.5</v>
      </c>
      <c r="R465" s="1">
        <v>0.2</v>
      </c>
      <c r="S465" s="1">
        <v>2846.4</v>
      </c>
      <c r="T465" s="1">
        <f t="shared" si="38"/>
        <v>2846.4</v>
      </c>
      <c r="U465" s="1">
        <v>2132.37</v>
      </c>
      <c r="V465" s="3">
        <f>IF(T465=0,"",X465/T465)</f>
        <v>0.25085370994940986</v>
      </c>
      <c r="W465" s="1">
        <v>714.03</v>
      </c>
      <c r="X465" s="1">
        <f>T465-U465</f>
        <v>714.0300000000002</v>
      </c>
      <c r="Y465" s="1" t="s">
        <v>40</v>
      </c>
      <c r="Z465" s="1" t="s">
        <v>41</v>
      </c>
      <c r="AA465" s="1">
        <f t="shared" si="35"/>
        <v>31</v>
      </c>
      <c r="AB465" s="2" t="str">
        <f t="shared" si="39"/>
        <v>Clean</v>
      </c>
      <c r="AC465" s="2"/>
    </row>
    <row r="466" spans="1:29">
      <c r="A466" s="1" t="s">
        <v>1488</v>
      </c>
      <c r="B466" s="2">
        <v>45964</v>
      </c>
      <c r="C466" s="2" t="str">
        <f t="shared" si="36"/>
        <v>November</v>
      </c>
      <c r="D466" s="1">
        <f t="shared" si="37"/>
        <v>2025</v>
      </c>
      <c r="E466" s="2">
        <v>45731</v>
      </c>
      <c r="F466" s="1" t="s">
        <v>1489</v>
      </c>
      <c r="G466" s="1" t="s">
        <v>61</v>
      </c>
      <c r="H466" s="1" t="s">
        <v>98</v>
      </c>
      <c r="I466" s="1" t="s">
        <v>46</v>
      </c>
      <c r="J466" s="1" t="s">
        <v>153</v>
      </c>
      <c r="K466" s="1" t="s">
        <v>154</v>
      </c>
      <c r="L466" s="1" t="s">
        <v>36</v>
      </c>
      <c r="M466" s="1" t="s">
        <v>37</v>
      </c>
      <c r="N466" s="1" t="s">
        <v>1490</v>
      </c>
      <c r="O466" s="1" t="s">
        <v>52</v>
      </c>
      <c r="P466" s="1">
        <v>3</v>
      </c>
      <c r="Q466" s="1">
        <v>3625.08</v>
      </c>
      <c r="R466" s="1">
        <v>0.05</v>
      </c>
      <c r="S466" s="1">
        <v>10331.48</v>
      </c>
      <c r="T466" s="1">
        <f t="shared" si="38"/>
        <v>10331.477999999999</v>
      </c>
      <c r="U466" s="1">
        <v>7131.91</v>
      </c>
      <c r="V466" s="3">
        <f>IF(T466=0,"",X466/T466)</f>
        <v>0.30969121746181905</v>
      </c>
      <c r="W466" s="1">
        <v>3199.57</v>
      </c>
      <c r="X466" s="1">
        <f>T466-U466</f>
        <v>3199.5679999999993</v>
      </c>
      <c r="Y466" s="1" t="s">
        <v>119</v>
      </c>
      <c r="Z466" s="1" t="s">
        <v>76</v>
      </c>
      <c r="AA466" s="4">
        <f t="shared" si="35"/>
        <v>-233</v>
      </c>
      <c r="AB466" s="2" t="str">
        <f t="shared" si="39"/>
        <v>Invalid</v>
      </c>
      <c r="AC466" s="2"/>
    </row>
    <row r="467" spans="1:29">
      <c r="A467" s="1" t="s">
        <v>1491</v>
      </c>
      <c r="B467" s="2">
        <v>45320</v>
      </c>
      <c r="C467" s="2" t="str">
        <f t="shared" si="36"/>
        <v>January</v>
      </c>
      <c r="D467" s="1">
        <f t="shared" si="37"/>
        <v>2024</v>
      </c>
      <c r="E467" s="2">
        <v>45445</v>
      </c>
      <c r="F467" s="1" t="s">
        <v>1492</v>
      </c>
      <c r="G467" s="1" t="s">
        <v>136</v>
      </c>
      <c r="H467" s="1" t="s">
        <v>45</v>
      </c>
      <c r="I467" s="1" t="s">
        <v>71</v>
      </c>
      <c r="J467" s="1" t="s">
        <v>80</v>
      </c>
      <c r="K467" s="1" t="s">
        <v>81</v>
      </c>
      <c r="L467" s="1" t="s">
        <v>36</v>
      </c>
      <c r="M467" s="1" t="s">
        <v>99</v>
      </c>
      <c r="N467" s="1" t="s">
        <v>1493</v>
      </c>
      <c r="O467" s="1" t="s">
        <v>67</v>
      </c>
      <c r="P467" s="1">
        <v>2</v>
      </c>
      <c r="Q467" s="1">
        <v>1258.9000000000001</v>
      </c>
      <c r="R467" s="1">
        <v>0</v>
      </c>
      <c r="S467" s="1">
        <v>2517.8000000000002</v>
      </c>
      <c r="T467" s="1">
        <f t="shared" si="38"/>
        <v>2517.8000000000002</v>
      </c>
      <c r="U467" s="1">
        <v>1478.54</v>
      </c>
      <c r="V467" s="3">
        <f>IF(T467=0,"",X467/T467)</f>
        <v>0.41276511239971408</v>
      </c>
      <c r="W467" s="1">
        <v>1039.26</v>
      </c>
      <c r="X467" s="1">
        <f>T467-U467</f>
        <v>1039.2600000000002</v>
      </c>
      <c r="Y467" s="1" t="s">
        <v>40</v>
      </c>
      <c r="Z467" s="1" t="s">
        <v>41</v>
      </c>
      <c r="AA467" s="1">
        <f t="shared" si="35"/>
        <v>125</v>
      </c>
      <c r="AB467" s="2" t="str">
        <f t="shared" si="39"/>
        <v>Clean</v>
      </c>
      <c r="AC467" s="2"/>
    </row>
    <row r="468" spans="1:29">
      <c r="A468" s="1" t="s">
        <v>1494</v>
      </c>
      <c r="B468" s="2">
        <v>45383</v>
      </c>
      <c r="C468" s="2" t="str">
        <f t="shared" si="36"/>
        <v>April</v>
      </c>
      <c r="D468" s="1">
        <f t="shared" si="37"/>
        <v>2024</v>
      </c>
      <c r="E468" s="2">
        <v>45299</v>
      </c>
      <c r="F468" s="1" t="s">
        <v>1495</v>
      </c>
      <c r="G468" s="1" t="s">
        <v>44</v>
      </c>
      <c r="H468" s="1" t="s">
        <v>45</v>
      </c>
      <c r="I468" s="1" t="s">
        <v>46</v>
      </c>
      <c r="J468" s="1" t="s">
        <v>153</v>
      </c>
      <c r="K468" s="1" t="s">
        <v>154</v>
      </c>
      <c r="L468" s="1" t="s">
        <v>82</v>
      </c>
      <c r="M468" s="1" t="s">
        <v>83</v>
      </c>
      <c r="N468" s="1" t="s">
        <v>1496</v>
      </c>
      <c r="O468" s="1" t="s">
        <v>52</v>
      </c>
      <c r="P468" s="1">
        <v>9</v>
      </c>
      <c r="Q468" s="1">
        <v>1591.96</v>
      </c>
      <c r="R468" s="1">
        <v>0.2</v>
      </c>
      <c r="S468" s="1">
        <v>11462.11</v>
      </c>
      <c r="T468" s="1">
        <f t="shared" si="38"/>
        <v>11462.112000000001</v>
      </c>
      <c r="U468" s="1">
        <v>7105.48</v>
      </c>
      <c r="V468" s="3">
        <f>IF(T468=0,"",X468/T468)</f>
        <v>0.38008981241851425</v>
      </c>
      <c r="W468" s="1">
        <v>4356.63</v>
      </c>
      <c r="X468" s="1">
        <f>T468-U468</f>
        <v>4356.6320000000014</v>
      </c>
      <c r="Y468" s="1" t="s">
        <v>40</v>
      </c>
      <c r="Z468" s="1" t="s">
        <v>41</v>
      </c>
      <c r="AA468" s="4">
        <f t="shared" si="35"/>
        <v>-84</v>
      </c>
      <c r="AB468" s="2" t="str">
        <f t="shared" si="39"/>
        <v>Invalid</v>
      </c>
      <c r="AC468" s="2"/>
    </row>
    <row r="469" spans="1:29">
      <c r="A469" s="1" t="s">
        <v>1497</v>
      </c>
      <c r="B469" s="2">
        <v>45524</v>
      </c>
      <c r="C469" s="2" t="str">
        <f t="shared" si="36"/>
        <v>August</v>
      </c>
      <c r="D469" s="1">
        <f t="shared" si="37"/>
        <v>2024</v>
      </c>
      <c r="E469" s="2">
        <v>45525</v>
      </c>
      <c r="F469" s="1" t="s">
        <v>1498</v>
      </c>
      <c r="G469" s="1" t="s">
        <v>97</v>
      </c>
      <c r="H469" s="1" t="s">
        <v>98</v>
      </c>
      <c r="I469" s="1" t="s">
        <v>46</v>
      </c>
      <c r="J469" s="1" t="s">
        <v>47</v>
      </c>
      <c r="K469" s="1" t="s">
        <v>48</v>
      </c>
      <c r="L469" s="1" t="s">
        <v>82</v>
      </c>
      <c r="M469" s="1" t="s">
        <v>88</v>
      </c>
      <c r="N469" s="1" t="s">
        <v>1499</v>
      </c>
      <c r="O469" s="1" t="s">
        <v>58</v>
      </c>
      <c r="P469" s="1">
        <v>5</v>
      </c>
      <c r="Q469" s="1">
        <v>4288.33</v>
      </c>
      <c r="R469" s="1">
        <v>0.1</v>
      </c>
      <c r="S469" s="1">
        <v>19297.490000000002</v>
      </c>
      <c r="T469" s="1">
        <f t="shared" si="38"/>
        <v>19297.485000000001</v>
      </c>
      <c r="U469" s="1">
        <v>15451.66</v>
      </c>
      <c r="V469" s="3">
        <f>IF(T469=0,"",X469/T469)</f>
        <v>0.1992915138941681</v>
      </c>
      <c r="W469" s="1">
        <v>3845.83</v>
      </c>
      <c r="X469" s="1">
        <f>T469-U469</f>
        <v>3845.8250000000007</v>
      </c>
      <c r="Y469" s="1" t="s">
        <v>110</v>
      </c>
      <c r="Z469" s="1" t="s">
        <v>76</v>
      </c>
      <c r="AA469" s="1">
        <f t="shared" si="35"/>
        <v>1</v>
      </c>
      <c r="AB469" s="2" t="str">
        <f t="shared" si="39"/>
        <v>Clean</v>
      </c>
      <c r="AC469" s="2"/>
    </row>
    <row r="470" spans="1:29">
      <c r="A470" s="1" t="s">
        <v>1500</v>
      </c>
      <c r="B470" s="2">
        <v>45901</v>
      </c>
      <c r="C470" s="2" t="str">
        <f t="shared" si="36"/>
        <v>September</v>
      </c>
      <c r="D470" s="1">
        <f t="shared" si="37"/>
        <v>2025</v>
      </c>
      <c r="E470" s="2">
        <v>45839</v>
      </c>
      <c r="F470" s="1" t="s">
        <v>1501</v>
      </c>
      <c r="G470" s="1" t="s">
        <v>136</v>
      </c>
      <c r="H470" s="1" t="s">
        <v>103</v>
      </c>
      <c r="I470" s="1" t="s">
        <v>46</v>
      </c>
      <c r="J470" s="1" t="s">
        <v>107</v>
      </c>
      <c r="K470" s="1" t="s">
        <v>108</v>
      </c>
      <c r="L470" s="1" t="s">
        <v>36</v>
      </c>
      <c r="M470" s="1" t="s">
        <v>161</v>
      </c>
      <c r="N470" s="1" t="s">
        <v>1502</v>
      </c>
      <c r="O470" s="1" t="s">
        <v>39</v>
      </c>
      <c r="P470" s="1">
        <v>3</v>
      </c>
      <c r="Q470" s="1">
        <v>2188.33</v>
      </c>
      <c r="R470" s="1">
        <v>0</v>
      </c>
      <c r="S470" s="1">
        <v>6564.99</v>
      </c>
      <c r="T470" s="1">
        <f t="shared" si="38"/>
        <v>6564.99</v>
      </c>
      <c r="U470" s="1">
        <v>5407.24</v>
      </c>
      <c r="V470" s="3">
        <f>IF(T470=0,"",X470/T470)</f>
        <v>0.17635213458055535</v>
      </c>
      <c r="W470" s="1">
        <v>1157.75</v>
      </c>
      <c r="X470" s="1">
        <f>T470-U470</f>
        <v>1157.75</v>
      </c>
      <c r="Y470" s="1" t="s">
        <v>40</v>
      </c>
      <c r="Z470" s="1" t="s">
        <v>41</v>
      </c>
      <c r="AA470" s="4">
        <f t="shared" si="35"/>
        <v>-62</v>
      </c>
      <c r="AB470" s="2" t="str">
        <f t="shared" si="39"/>
        <v>Invalid</v>
      </c>
      <c r="AC470" s="2"/>
    </row>
    <row r="471" spans="1:29">
      <c r="A471" s="1" t="s">
        <v>1503</v>
      </c>
      <c r="B471" s="2">
        <v>45310</v>
      </c>
      <c r="C471" s="2" t="str">
        <f t="shared" si="36"/>
        <v>January</v>
      </c>
      <c r="D471" s="1">
        <f t="shared" si="37"/>
        <v>2024</v>
      </c>
      <c r="E471" s="2">
        <v>45316</v>
      </c>
      <c r="F471" s="1" t="s">
        <v>1504</v>
      </c>
      <c r="G471" s="1" t="s">
        <v>97</v>
      </c>
      <c r="H471" s="1" t="s">
        <v>98</v>
      </c>
      <c r="I471" s="1" t="s">
        <v>71</v>
      </c>
      <c r="J471" s="1" t="s">
        <v>198</v>
      </c>
      <c r="K471" s="1" t="s">
        <v>199</v>
      </c>
      <c r="L471" s="1" t="s">
        <v>82</v>
      </c>
      <c r="M471" s="1" t="s">
        <v>88</v>
      </c>
      <c r="N471" s="1" t="s">
        <v>1505</v>
      </c>
      <c r="O471" s="1" t="s">
        <v>58</v>
      </c>
      <c r="P471" s="1">
        <v>3</v>
      </c>
      <c r="Q471" s="1">
        <v>1041.6600000000001</v>
      </c>
      <c r="R471" s="1">
        <v>0.1</v>
      </c>
      <c r="S471" s="1">
        <v>2812.48</v>
      </c>
      <c r="T471" s="1">
        <f t="shared" si="38"/>
        <v>2812.4820000000004</v>
      </c>
      <c r="U471" s="1">
        <v>2282.12</v>
      </c>
      <c r="V471" s="3">
        <f>IF(T471=0,"",X471/T471)</f>
        <v>0.18857436243147527</v>
      </c>
      <c r="W471" s="1">
        <v>530.36</v>
      </c>
      <c r="X471" s="1">
        <f>T471-U471</f>
        <v>530.36200000000053</v>
      </c>
      <c r="Y471" s="1" t="s">
        <v>40</v>
      </c>
      <c r="Z471" s="1" t="s">
        <v>41</v>
      </c>
      <c r="AA471" s="1">
        <f t="shared" si="35"/>
        <v>6</v>
      </c>
      <c r="AB471" s="2" t="str">
        <f t="shared" si="39"/>
        <v>Clean</v>
      </c>
      <c r="AC471" s="2"/>
    </row>
    <row r="472" spans="1:29">
      <c r="A472" s="1" t="s">
        <v>1506</v>
      </c>
      <c r="B472" s="2">
        <v>45501</v>
      </c>
      <c r="C472" s="2" t="str">
        <f t="shared" si="36"/>
        <v>July</v>
      </c>
      <c r="D472" s="1">
        <f t="shared" si="37"/>
        <v>2024</v>
      </c>
      <c r="E472" s="2">
        <v>45504</v>
      </c>
      <c r="F472" s="1" t="s">
        <v>1507</v>
      </c>
      <c r="G472" s="1" t="s">
        <v>97</v>
      </c>
      <c r="H472" s="1" t="s">
        <v>32</v>
      </c>
      <c r="I472" s="1" t="s">
        <v>33</v>
      </c>
      <c r="J472" s="1" t="s">
        <v>34</v>
      </c>
      <c r="K472" s="1" t="s">
        <v>35</v>
      </c>
      <c r="L472" s="1" t="s">
        <v>49</v>
      </c>
      <c r="M472" s="1" t="s">
        <v>50</v>
      </c>
      <c r="N472" s="1" t="s">
        <v>1508</v>
      </c>
      <c r="O472" s="1" t="s">
        <v>52</v>
      </c>
      <c r="P472" s="1">
        <v>2</v>
      </c>
      <c r="Q472" s="1">
        <v>4424.78</v>
      </c>
      <c r="R472" s="1">
        <v>0.2</v>
      </c>
      <c r="S472" s="1">
        <v>7079.65</v>
      </c>
      <c r="T472" s="1">
        <f t="shared" si="38"/>
        <v>7079.6480000000001</v>
      </c>
      <c r="U472" s="1">
        <v>4465.91</v>
      </c>
      <c r="V472" s="3">
        <f>IF(T472=0,"",X472/T472)</f>
        <v>0.36919038912669105</v>
      </c>
      <c r="W472" s="1">
        <v>2613.7399999999998</v>
      </c>
      <c r="X472" s="1">
        <f>T472-U472</f>
        <v>2613.7380000000003</v>
      </c>
      <c r="Y472" s="1" t="s">
        <v>40</v>
      </c>
      <c r="Z472" s="1" t="s">
        <v>41</v>
      </c>
      <c r="AA472" s="1">
        <f t="shared" si="35"/>
        <v>3</v>
      </c>
      <c r="AB472" s="2" t="str">
        <f t="shared" si="39"/>
        <v>Clean</v>
      </c>
      <c r="AC472" s="2"/>
    </row>
    <row r="473" spans="1:29">
      <c r="A473" s="1" t="s">
        <v>1509</v>
      </c>
      <c r="B473" s="2">
        <v>45598</v>
      </c>
      <c r="C473" s="2" t="str">
        <f t="shared" si="36"/>
        <v>November</v>
      </c>
      <c r="D473" s="1">
        <f t="shared" si="37"/>
        <v>2024</v>
      </c>
      <c r="E473" s="2">
        <v>45337</v>
      </c>
      <c r="F473" s="1" t="s">
        <v>1510</v>
      </c>
      <c r="G473" s="1" t="s">
        <v>273</v>
      </c>
      <c r="H473" s="1" t="s">
        <v>32</v>
      </c>
      <c r="I473" s="1" t="s">
        <v>62</v>
      </c>
      <c r="J473" s="1" t="s">
        <v>63</v>
      </c>
      <c r="K473" s="1" t="s">
        <v>64</v>
      </c>
      <c r="L473" s="1" t="s">
        <v>36</v>
      </c>
      <c r="M473" s="1" t="s">
        <v>161</v>
      </c>
      <c r="N473" s="1" t="s">
        <v>1511</v>
      </c>
      <c r="O473" s="1" t="s">
        <v>67</v>
      </c>
      <c r="P473" s="1">
        <v>3</v>
      </c>
      <c r="Q473" s="1">
        <v>3019.14</v>
      </c>
      <c r="R473" s="1">
        <v>0.25</v>
      </c>
      <c r="S473" s="1">
        <v>6793.07</v>
      </c>
      <c r="T473" s="1">
        <f t="shared" si="38"/>
        <v>6793.0650000000005</v>
      </c>
      <c r="U473" s="1">
        <v>4985.22</v>
      </c>
      <c r="V473" s="3">
        <f>IF(T473=0,"",X473/T473)</f>
        <v>0.26613097327936652</v>
      </c>
      <c r="W473" s="1">
        <v>1807.85</v>
      </c>
      <c r="X473" s="1">
        <f>T473-U473</f>
        <v>1807.8450000000003</v>
      </c>
      <c r="Y473" s="1" t="s">
        <v>40</v>
      </c>
      <c r="Z473" s="1" t="s">
        <v>41</v>
      </c>
      <c r="AA473" s="4">
        <f t="shared" si="35"/>
        <v>-261</v>
      </c>
      <c r="AB473" s="2" t="str">
        <f t="shared" si="39"/>
        <v>Invalid</v>
      </c>
      <c r="AC473" s="2"/>
    </row>
    <row r="474" spans="1:29">
      <c r="A474" s="1" t="s">
        <v>1512</v>
      </c>
      <c r="B474" s="2">
        <v>45325</v>
      </c>
      <c r="C474" s="2" t="str">
        <f t="shared" si="36"/>
        <v>February</v>
      </c>
      <c r="D474" s="1">
        <f t="shared" si="37"/>
        <v>2024</v>
      </c>
      <c r="E474" s="2">
        <v>45358</v>
      </c>
      <c r="F474" s="1" t="s">
        <v>1513</v>
      </c>
      <c r="G474" s="1" t="s">
        <v>149</v>
      </c>
      <c r="H474" s="1" t="s">
        <v>98</v>
      </c>
      <c r="I474" s="1" t="s">
        <v>46</v>
      </c>
      <c r="J474" s="1" t="s">
        <v>47</v>
      </c>
      <c r="K474" s="1" t="s">
        <v>48</v>
      </c>
      <c r="L474" s="1" t="s">
        <v>36</v>
      </c>
      <c r="M474" s="1" t="s">
        <v>132</v>
      </c>
      <c r="N474" s="1" t="s">
        <v>1514</v>
      </c>
      <c r="O474" s="1" t="s">
        <v>67</v>
      </c>
      <c r="P474" s="1">
        <v>7</v>
      </c>
      <c r="Q474" s="1">
        <v>263.45999999999998</v>
      </c>
      <c r="R474" s="1">
        <v>0</v>
      </c>
      <c r="S474" s="1">
        <v>1844.22</v>
      </c>
      <c r="T474" s="1">
        <f t="shared" si="38"/>
        <v>1844.2199999999998</v>
      </c>
      <c r="U474" s="1">
        <v>1094.21</v>
      </c>
      <c r="V474" s="3">
        <f>IF(T474=0,"",X474/T474)</f>
        <v>0.40668141544934977</v>
      </c>
      <c r="W474" s="1">
        <v>750.01</v>
      </c>
      <c r="X474" s="1">
        <f>T474-U474</f>
        <v>750.00999999999976</v>
      </c>
      <c r="Y474" s="1" t="s">
        <v>40</v>
      </c>
      <c r="Z474" s="1" t="s">
        <v>41</v>
      </c>
      <c r="AA474" s="1">
        <f t="shared" si="35"/>
        <v>33</v>
      </c>
      <c r="AB474" s="2" t="str">
        <f t="shared" si="39"/>
        <v>Clean</v>
      </c>
      <c r="AC474" s="2"/>
    </row>
    <row r="475" spans="1:29">
      <c r="A475" s="1" t="s">
        <v>1515</v>
      </c>
      <c r="B475" s="2">
        <v>45609</v>
      </c>
      <c r="C475" s="2" t="str">
        <f t="shared" si="36"/>
        <v>November</v>
      </c>
      <c r="D475" s="1">
        <f t="shared" si="37"/>
        <v>2024</v>
      </c>
      <c r="E475" s="2">
        <v>45609</v>
      </c>
      <c r="F475" s="1" t="s">
        <v>1516</v>
      </c>
      <c r="G475" s="1" t="s">
        <v>122</v>
      </c>
      <c r="H475" s="1" t="s">
        <v>32</v>
      </c>
      <c r="I475" s="1" t="s">
        <v>71</v>
      </c>
      <c r="J475" s="1" t="s">
        <v>198</v>
      </c>
      <c r="K475" s="1" t="s">
        <v>199</v>
      </c>
      <c r="L475" s="1" t="s">
        <v>82</v>
      </c>
      <c r="M475" s="1" t="s">
        <v>88</v>
      </c>
      <c r="N475" s="1" t="s">
        <v>1517</v>
      </c>
      <c r="O475" s="1" t="s">
        <v>67</v>
      </c>
      <c r="P475" s="1">
        <v>6</v>
      </c>
      <c r="Q475" s="1">
        <v>191.45</v>
      </c>
      <c r="R475" s="1">
        <v>0.2</v>
      </c>
      <c r="S475" s="1">
        <v>918.96</v>
      </c>
      <c r="T475" s="1">
        <f t="shared" si="38"/>
        <v>918.95999999999992</v>
      </c>
      <c r="U475" s="1">
        <v>554.17999999999995</v>
      </c>
      <c r="V475" s="3">
        <f>IF(T475=0,"",X475/T475)</f>
        <v>0.39694872464525116</v>
      </c>
      <c r="W475" s="1">
        <v>364.78</v>
      </c>
      <c r="X475" s="1">
        <f>T475-U475</f>
        <v>364.78</v>
      </c>
      <c r="Y475" s="1" t="s">
        <v>40</v>
      </c>
      <c r="Z475" s="1" t="s">
        <v>41</v>
      </c>
      <c r="AA475" s="1">
        <f t="shared" si="35"/>
        <v>0</v>
      </c>
      <c r="AB475" s="2" t="str">
        <f t="shared" si="39"/>
        <v>Clean</v>
      </c>
      <c r="AC475" s="2"/>
    </row>
    <row r="476" spans="1:29">
      <c r="A476" s="1" t="s">
        <v>1518</v>
      </c>
      <c r="B476" s="2">
        <v>45357</v>
      </c>
      <c r="C476" s="2" t="str">
        <f t="shared" si="36"/>
        <v>March</v>
      </c>
      <c r="D476" s="1">
        <f t="shared" si="37"/>
        <v>2024</v>
      </c>
      <c r="E476" s="2">
        <v>45571</v>
      </c>
      <c r="F476" s="1" t="s">
        <v>1519</v>
      </c>
      <c r="G476" s="1" t="s">
        <v>170</v>
      </c>
      <c r="H476" s="1" t="s">
        <v>98</v>
      </c>
      <c r="I476" s="1" t="s">
        <v>33</v>
      </c>
      <c r="J476" s="1" t="s">
        <v>130</v>
      </c>
      <c r="K476" s="1" t="s">
        <v>131</v>
      </c>
      <c r="L476" s="1" t="s">
        <v>49</v>
      </c>
      <c r="M476" s="1" t="s">
        <v>65</v>
      </c>
      <c r="N476" s="1" t="s">
        <v>1520</v>
      </c>
      <c r="O476" s="1" t="s">
        <v>67</v>
      </c>
      <c r="P476" s="1">
        <v>3</v>
      </c>
      <c r="Q476" s="1">
        <v>1633.57</v>
      </c>
      <c r="R476" s="1">
        <v>0</v>
      </c>
      <c r="S476" s="1">
        <v>4900.71</v>
      </c>
      <c r="T476" s="1">
        <f t="shared" si="38"/>
        <v>4900.71</v>
      </c>
      <c r="U476" s="1">
        <v>2713.9</v>
      </c>
      <c r="V476" s="3">
        <f>IF(T476=0,"",X476/T476)</f>
        <v>0.44622309828575857</v>
      </c>
      <c r="W476" s="1">
        <v>2186.81</v>
      </c>
      <c r="X476" s="1">
        <f>T476-U476</f>
        <v>2186.81</v>
      </c>
      <c r="Y476" s="1" t="s">
        <v>40</v>
      </c>
      <c r="Z476" s="1" t="s">
        <v>41</v>
      </c>
      <c r="AA476" s="1">
        <f t="shared" si="35"/>
        <v>214</v>
      </c>
      <c r="AB476" s="2" t="str">
        <f t="shared" si="39"/>
        <v>Clean</v>
      </c>
      <c r="AC476" s="2"/>
    </row>
    <row r="477" spans="1:29">
      <c r="A477" s="1" t="s">
        <v>1521</v>
      </c>
      <c r="B477" s="2">
        <v>45717</v>
      </c>
      <c r="C477" s="2" t="str">
        <f t="shared" si="36"/>
        <v>March</v>
      </c>
      <c r="D477" s="1">
        <f t="shared" si="37"/>
        <v>2025</v>
      </c>
      <c r="E477" s="2">
        <v>45872</v>
      </c>
      <c r="F477" s="1" t="s">
        <v>1522</v>
      </c>
      <c r="G477" s="1" t="s">
        <v>79</v>
      </c>
      <c r="H477" s="1" t="s">
        <v>32</v>
      </c>
      <c r="I477" s="1" t="s">
        <v>46</v>
      </c>
      <c r="J477" s="1" t="s">
        <v>107</v>
      </c>
      <c r="K477" s="1" t="s">
        <v>108</v>
      </c>
      <c r="L477" s="1" t="s">
        <v>49</v>
      </c>
      <c r="M477" s="1" t="s">
        <v>74</v>
      </c>
      <c r="N477" s="1" t="s">
        <v>1523</v>
      </c>
      <c r="O477" s="1" t="s">
        <v>52</v>
      </c>
      <c r="P477" s="1">
        <v>8</v>
      </c>
      <c r="Q477" s="1">
        <v>3378.82</v>
      </c>
      <c r="R477" s="1">
        <v>0.25</v>
      </c>
      <c r="S477" s="1">
        <v>20272.919999999998</v>
      </c>
      <c r="T477" s="1">
        <f t="shared" si="38"/>
        <v>20272.920000000002</v>
      </c>
      <c r="U477" s="1">
        <v>15873.38</v>
      </c>
      <c r="V477" s="3">
        <f>IF(T477=0,"",X477/T477)</f>
        <v>0.21701560505344086</v>
      </c>
      <c r="W477" s="1">
        <v>4399.54</v>
      </c>
      <c r="X477" s="1">
        <f>T477-U477</f>
        <v>4399.5400000000027</v>
      </c>
      <c r="Y477" s="1" t="s">
        <v>119</v>
      </c>
      <c r="Z477" s="1" t="s">
        <v>111</v>
      </c>
      <c r="AA477" s="1">
        <f t="shared" si="35"/>
        <v>155</v>
      </c>
      <c r="AB477" s="2" t="str">
        <f t="shared" si="39"/>
        <v>Clean</v>
      </c>
      <c r="AC477" s="2"/>
    </row>
    <row r="478" spans="1:29">
      <c r="A478" s="1" t="s">
        <v>1524</v>
      </c>
      <c r="B478" s="2">
        <v>45419</v>
      </c>
      <c r="C478" s="2" t="str">
        <f t="shared" si="36"/>
        <v>May</v>
      </c>
      <c r="D478" s="1">
        <f t="shared" si="37"/>
        <v>2024</v>
      </c>
      <c r="E478" s="2">
        <v>45426</v>
      </c>
      <c r="F478" s="1" t="s">
        <v>1525</v>
      </c>
      <c r="G478" s="1" t="s">
        <v>140</v>
      </c>
      <c r="H478" s="1" t="s">
        <v>45</v>
      </c>
      <c r="I478" s="1" t="s">
        <v>33</v>
      </c>
      <c r="J478" s="1" t="s">
        <v>34</v>
      </c>
      <c r="K478" s="1" t="s">
        <v>35</v>
      </c>
      <c r="L478" s="1" t="s">
        <v>36</v>
      </c>
      <c r="M478" s="1" t="s">
        <v>132</v>
      </c>
      <c r="N478" s="1" t="s">
        <v>1526</v>
      </c>
      <c r="O478" s="1" t="s">
        <v>58</v>
      </c>
      <c r="P478" s="1">
        <v>3</v>
      </c>
      <c r="Q478" s="1">
        <v>383.58</v>
      </c>
      <c r="R478" s="1">
        <v>0.1</v>
      </c>
      <c r="S478" s="1">
        <v>1035.67</v>
      </c>
      <c r="T478" s="1">
        <f t="shared" si="38"/>
        <v>1035.6659999999999</v>
      </c>
      <c r="U478" s="1">
        <v>595.41999999999996</v>
      </c>
      <c r="V478" s="3">
        <f>IF(T478=0,"",X478/T478)</f>
        <v>0.42508492120046426</v>
      </c>
      <c r="W478" s="1">
        <v>440.25</v>
      </c>
      <c r="X478" s="1">
        <f>T478-U478</f>
        <v>440.24599999999998</v>
      </c>
      <c r="Y478" s="1" t="s">
        <v>40</v>
      </c>
      <c r="Z478" s="1" t="s">
        <v>41</v>
      </c>
      <c r="AA478" s="1">
        <f t="shared" si="35"/>
        <v>7</v>
      </c>
      <c r="AB478" s="2" t="str">
        <f t="shared" si="39"/>
        <v>Clean</v>
      </c>
      <c r="AC478" s="2"/>
    </row>
    <row r="479" spans="1:29">
      <c r="A479" s="1" t="s">
        <v>1527</v>
      </c>
      <c r="B479" s="2">
        <v>45892</v>
      </c>
      <c r="C479" s="2" t="str">
        <f t="shared" si="36"/>
        <v>August</v>
      </c>
      <c r="D479" s="1">
        <f t="shared" si="37"/>
        <v>2025</v>
      </c>
      <c r="E479" s="2">
        <v>45897</v>
      </c>
      <c r="F479" s="1" t="s">
        <v>1528</v>
      </c>
      <c r="G479" s="1" t="s">
        <v>79</v>
      </c>
      <c r="H479" s="1" t="s">
        <v>98</v>
      </c>
      <c r="I479" s="1" t="s">
        <v>71</v>
      </c>
      <c r="J479" s="1" t="s">
        <v>188</v>
      </c>
      <c r="K479" s="1" t="s">
        <v>189</v>
      </c>
      <c r="L479" s="1" t="s">
        <v>49</v>
      </c>
      <c r="M479" s="1" t="s">
        <v>74</v>
      </c>
      <c r="N479" s="1" t="s">
        <v>1529</v>
      </c>
      <c r="O479" s="1" t="s">
        <v>67</v>
      </c>
      <c r="P479" s="1">
        <v>6</v>
      </c>
      <c r="Q479" s="1">
        <v>2193.23</v>
      </c>
      <c r="R479" s="1">
        <v>0.1</v>
      </c>
      <c r="S479" s="1">
        <v>11843.44</v>
      </c>
      <c r="T479" s="1">
        <f t="shared" si="38"/>
        <v>11843.442000000001</v>
      </c>
      <c r="U479" s="1">
        <v>9356.8799999999992</v>
      </c>
      <c r="V479" s="3">
        <f>IF(T479=0,"",X479/T479)</f>
        <v>0.20995264721184953</v>
      </c>
      <c r="W479" s="1">
        <v>2486.56</v>
      </c>
      <c r="X479" s="1">
        <f>T479-U479</f>
        <v>2486.5620000000017</v>
      </c>
      <c r="Y479" s="1" t="s">
        <v>40</v>
      </c>
      <c r="Z479" s="1" t="s">
        <v>76</v>
      </c>
      <c r="AA479" s="1">
        <f t="shared" si="35"/>
        <v>5</v>
      </c>
      <c r="AB479" s="2" t="str">
        <f t="shared" si="39"/>
        <v>Clean</v>
      </c>
      <c r="AC479" s="2"/>
    </row>
    <row r="480" spans="1:29">
      <c r="A480" s="1" t="s">
        <v>1530</v>
      </c>
      <c r="B480" s="2">
        <v>45452</v>
      </c>
      <c r="C480" s="2" t="str">
        <f t="shared" si="36"/>
        <v>June</v>
      </c>
      <c r="D480" s="1">
        <f t="shared" si="37"/>
        <v>2024</v>
      </c>
      <c r="E480" s="2">
        <v>45456</v>
      </c>
      <c r="F480" s="1" t="s">
        <v>1531</v>
      </c>
      <c r="G480" s="1" t="s">
        <v>44</v>
      </c>
      <c r="H480" s="1" t="s">
        <v>103</v>
      </c>
      <c r="I480" s="1" t="s">
        <v>213</v>
      </c>
      <c r="J480" s="1" t="s">
        <v>144</v>
      </c>
      <c r="K480" s="1" t="s">
        <v>145</v>
      </c>
      <c r="L480" s="1" t="s">
        <v>82</v>
      </c>
      <c r="M480" s="1" t="s">
        <v>283</v>
      </c>
      <c r="N480" s="1" t="s">
        <v>1532</v>
      </c>
      <c r="O480" s="1" t="s">
        <v>52</v>
      </c>
      <c r="P480" s="1">
        <v>7</v>
      </c>
      <c r="Q480" s="1">
        <v>4079.71</v>
      </c>
      <c r="R480" s="1">
        <v>0.1</v>
      </c>
      <c r="S480" s="1">
        <v>25702.17</v>
      </c>
      <c r="T480" s="1">
        <f t="shared" si="38"/>
        <v>25702.173000000003</v>
      </c>
      <c r="U480" s="1">
        <v>14571.48</v>
      </c>
      <c r="V480" s="3">
        <f>IF(T480=0,"",X480/T480)</f>
        <v>0.43306427826160854</v>
      </c>
      <c r="W480" s="1">
        <v>11130.69</v>
      </c>
      <c r="X480" s="1">
        <f>T480-U480</f>
        <v>11130.693000000003</v>
      </c>
      <c r="Y480" s="1" t="s">
        <v>110</v>
      </c>
      <c r="Z480" s="1" t="s">
        <v>111</v>
      </c>
      <c r="AA480" s="1">
        <f t="shared" si="35"/>
        <v>4</v>
      </c>
      <c r="AB480" s="2" t="str">
        <f t="shared" si="39"/>
        <v>Warning</v>
      </c>
      <c r="AC480" s="2"/>
    </row>
    <row r="481" spans="1:29">
      <c r="A481" s="1" t="s">
        <v>1533</v>
      </c>
      <c r="B481" s="2">
        <v>45345</v>
      </c>
      <c r="C481" s="2" t="str">
        <f t="shared" si="36"/>
        <v>February</v>
      </c>
      <c r="D481" s="1">
        <f t="shared" si="37"/>
        <v>2024</v>
      </c>
      <c r="E481" s="2">
        <v>45342</v>
      </c>
      <c r="F481" s="1" t="s">
        <v>1534</v>
      </c>
      <c r="G481" s="1" t="s">
        <v>61</v>
      </c>
      <c r="H481" s="1" t="s">
        <v>98</v>
      </c>
      <c r="I481" s="1" t="s">
        <v>46</v>
      </c>
      <c r="J481" s="1" t="s">
        <v>47</v>
      </c>
      <c r="K481" s="1" t="s">
        <v>48</v>
      </c>
      <c r="L481" s="1" t="s">
        <v>49</v>
      </c>
      <c r="M481" s="1" t="s">
        <v>74</v>
      </c>
      <c r="N481" s="1" t="s">
        <v>1535</v>
      </c>
      <c r="O481" s="1" t="s">
        <v>39</v>
      </c>
      <c r="P481" s="1">
        <v>1</v>
      </c>
      <c r="Q481" s="1">
        <v>2202.5500000000002</v>
      </c>
      <c r="R481" s="1">
        <v>0</v>
      </c>
      <c r="S481" s="1">
        <v>1651.91</v>
      </c>
      <c r="T481" s="1">
        <f t="shared" si="38"/>
        <v>2202.5500000000002</v>
      </c>
      <c r="U481" s="1">
        <v>1034.57</v>
      </c>
      <c r="V481" s="3">
        <f>IF(T481=0,"",X481/T481)</f>
        <v>0.53028535107035035</v>
      </c>
      <c r="W481" s="1">
        <v>617.34</v>
      </c>
      <c r="X481" s="1">
        <f>T481-U481</f>
        <v>1167.9800000000002</v>
      </c>
      <c r="Y481" s="1" t="s">
        <v>40</v>
      </c>
      <c r="Z481" s="1" t="s">
        <v>41</v>
      </c>
      <c r="AA481" s="4">
        <f t="shared" si="35"/>
        <v>-3</v>
      </c>
      <c r="AB481" s="2" t="str">
        <f t="shared" si="39"/>
        <v>Invalid</v>
      </c>
      <c r="AC481" s="2"/>
    </row>
    <row r="482" spans="1:29">
      <c r="A482" s="1" t="s">
        <v>1536</v>
      </c>
      <c r="B482" s="2">
        <v>45778</v>
      </c>
      <c r="C482" s="2" t="str">
        <f t="shared" si="36"/>
        <v>May</v>
      </c>
      <c r="D482" s="1">
        <f t="shared" si="37"/>
        <v>2025</v>
      </c>
      <c r="E482" s="2">
        <v>45901</v>
      </c>
      <c r="F482" s="1" t="s">
        <v>1537</v>
      </c>
      <c r="G482" s="1" t="s">
        <v>87</v>
      </c>
      <c r="H482" s="1" t="s">
        <v>45</v>
      </c>
      <c r="I482" s="1" t="s">
        <v>62</v>
      </c>
      <c r="J482" s="1" t="s">
        <v>256</v>
      </c>
      <c r="K482" s="1" t="s">
        <v>257</v>
      </c>
      <c r="L482" s="1" t="s">
        <v>36</v>
      </c>
      <c r="M482" s="1" t="s">
        <v>132</v>
      </c>
      <c r="N482" s="1" t="s">
        <v>1538</v>
      </c>
      <c r="O482" s="1" t="s">
        <v>213</v>
      </c>
      <c r="P482" s="1">
        <v>5</v>
      </c>
      <c r="Q482" s="1">
        <v>905.16</v>
      </c>
      <c r="R482" s="1">
        <v>0</v>
      </c>
      <c r="S482" s="1">
        <v>4525.8</v>
      </c>
      <c r="T482" s="1">
        <f t="shared" si="38"/>
        <v>4525.8</v>
      </c>
      <c r="U482" s="1">
        <v>2714.51</v>
      </c>
      <c r="V482" s="3">
        <f>IF(T482=0,"",X482/T482)</f>
        <v>0.40021432674886204</v>
      </c>
      <c r="W482" s="1">
        <v>1811.29</v>
      </c>
      <c r="X482" s="1">
        <f>T482-U482</f>
        <v>1811.29</v>
      </c>
      <c r="Y482" s="1" t="s">
        <v>40</v>
      </c>
      <c r="Z482" s="1" t="s">
        <v>41</v>
      </c>
      <c r="AA482" s="1">
        <f t="shared" si="35"/>
        <v>123</v>
      </c>
      <c r="AB482" s="2" t="str">
        <f t="shared" si="39"/>
        <v>Warning</v>
      </c>
      <c r="AC482" s="2"/>
    </row>
    <row r="483" spans="1:29">
      <c r="A483" s="1" t="s">
        <v>1539</v>
      </c>
      <c r="B483" s="2">
        <v>45783</v>
      </c>
      <c r="C483" s="2" t="str">
        <f t="shared" si="36"/>
        <v>May</v>
      </c>
      <c r="D483" s="1">
        <f t="shared" si="37"/>
        <v>2025</v>
      </c>
      <c r="E483" s="2">
        <v>45821</v>
      </c>
      <c r="F483" s="1" t="s">
        <v>1540</v>
      </c>
      <c r="G483" s="1" t="s">
        <v>55</v>
      </c>
      <c r="H483" s="1" t="s">
        <v>32</v>
      </c>
      <c r="I483" s="1" t="s">
        <v>33</v>
      </c>
      <c r="J483" s="1" t="s">
        <v>144</v>
      </c>
      <c r="K483" s="1" t="s">
        <v>145</v>
      </c>
      <c r="L483" s="1" t="s">
        <v>82</v>
      </c>
      <c r="M483" s="1" t="s">
        <v>283</v>
      </c>
      <c r="N483" s="1" t="s">
        <v>1541</v>
      </c>
      <c r="O483" s="1" t="s">
        <v>52</v>
      </c>
      <c r="P483" s="1">
        <v>4</v>
      </c>
      <c r="Q483" s="1">
        <v>2793.88</v>
      </c>
      <c r="R483" s="1">
        <v>0.85</v>
      </c>
      <c r="S483" s="1">
        <v>10616.74</v>
      </c>
      <c r="T483" s="1">
        <f t="shared" si="38"/>
        <v>1676.3280000000002</v>
      </c>
      <c r="U483" s="1">
        <v>6353.59</v>
      </c>
      <c r="V483" s="3">
        <f>IF(T483=0,"",X483/T483)</f>
        <v>-2.7901830667983827</v>
      </c>
      <c r="W483" s="1">
        <v>4263.1499999999996</v>
      </c>
      <c r="X483" s="1">
        <f>T483-U483</f>
        <v>-4677.2619999999997</v>
      </c>
      <c r="Y483" s="1" t="s">
        <v>40</v>
      </c>
      <c r="Z483" s="1" t="s">
        <v>41</v>
      </c>
      <c r="AA483" s="1">
        <f t="shared" si="35"/>
        <v>38</v>
      </c>
      <c r="AB483" s="2" t="str">
        <f t="shared" si="39"/>
        <v>Clean</v>
      </c>
      <c r="AC483" s="2"/>
    </row>
    <row r="484" spans="1:29">
      <c r="A484" s="1" t="s">
        <v>1542</v>
      </c>
      <c r="B484" s="2">
        <v>45495</v>
      </c>
      <c r="C484" s="2" t="str">
        <f t="shared" si="36"/>
        <v>July</v>
      </c>
      <c r="D484" s="1">
        <f t="shared" si="37"/>
        <v>2024</v>
      </c>
      <c r="E484" s="2">
        <v>45495</v>
      </c>
      <c r="F484" s="1" t="s">
        <v>1543</v>
      </c>
      <c r="G484" s="1" t="s">
        <v>122</v>
      </c>
      <c r="H484" s="1" t="s">
        <v>32</v>
      </c>
      <c r="I484" s="1" t="s">
        <v>62</v>
      </c>
      <c r="J484" s="1" t="s">
        <v>183</v>
      </c>
      <c r="K484" s="1" t="s">
        <v>184</v>
      </c>
      <c r="L484" s="1" t="s">
        <v>82</v>
      </c>
      <c r="M484" s="1" t="s">
        <v>83</v>
      </c>
      <c r="N484" s="1" t="s">
        <v>1544</v>
      </c>
      <c r="O484" s="1" t="s">
        <v>39</v>
      </c>
      <c r="P484" s="1">
        <v>3</v>
      </c>
      <c r="Q484" s="1">
        <v>1286.22</v>
      </c>
      <c r="R484" s="1">
        <v>0.25</v>
      </c>
      <c r="S484" s="1">
        <v>2893.99</v>
      </c>
      <c r="T484" s="1">
        <f t="shared" si="38"/>
        <v>2893.9949999999999</v>
      </c>
      <c r="U484" s="1">
        <v>1856.03</v>
      </c>
      <c r="V484" s="3">
        <f>IF(T484=0,"",X484/T484)</f>
        <v>0.35866164247001114</v>
      </c>
      <c r="W484" s="1">
        <v>1037.96</v>
      </c>
      <c r="X484" s="1">
        <f>T484-U484</f>
        <v>1037.9649999999999</v>
      </c>
      <c r="Y484" s="1" t="s">
        <v>40</v>
      </c>
      <c r="Z484" s="1" t="s">
        <v>41</v>
      </c>
      <c r="AA484" s="1">
        <f t="shared" si="35"/>
        <v>0</v>
      </c>
      <c r="AB484" s="2" t="str">
        <f t="shared" si="39"/>
        <v>Clean</v>
      </c>
      <c r="AC484" s="2"/>
    </row>
    <row r="485" spans="1:29">
      <c r="A485" s="1" t="s">
        <v>1545</v>
      </c>
      <c r="B485" s="2">
        <v>45651</v>
      </c>
      <c r="C485" s="2" t="str">
        <f t="shared" si="36"/>
        <v>December</v>
      </c>
      <c r="D485" s="1">
        <f t="shared" si="37"/>
        <v>2024</v>
      </c>
      <c r="E485" s="2">
        <v>45651</v>
      </c>
      <c r="F485" s="1" t="s">
        <v>1546</v>
      </c>
      <c r="G485" s="1" t="s">
        <v>44</v>
      </c>
      <c r="H485" s="1" t="s">
        <v>98</v>
      </c>
      <c r="I485" s="1" t="s">
        <v>46</v>
      </c>
      <c r="J485" s="1" t="s">
        <v>153</v>
      </c>
      <c r="K485" s="1" t="s">
        <v>154</v>
      </c>
      <c r="L485" s="1" t="s">
        <v>82</v>
      </c>
      <c r="M485" s="1" t="s">
        <v>88</v>
      </c>
      <c r="N485" s="1" t="s">
        <v>1547</v>
      </c>
      <c r="O485" s="1" t="s">
        <v>67</v>
      </c>
      <c r="P485" s="1">
        <v>1</v>
      </c>
      <c r="Q485" s="1">
        <v>829.66</v>
      </c>
      <c r="R485" s="1">
        <v>0.15</v>
      </c>
      <c r="S485" s="1">
        <v>705.21</v>
      </c>
      <c r="T485" s="1">
        <f t="shared" si="38"/>
        <v>705.2109999999999</v>
      </c>
      <c r="U485" s="1">
        <v>438.32</v>
      </c>
      <c r="V485" s="3">
        <f>IF(T485=0,"",X485/T485)</f>
        <v>0.37845552607659261</v>
      </c>
      <c r="W485" s="1">
        <v>266.89</v>
      </c>
      <c r="X485" s="1">
        <f>T485-U485</f>
        <v>266.89099999999991</v>
      </c>
      <c r="Y485" s="1" t="s">
        <v>40</v>
      </c>
      <c r="Z485" s="1" t="s">
        <v>41</v>
      </c>
      <c r="AA485" s="1">
        <f t="shared" si="35"/>
        <v>0</v>
      </c>
      <c r="AB485" s="2" t="str">
        <f t="shared" si="39"/>
        <v>Clean</v>
      </c>
      <c r="AC485" s="2"/>
    </row>
    <row r="486" spans="1:29">
      <c r="A486" s="1" t="s">
        <v>1548</v>
      </c>
      <c r="B486" s="2">
        <v>45654</v>
      </c>
      <c r="C486" s="2" t="str">
        <f t="shared" si="36"/>
        <v>December</v>
      </c>
      <c r="D486" s="1">
        <f t="shared" si="37"/>
        <v>2024</v>
      </c>
      <c r="E486" s="2">
        <v>45657</v>
      </c>
      <c r="F486" s="1" t="s">
        <v>1549</v>
      </c>
      <c r="G486" s="1" t="s">
        <v>44</v>
      </c>
      <c r="H486" s="1" t="s">
        <v>45</v>
      </c>
      <c r="I486" s="1" t="s">
        <v>62</v>
      </c>
      <c r="J486" s="1" t="s">
        <v>92</v>
      </c>
      <c r="K486" s="1" t="s">
        <v>93</v>
      </c>
      <c r="L486" s="1" t="s">
        <v>49</v>
      </c>
      <c r="M486" s="1" t="s">
        <v>65</v>
      </c>
      <c r="N486" s="1" t="s">
        <v>1550</v>
      </c>
      <c r="O486" s="1" t="s">
        <v>58</v>
      </c>
      <c r="P486" s="1">
        <v>6</v>
      </c>
      <c r="Q486" s="1">
        <v>3641.22</v>
      </c>
      <c r="R486" s="1">
        <v>0.25</v>
      </c>
      <c r="S486" s="1">
        <v>16385.490000000002</v>
      </c>
      <c r="T486" s="1">
        <f t="shared" si="38"/>
        <v>16385.489999999998</v>
      </c>
      <c r="U486" s="1">
        <v>13679.24</v>
      </c>
      <c r="V486" s="3">
        <f>IF(T486=0,"",X486/T486)</f>
        <v>0.16516137143289572</v>
      </c>
      <c r="W486" s="1">
        <v>2706.25</v>
      </c>
      <c r="X486" s="1">
        <f>T486-U486</f>
        <v>2706.2499999999982</v>
      </c>
      <c r="Y486" s="1" t="s">
        <v>40</v>
      </c>
      <c r="Z486" s="1" t="s">
        <v>41</v>
      </c>
      <c r="AA486" s="1">
        <f t="shared" si="35"/>
        <v>3</v>
      </c>
      <c r="AB486" s="2" t="str">
        <f t="shared" si="39"/>
        <v>Clean</v>
      </c>
      <c r="AC486" s="2"/>
    </row>
    <row r="487" spans="1:29">
      <c r="A487" s="1" t="s">
        <v>1551</v>
      </c>
      <c r="B487" s="2">
        <v>45679</v>
      </c>
      <c r="C487" s="2" t="str">
        <f t="shared" si="36"/>
        <v>January</v>
      </c>
      <c r="D487" s="1">
        <f t="shared" si="37"/>
        <v>2025</v>
      </c>
      <c r="E487" s="2">
        <v>45680</v>
      </c>
      <c r="F487" s="1" t="s">
        <v>1552</v>
      </c>
      <c r="G487" s="1" t="s">
        <v>126</v>
      </c>
      <c r="H487" s="1" t="s">
        <v>98</v>
      </c>
      <c r="I487" s="1" t="s">
        <v>71</v>
      </c>
      <c r="J487" s="1" t="s">
        <v>198</v>
      </c>
      <c r="K487" s="1" t="s">
        <v>199</v>
      </c>
      <c r="L487" s="1" t="s">
        <v>49</v>
      </c>
      <c r="M487" s="1" t="s">
        <v>166</v>
      </c>
      <c r="N487" s="1" t="s">
        <v>1553</v>
      </c>
      <c r="O487" s="1" t="s">
        <v>67</v>
      </c>
      <c r="P487" s="1">
        <v>4</v>
      </c>
      <c r="Q487" s="1">
        <v>2555.19</v>
      </c>
      <c r="R487" s="1">
        <v>0.25</v>
      </c>
      <c r="S487" s="1">
        <v>7665.57</v>
      </c>
      <c r="T487" s="1">
        <f t="shared" si="38"/>
        <v>7665.57</v>
      </c>
      <c r="U487" s="1">
        <v>5595.6</v>
      </c>
      <c r="V487" s="3">
        <f>IF(T487=0,"",X487/T487)</f>
        <v>0.27003471366121495</v>
      </c>
      <c r="W487" s="1">
        <v>2069.9699999999998</v>
      </c>
      <c r="X487" s="1">
        <f>T487-U487</f>
        <v>2069.9699999999993</v>
      </c>
      <c r="Y487" s="1" t="s">
        <v>40</v>
      </c>
      <c r="Z487" s="1" t="s">
        <v>41</v>
      </c>
      <c r="AA487" s="1">
        <f t="shared" si="35"/>
        <v>1</v>
      </c>
      <c r="AB487" s="2" t="str">
        <f t="shared" si="39"/>
        <v>Clean</v>
      </c>
      <c r="AC487" s="2"/>
    </row>
    <row r="488" spans="1:29">
      <c r="A488" s="1" t="s">
        <v>1554</v>
      </c>
      <c r="B488" s="2">
        <v>45830</v>
      </c>
      <c r="C488" s="2" t="str">
        <f t="shared" si="36"/>
        <v>June</v>
      </c>
      <c r="D488" s="1">
        <f t="shared" si="37"/>
        <v>2025</v>
      </c>
      <c r="E488" s="2">
        <v>45834</v>
      </c>
      <c r="F488" s="1" t="s">
        <v>1555</v>
      </c>
      <c r="G488" s="1" t="s">
        <v>126</v>
      </c>
      <c r="H488" s="1" t="s">
        <v>98</v>
      </c>
      <c r="I488" s="1" t="s">
        <v>71</v>
      </c>
      <c r="J488" s="1" t="s">
        <v>198</v>
      </c>
      <c r="K488" s="1" t="s">
        <v>199</v>
      </c>
      <c r="L488" s="1" t="s">
        <v>49</v>
      </c>
      <c r="M488" s="1" t="s">
        <v>50</v>
      </c>
      <c r="N488" s="1" t="s">
        <v>1556</v>
      </c>
      <c r="O488" s="1" t="s">
        <v>67</v>
      </c>
      <c r="P488" s="1">
        <v>3</v>
      </c>
      <c r="Q488" s="1">
        <v>1946.18</v>
      </c>
      <c r="R488" s="1">
        <v>0.2</v>
      </c>
      <c r="S488" s="1">
        <v>4670.83</v>
      </c>
      <c r="T488" s="1">
        <f t="shared" si="38"/>
        <v>4670.8320000000003</v>
      </c>
      <c r="U488" s="1">
        <v>3166.49</v>
      </c>
      <c r="V488" s="3">
        <f>IF(T488=0,"",X488/T488)</f>
        <v>0.3220715281560117</v>
      </c>
      <c r="W488" s="1">
        <v>1504.34</v>
      </c>
      <c r="X488" s="1">
        <f>T488-U488</f>
        <v>1504.3420000000006</v>
      </c>
      <c r="Y488" s="1" t="s">
        <v>40</v>
      </c>
      <c r="Z488" s="1" t="s">
        <v>41</v>
      </c>
      <c r="AA488" s="1">
        <f t="shared" si="35"/>
        <v>4</v>
      </c>
      <c r="AB488" s="2" t="str">
        <f t="shared" si="39"/>
        <v>Clean</v>
      </c>
      <c r="AC488" s="2"/>
    </row>
    <row r="489" spans="1:29">
      <c r="A489" s="1" t="s">
        <v>1557</v>
      </c>
      <c r="B489" s="2">
        <v>45936</v>
      </c>
      <c r="C489" s="2" t="str">
        <f t="shared" si="36"/>
        <v>October</v>
      </c>
      <c r="D489" s="1">
        <f t="shared" si="37"/>
        <v>2025</v>
      </c>
      <c r="E489" s="2">
        <v>45825</v>
      </c>
      <c r="F489" s="1" t="s">
        <v>1558</v>
      </c>
      <c r="G489" s="1" t="s">
        <v>126</v>
      </c>
      <c r="H489" s="1" t="s">
        <v>98</v>
      </c>
      <c r="I489" s="1" t="s">
        <v>62</v>
      </c>
      <c r="J489" s="1" t="s">
        <v>63</v>
      </c>
      <c r="K489" s="1" t="s">
        <v>64</v>
      </c>
      <c r="L489" s="1" t="s">
        <v>49</v>
      </c>
      <c r="M489" s="1" t="s">
        <v>65</v>
      </c>
      <c r="N489" s="1" t="s">
        <v>1559</v>
      </c>
      <c r="O489" s="1" t="s">
        <v>67</v>
      </c>
      <c r="P489" s="1">
        <v>5</v>
      </c>
      <c r="Q489" s="1">
        <v>1231.0999999999999</v>
      </c>
      <c r="R489" s="1">
        <v>0</v>
      </c>
      <c r="S489" s="1">
        <v>6155.5</v>
      </c>
      <c r="T489" s="1">
        <f t="shared" si="38"/>
        <v>6155.5</v>
      </c>
      <c r="U489" s="1">
        <v>4282.09</v>
      </c>
      <c r="V489" s="3">
        <f>IF(T489=0,"",X489/T489)</f>
        <v>0.3043473316546178</v>
      </c>
      <c r="W489" s="1">
        <v>1873.41</v>
      </c>
      <c r="X489" s="1">
        <f>T489-U489</f>
        <v>1873.4099999999999</v>
      </c>
      <c r="Y489" s="1" t="s">
        <v>110</v>
      </c>
      <c r="Z489" s="1" t="s">
        <v>111</v>
      </c>
      <c r="AA489" s="4">
        <f t="shared" si="35"/>
        <v>-111</v>
      </c>
      <c r="AB489" s="2" t="str">
        <f t="shared" si="39"/>
        <v>Invalid</v>
      </c>
      <c r="AC489" s="2"/>
    </row>
    <row r="490" spans="1:29">
      <c r="A490" s="1" t="s">
        <v>1560</v>
      </c>
      <c r="B490" s="2">
        <v>45579</v>
      </c>
      <c r="C490" s="2" t="str">
        <f t="shared" si="36"/>
        <v>October</v>
      </c>
      <c r="D490" s="1">
        <f t="shared" si="37"/>
        <v>2024</v>
      </c>
      <c r="E490" s="2">
        <v>45585</v>
      </c>
      <c r="F490" s="1" t="s">
        <v>1561</v>
      </c>
      <c r="G490" s="1" t="s">
        <v>97</v>
      </c>
      <c r="H490" s="1" t="s">
        <v>45</v>
      </c>
      <c r="I490" s="1" t="s">
        <v>33</v>
      </c>
      <c r="J490" s="1" t="s">
        <v>34</v>
      </c>
      <c r="K490" s="1" t="s">
        <v>35</v>
      </c>
      <c r="L490" s="1" t="s">
        <v>49</v>
      </c>
      <c r="M490" s="1" t="s">
        <v>50</v>
      </c>
      <c r="N490" s="1" t="s">
        <v>1562</v>
      </c>
      <c r="O490" s="1" t="s">
        <v>52</v>
      </c>
      <c r="P490" s="1">
        <v>7</v>
      </c>
      <c r="Q490" s="1">
        <v>1547.6</v>
      </c>
      <c r="R490" s="1">
        <v>0.2</v>
      </c>
      <c r="S490" s="1">
        <v>8666.56</v>
      </c>
      <c r="T490" s="1">
        <f t="shared" si="38"/>
        <v>8666.56</v>
      </c>
      <c r="U490" s="1">
        <v>5967.44</v>
      </c>
      <c r="V490" s="3">
        <f>IF(T490=0,"",X490/T490)</f>
        <v>0.31144075619392242</v>
      </c>
      <c r="W490" s="1">
        <v>2699.12</v>
      </c>
      <c r="X490" s="1">
        <f>T490-U490</f>
        <v>2699.12</v>
      </c>
      <c r="Y490" s="1" t="s">
        <v>40</v>
      </c>
      <c r="Z490" s="1" t="s">
        <v>41</v>
      </c>
      <c r="AA490" s="1">
        <f t="shared" si="35"/>
        <v>6</v>
      </c>
      <c r="AB490" s="2" t="str">
        <f t="shared" si="39"/>
        <v>Clean</v>
      </c>
      <c r="AC490" s="2"/>
    </row>
    <row r="491" spans="1:29">
      <c r="A491" s="1" t="s">
        <v>1563</v>
      </c>
      <c r="B491" s="2">
        <v>45475</v>
      </c>
      <c r="C491" s="2" t="str">
        <f t="shared" si="36"/>
        <v>July</v>
      </c>
      <c r="D491" s="1">
        <f t="shared" si="37"/>
        <v>2024</v>
      </c>
      <c r="E491" s="2">
        <v>45628</v>
      </c>
      <c r="F491" s="1" t="s">
        <v>1564</v>
      </c>
      <c r="G491" s="1" t="s">
        <v>61</v>
      </c>
      <c r="H491" s="1" t="s">
        <v>103</v>
      </c>
      <c r="I491" s="1" t="s">
        <v>46</v>
      </c>
      <c r="J491" s="1" t="s">
        <v>107</v>
      </c>
      <c r="K491" s="1" t="s">
        <v>108</v>
      </c>
      <c r="L491" s="1" t="s">
        <v>82</v>
      </c>
      <c r="M491" s="1" t="s">
        <v>83</v>
      </c>
      <c r="N491" s="1" t="s">
        <v>1565</v>
      </c>
      <c r="O491" s="1" t="s">
        <v>39</v>
      </c>
      <c r="P491" s="1">
        <v>1</v>
      </c>
      <c r="Q491" s="1">
        <v>452.19</v>
      </c>
      <c r="R491" s="1">
        <v>0.2</v>
      </c>
      <c r="S491" s="1">
        <v>361.75</v>
      </c>
      <c r="T491" s="1">
        <f t="shared" si="38"/>
        <v>361.75200000000001</v>
      </c>
      <c r="U491" s="1">
        <v>262.52999999999997</v>
      </c>
      <c r="V491" s="3">
        <f>IF(T491=0,"",X491/T491)</f>
        <v>0.27428182843495003</v>
      </c>
      <c r="W491" s="1">
        <v>99.22</v>
      </c>
      <c r="X491" s="1">
        <f>T491-U491</f>
        <v>99.222000000000037</v>
      </c>
      <c r="Y491" s="1" t="s">
        <v>40</v>
      </c>
      <c r="Z491" s="1" t="s">
        <v>41</v>
      </c>
      <c r="AA491" s="1">
        <f t="shared" si="35"/>
        <v>153</v>
      </c>
      <c r="AB491" s="2" t="str">
        <f t="shared" si="39"/>
        <v>Clean</v>
      </c>
      <c r="AC491" s="2"/>
    </row>
    <row r="492" spans="1:29">
      <c r="A492" s="1" t="s">
        <v>1566</v>
      </c>
      <c r="B492" s="2">
        <v>45551</v>
      </c>
      <c r="C492" s="2" t="str">
        <f t="shared" si="36"/>
        <v>September</v>
      </c>
      <c r="D492" s="1">
        <f t="shared" si="37"/>
        <v>2024</v>
      </c>
      <c r="E492" s="2">
        <v>45554</v>
      </c>
      <c r="F492" s="1" t="s">
        <v>1567</v>
      </c>
      <c r="G492" s="1" t="s">
        <v>97</v>
      </c>
      <c r="H492" s="1" t="s">
        <v>32</v>
      </c>
      <c r="I492" s="1" t="s">
        <v>71</v>
      </c>
      <c r="J492" s="1" t="s">
        <v>34</v>
      </c>
      <c r="K492" s="1" t="s">
        <v>117</v>
      </c>
      <c r="L492" s="1" t="s">
        <v>36</v>
      </c>
      <c r="M492" s="1" t="s">
        <v>161</v>
      </c>
      <c r="N492" s="1" t="s">
        <v>1568</v>
      </c>
      <c r="O492" s="1" t="s">
        <v>58</v>
      </c>
      <c r="P492" s="1">
        <v>7</v>
      </c>
      <c r="Q492" s="1">
        <v>406.42</v>
      </c>
      <c r="R492" s="1">
        <v>0.15</v>
      </c>
      <c r="S492" s="1">
        <v>2418.1999999999998</v>
      </c>
      <c r="T492" s="1">
        <f t="shared" si="38"/>
        <v>2418.1990000000001</v>
      </c>
      <c r="U492" s="1">
        <v>1613.82</v>
      </c>
      <c r="V492" s="3">
        <f>IF(T492=0,"",X492/T492)</f>
        <v>0.33263556886757462</v>
      </c>
      <c r="W492" s="1">
        <v>804.38</v>
      </c>
      <c r="X492" s="1">
        <f>T492-U492</f>
        <v>804.37900000000013</v>
      </c>
      <c r="Y492" s="1" t="s">
        <v>40</v>
      </c>
      <c r="Z492" s="1" t="s">
        <v>41</v>
      </c>
      <c r="AA492" s="1">
        <f t="shared" si="35"/>
        <v>3</v>
      </c>
      <c r="AB492" s="2" t="str">
        <f t="shared" si="39"/>
        <v>Clean</v>
      </c>
      <c r="AC492" s="2"/>
    </row>
    <row r="493" spans="1:29">
      <c r="A493" s="1" t="s">
        <v>1569</v>
      </c>
      <c r="B493" s="2">
        <v>45776</v>
      </c>
      <c r="C493" s="2" t="str">
        <f t="shared" si="36"/>
        <v>April</v>
      </c>
      <c r="D493" s="1">
        <f t="shared" si="37"/>
        <v>2025</v>
      </c>
      <c r="E493" s="2">
        <v>45777</v>
      </c>
      <c r="F493" s="1" t="s">
        <v>1570</v>
      </c>
      <c r="G493" s="1" t="s">
        <v>44</v>
      </c>
      <c r="H493" s="1" t="s">
        <v>98</v>
      </c>
      <c r="I493" s="1" t="s">
        <v>62</v>
      </c>
      <c r="J493" s="1" t="s">
        <v>193</v>
      </c>
      <c r="K493" s="1" t="s">
        <v>194</v>
      </c>
      <c r="L493" s="1" t="s">
        <v>82</v>
      </c>
      <c r="M493" s="1" t="s">
        <v>83</v>
      </c>
      <c r="N493" s="1" t="s">
        <v>1571</v>
      </c>
      <c r="O493" s="1" t="s">
        <v>67</v>
      </c>
      <c r="P493" s="1">
        <v>4</v>
      </c>
      <c r="Q493" s="1">
        <v>606.58000000000004</v>
      </c>
      <c r="R493" s="1">
        <v>0.2</v>
      </c>
      <c r="S493" s="1">
        <v>1941.06</v>
      </c>
      <c r="T493" s="1">
        <f t="shared" si="38"/>
        <v>1941.0560000000003</v>
      </c>
      <c r="U493" s="1">
        <v>1207.42</v>
      </c>
      <c r="V493" s="3">
        <f>IF(T493=0,"",X493/T493)</f>
        <v>0.37795715321969076</v>
      </c>
      <c r="W493" s="1">
        <v>733.64</v>
      </c>
      <c r="X493" s="1">
        <f>T493-U493</f>
        <v>733.63600000000019</v>
      </c>
      <c r="Y493" s="1" t="s">
        <v>40</v>
      </c>
      <c r="Z493" s="1" t="s">
        <v>41</v>
      </c>
      <c r="AA493" s="1">
        <f t="shared" si="35"/>
        <v>1</v>
      </c>
      <c r="AB493" s="2" t="str">
        <f t="shared" si="39"/>
        <v>Clean</v>
      </c>
      <c r="AC493" s="2"/>
    </row>
    <row r="494" spans="1:29">
      <c r="A494" s="1" t="s">
        <v>1572</v>
      </c>
      <c r="B494" s="2">
        <v>45836</v>
      </c>
      <c r="C494" s="2" t="str">
        <f t="shared" si="36"/>
        <v>June</v>
      </c>
      <c r="D494" s="1">
        <f t="shared" si="37"/>
        <v>2025</v>
      </c>
      <c r="E494" s="2">
        <v>45840</v>
      </c>
      <c r="F494" s="1" t="s">
        <v>1573</v>
      </c>
      <c r="G494" s="1" t="s">
        <v>70</v>
      </c>
      <c r="H494" s="1" t="s">
        <v>98</v>
      </c>
      <c r="I494" s="1" t="s">
        <v>62</v>
      </c>
      <c r="J494" s="1" t="s">
        <v>92</v>
      </c>
      <c r="K494" s="1" t="s">
        <v>93</v>
      </c>
      <c r="L494" s="1" t="s">
        <v>36</v>
      </c>
      <c r="M494" s="1" t="s">
        <v>132</v>
      </c>
      <c r="N494" s="1" t="s">
        <v>1574</v>
      </c>
      <c r="O494" s="1" t="s">
        <v>39</v>
      </c>
      <c r="P494" s="1">
        <v>2</v>
      </c>
      <c r="Q494" s="1">
        <v>2725.44</v>
      </c>
      <c r="R494" s="1">
        <v>0.25</v>
      </c>
      <c r="S494" s="1">
        <v>4088.16</v>
      </c>
      <c r="T494" s="1">
        <f t="shared" si="38"/>
        <v>4088.16</v>
      </c>
      <c r="U494" s="1">
        <v>3205.68</v>
      </c>
      <c r="V494" s="3">
        <f>IF(T494=0,"",X494/T494)</f>
        <v>0.21586239286133616</v>
      </c>
      <c r="W494" s="1">
        <v>882.48</v>
      </c>
      <c r="X494" s="1">
        <f>T494-U494</f>
        <v>882.48</v>
      </c>
      <c r="Y494" s="1" t="s">
        <v>40</v>
      </c>
      <c r="Z494" s="1" t="s">
        <v>41</v>
      </c>
      <c r="AA494" s="1">
        <f t="shared" si="35"/>
        <v>4</v>
      </c>
      <c r="AB494" s="2" t="str">
        <f t="shared" si="39"/>
        <v>Clean</v>
      </c>
      <c r="AC494" s="2"/>
    </row>
    <row r="495" spans="1:29">
      <c r="A495" s="1" t="s">
        <v>1575</v>
      </c>
      <c r="B495" s="2">
        <v>45701</v>
      </c>
      <c r="C495" s="2" t="str">
        <f t="shared" si="36"/>
        <v>February</v>
      </c>
      <c r="D495" s="1">
        <f t="shared" si="37"/>
        <v>2025</v>
      </c>
      <c r="E495" s="2">
        <v>45701</v>
      </c>
      <c r="F495" s="1" t="s">
        <v>1576</v>
      </c>
      <c r="G495" s="1" t="s">
        <v>273</v>
      </c>
      <c r="H495" s="1" t="s">
        <v>98</v>
      </c>
      <c r="I495" s="1" t="s">
        <v>46</v>
      </c>
      <c r="J495" s="1" t="s">
        <v>47</v>
      </c>
      <c r="K495" s="1" t="s">
        <v>48</v>
      </c>
      <c r="L495" s="1" t="s">
        <v>36</v>
      </c>
      <c r="M495" s="1" t="s">
        <v>37</v>
      </c>
      <c r="N495" s="1" t="s">
        <v>1577</v>
      </c>
      <c r="O495" s="1" t="s">
        <v>39</v>
      </c>
      <c r="P495" s="1">
        <v>7</v>
      </c>
      <c r="Q495" s="1">
        <v>2296.6999999999998</v>
      </c>
      <c r="R495" s="1">
        <v>0.05</v>
      </c>
      <c r="S495" s="1">
        <v>15273.05</v>
      </c>
      <c r="T495" s="1">
        <f t="shared" si="38"/>
        <v>15273.054999999997</v>
      </c>
      <c r="U495" s="1">
        <v>11088.76</v>
      </c>
      <c r="V495" s="3">
        <f>IF(T495=0,"",X495/T495)</f>
        <v>0.27396581757873573</v>
      </c>
      <c r="W495" s="1">
        <v>4184.29</v>
      </c>
      <c r="X495" s="1">
        <f>T495-U495</f>
        <v>4184.2949999999964</v>
      </c>
      <c r="Y495" s="1" t="s">
        <v>40</v>
      </c>
      <c r="Z495" s="1" t="s">
        <v>1578</v>
      </c>
      <c r="AA495" s="1">
        <f t="shared" si="35"/>
        <v>0</v>
      </c>
      <c r="AB495" s="2" t="str">
        <f t="shared" si="39"/>
        <v>Clean</v>
      </c>
      <c r="AC495" s="2"/>
    </row>
    <row r="496" spans="1:29">
      <c r="A496" s="1" t="s">
        <v>1579</v>
      </c>
      <c r="B496" s="2">
        <v>45610</v>
      </c>
      <c r="C496" s="2" t="str">
        <f t="shared" si="36"/>
        <v>November</v>
      </c>
      <c r="D496" s="1">
        <f t="shared" si="37"/>
        <v>2024</v>
      </c>
      <c r="E496" s="2">
        <v>45618</v>
      </c>
      <c r="F496" s="1" t="s">
        <v>1580</v>
      </c>
      <c r="G496" s="1" t="s">
        <v>55</v>
      </c>
      <c r="H496" s="1" t="s">
        <v>32</v>
      </c>
      <c r="I496" s="1" t="s">
        <v>71</v>
      </c>
      <c r="J496" s="1" t="s">
        <v>80</v>
      </c>
      <c r="K496" s="1" t="s">
        <v>81</v>
      </c>
      <c r="L496" s="1" t="s">
        <v>82</v>
      </c>
      <c r="M496" s="1" t="s">
        <v>179</v>
      </c>
      <c r="N496" s="1" t="s">
        <v>1581</v>
      </c>
      <c r="O496" s="1" t="s">
        <v>67</v>
      </c>
      <c r="P496" s="1">
        <v>3</v>
      </c>
      <c r="Q496" s="1">
        <v>671.68</v>
      </c>
      <c r="R496" s="4">
        <v>-0.13</v>
      </c>
      <c r="S496" s="1">
        <v>1712.78</v>
      </c>
      <c r="T496" s="4">
        <f t="shared" si="38"/>
        <v>2276.9951999999998</v>
      </c>
      <c r="U496" s="1">
        <v>1569.38</v>
      </c>
      <c r="V496" s="3"/>
      <c r="W496" s="1">
        <v>360.66</v>
      </c>
      <c r="X496" s="1"/>
      <c r="Y496" s="1" t="s">
        <v>163</v>
      </c>
      <c r="Z496" s="1" t="s">
        <v>76</v>
      </c>
      <c r="AA496" s="1">
        <f t="shared" si="35"/>
        <v>8</v>
      </c>
      <c r="AB496" s="2" t="str">
        <f t="shared" si="39"/>
        <v>Invalid</v>
      </c>
      <c r="AC496" s="2"/>
    </row>
    <row r="497" spans="1:29">
      <c r="A497" s="1" t="s">
        <v>1582</v>
      </c>
      <c r="B497" s="2">
        <v>45421</v>
      </c>
      <c r="C497" s="2" t="str">
        <f t="shared" si="36"/>
        <v>May</v>
      </c>
      <c r="D497" s="1">
        <f t="shared" si="37"/>
        <v>2024</v>
      </c>
      <c r="E497" s="2">
        <v>45427</v>
      </c>
      <c r="F497" s="1" t="s">
        <v>1583</v>
      </c>
      <c r="G497" s="1" t="s">
        <v>44</v>
      </c>
      <c r="H497" s="1" t="s">
        <v>45</v>
      </c>
      <c r="I497" s="1" t="s">
        <v>46</v>
      </c>
      <c r="J497" s="1" t="s">
        <v>174</v>
      </c>
      <c r="K497" s="1" t="s">
        <v>175</v>
      </c>
      <c r="L497" s="1" t="s">
        <v>82</v>
      </c>
      <c r="M497" s="1" t="s">
        <v>179</v>
      </c>
      <c r="N497" s="1" t="s">
        <v>1584</v>
      </c>
      <c r="O497" s="1" t="s">
        <v>39</v>
      </c>
      <c r="P497" s="1">
        <v>4</v>
      </c>
      <c r="Q497" s="1">
        <v>995.98</v>
      </c>
      <c r="R497" s="1">
        <v>0.05</v>
      </c>
      <c r="S497" s="1">
        <v>3784.72</v>
      </c>
      <c r="T497" s="1">
        <f t="shared" si="38"/>
        <v>3784.7239999999997</v>
      </c>
      <c r="U497" s="1">
        <v>2419.2399999999998</v>
      </c>
      <c r="V497" s="3">
        <f>IF(T497=0,"",X497/T497)</f>
        <v>0.36078826355633858</v>
      </c>
      <c r="W497" s="1">
        <v>1365.48</v>
      </c>
      <c r="X497" s="1">
        <f>T497-U497</f>
        <v>1365.4839999999999</v>
      </c>
      <c r="Y497" s="1" t="s">
        <v>110</v>
      </c>
      <c r="Z497" s="1" t="s">
        <v>111</v>
      </c>
      <c r="AA497" s="1">
        <f t="shared" si="35"/>
        <v>6</v>
      </c>
      <c r="AB497" s="2" t="str">
        <f t="shared" si="39"/>
        <v>Clean</v>
      </c>
      <c r="AC497" s="2"/>
    </row>
    <row r="498" spans="1:29">
      <c r="A498" s="1" t="s">
        <v>1585</v>
      </c>
      <c r="B498" s="2">
        <v>45754</v>
      </c>
      <c r="C498" s="2" t="str">
        <f t="shared" si="36"/>
        <v>April</v>
      </c>
      <c r="D498" s="1">
        <f t="shared" si="37"/>
        <v>2025</v>
      </c>
      <c r="E498" s="2">
        <v>45815</v>
      </c>
      <c r="F498" s="1" t="s">
        <v>1586</v>
      </c>
      <c r="G498" s="1" t="s">
        <v>273</v>
      </c>
      <c r="H498" s="1" t="s">
        <v>45</v>
      </c>
      <c r="I498" s="1" t="s">
        <v>46</v>
      </c>
      <c r="J498" s="1" t="s">
        <v>237</v>
      </c>
      <c r="K498" s="1" t="s">
        <v>238</v>
      </c>
      <c r="L498" s="1" t="s">
        <v>49</v>
      </c>
      <c r="M498" s="1" t="s">
        <v>74</v>
      </c>
      <c r="N498" s="1" t="s">
        <v>1587</v>
      </c>
      <c r="O498" s="1" t="s">
        <v>39</v>
      </c>
      <c r="P498" s="1">
        <v>2</v>
      </c>
      <c r="Q498" s="1">
        <v>3686.42</v>
      </c>
      <c r="R498" s="1">
        <v>0.1</v>
      </c>
      <c r="S498" s="1">
        <v>6635.56</v>
      </c>
      <c r="T498" s="1">
        <f t="shared" si="38"/>
        <v>6635.5560000000005</v>
      </c>
      <c r="U498" s="1">
        <v>3652.91</v>
      </c>
      <c r="V498" s="3">
        <f>IF(T498=0,"",X498/T498)</f>
        <v>0.44949451108543131</v>
      </c>
      <c r="W498" s="1">
        <v>2982.65</v>
      </c>
      <c r="X498" s="1">
        <f>T498-U498</f>
        <v>2982.6460000000006</v>
      </c>
      <c r="Y498" s="1" t="s">
        <v>40</v>
      </c>
      <c r="Z498" s="1" t="s">
        <v>41</v>
      </c>
      <c r="AA498" s="1">
        <f t="shared" si="35"/>
        <v>61</v>
      </c>
      <c r="AB498" s="2" t="str">
        <f t="shared" si="39"/>
        <v>Clean</v>
      </c>
      <c r="AC498" s="2"/>
    </row>
    <row r="499" spans="1:29">
      <c r="A499" s="1" t="s">
        <v>1588</v>
      </c>
      <c r="B499" s="2">
        <v>45533</v>
      </c>
      <c r="C499" s="2" t="str">
        <f t="shared" si="36"/>
        <v>August</v>
      </c>
      <c r="D499" s="1">
        <f t="shared" si="37"/>
        <v>2024</v>
      </c>
      <c r="E499" s="2">
        <v>45533</v>
      </c>
      <c r="F499" s="1" t="s">
        <v>1589</v>
      </c>
      <c r="G499" s="1" t="s">
        <v>140</v>
      </c>
      <c r="H499" s="1" t="s">
        <v>45</v>
      </c>
      <c r="I499" s="1" t="s">
        <v>33</v>
      </c>
      <c r="J499" s="1" t="s">
        <v>144</v>
      </c>
      <c r="K499" s="1" t="s">
        <v>145</v>
      </c>
      <c r="L499" s="1" t="s">
        <v>82</v>
      </c>
      <c r="M499" s="1" t="s">
        <v>83</v>
      </c>
      <c r="N499" s="1" t="s">
        <v>1590</v>
      </c>
      <c r="O499" s="1" t="s">
        <v>39</v>
      </c>
      <c r="P499" s="1">
        <v>1</v>
      </c>
      <c r="Q499" s="1">
        <v>3106.88</v>
      </c>
      <c r="R499" s="1">
        <v>0.2</v>
      </c>
      <c r="S499" s="1">
        <v>2485.5</v>
      </c>
      <c r="T499" s="1">
        <f t="shared" si="38"/>
        <v>2485.5040000000004</v>
      </c>
      <c r="U499" s="1">
        <v>2028.43</v>
      </c>
      <c r="V499" s="3">
        <f>IF(T499=0,"",X499/T499)</f>
        <v>0.18389590199814615</v>
      </c>
      <c r="W499" s="1">
        <v>457.07</v>
      </c>
      <c r="X499" s="1">
        <f>T499-U499</f>
        <v>457.0740000000003</v>
      </c>
      <c r="Y499" s="1" t="s">
        <v>40</v>
      </c>
      <c r="Z499" s="1" t="s">
        <v>76</v>
      </c>
      <c r="AA499" s="1">
        <f t="shared" si="35"/>
        <v>0</v>
      </c>
      <c r="AB499" s="2" t="str">
        <f t="shared" si="39"/>
        <v>Clean</v>
      </c>
      <c r="AC499" s="2"/>
    </row>
    <row r="500" spans="1:29">
      <c r="A500" s="1" t="s">
        <v>1591</v>
      </c>
      <c r="B500" s="2">
        <v>45847</v>
      </c>
      <c r="C500" s="2" t="str">
        <f t="shared" si="36"/>
        <v>July</v>
      </c>
      <c r="D500" s="1">
        <f t="shared" si="37"/>
        <v>2025</v>
      </c>
      <c r="E500" s="2">
        <v>45939</v>
      </c>
      <c r="F500" s="1" t="s">
        <v>1592</v>
      </c>
      <c r="G500" s="1" t="s">
        <v>31</v>
      </c>
      <c r="H500" s="1" t="s">
        <v>32</v>
      </c>
      <c r="I500" s="1" t="s">
        <v>33</v>
      </c>
      <c r="J500" s="1" t="s">
        <v>130</v>
      </c>
      <c r="K500" s="1" t="s">
        <v>131</v>
      </c>
      <c r="L500" s="1" t="s">
        <v>49</v>
      </c>
      <c r="M500" s="1" t="s">
        <v>74</v>
      </c>
      <c r="N500" s="1" t="s">
        <v>1593</v>
      </c>
      <c r="O500" s="1" t="s">
        <v>52</v>
      </c>
      <c r="P500" s="1">
        <v>2</v>
      </c>
      <c r="Q500" s="1">
        <v>447.55</v>
      </c>
      <c r="R500" s="1">
        <v>0.05</v>
      </c>
      <c r="S500" s="1">
        <v>850.35</v>
      </c>
      <c r="T500" s="1">
        <f t="shared" si="38"/>
        <v>850.34500000000003</v>
      </c>
      <c r="U500" s="1">
        <v>600.98</v>
      </c>
      <c r="V500" s="3">
        <f>IF(T500=0,"",X500/T500)</f>
        <v>0.29325156260106194</v>
      </c>
      <c r="W500" s="1">
        <v>249.37</v>
      </c>
      <c r="X500" s="1">
        <f>T500-U500</f>
        <v>249.36500000000001</v>
      </c>
      <c r="Y500" s="1" t="s">
        <v>110</v>
      </c>
      <c r="Z500" s="1" t="s">
        <v>1594</v>
      </c>
      <c r="AA500" s="1">
        <f t="shared" si="35"/>
        <v>92</v>
      </c>
      <c r="AB500" s="2" t="str">
        <f t="shared" si="39"/>
        <v>Clean</v>
      </c>
      <c r="AC500" s="2"/>
    </row>
    <row r="501" spans="1:29">
      <c r="A501" s="1" t="s">
        <v>1595</v>
      </c>
      <c r="B501" s="2">
        <v>45648</v>
      </c>
      <c r="C501" s="2" t="str">
        <f t="shared" si="36"/>
        <v>December</v>
      </c>
      <c r="D501" s="1">
        <f t="shared" si="37"/>
        <v>2024</v>
      </c>
      <c r="E501" s="2">
        <v>45652</v>
      </c>
      <c r="F501" s="1" t="s">
        <v>1596</v>
      </c>
      <c r="G501" s="1" t="s">
        <v>126</v>
      </c>
      <c r="H501" s="1" t="s">
        <v>103</v>
      </c>
      <c r="I501" s="1" t="s">
        <v>33</v>
      </c>
      <c r="J501" s="1" t="s">
        <v>144</v>
      </c>
      <c r="K501" s="1" t="s">
        <v>145</v>
      </c>
      <c r="L501" s="1" t="s">
        <v>49</v>
      </c>
      <c r="M501" s="1" t="s">
        <v>74</v>
      </c>
      <c r="N501" s="1" t="s">
        <v>1597</v>
      </c>
      <c r="O501" s="1" t="s">
        <v>67</v>
      </c>
      <c r="P501" s="1">
        <v>9</v>
      </c>
      <c r="Q501" s="1">
        <v>1110.8699999999999</v>
      </c>
      <c r="R501" s="1">
        <v>0</v>
      </c>
      <c r="S501" s="1">
        <v>7498.37</v>
      </c>
      <c r="T501" s="1">
        <f t="shared" si="38"/>
        <v>9997.8299999999981</v>
      </c>
      <c r="U501" s="1">
        <v>6059.07</v>
      </c>
      <c r="V501" s="3">
        <f>IF(T501=0,"",X501/T501)</f>
        <v>0.3939614896432525</v>
      </c>
      <c r="W501" s="1">
        <v>1439.3</v>
      </c>
      <c r="X501" s="1">
        <f>T501-U501</f>
        <v>3938.7599999999984</v>
      </c>
      <c r="Y501" s="1" t="s">
        <v>40</v>
      </c>
      <c r="Z501" s="1" t="s">
        <v>76</v>
      </c>
      <c r="AA501" s="1">
        <f t="shared" si="35"/>
        <v>4</v>
      </c>
      <c r="AB501" s="2" t="str">
        <f t="shared" si="39"/>
        <v>Clean</v>
      </c>
      <c r="AC501" s="2"/>
    </row>
    <row r="502" spans="1:29">
      <c r="A502" s="1" t="s">
        <v>1598</v>
      </c>
      <c r="B502" s="2">
        <v>45429</v>
      </c>
      <c r="C502" s="2" t="str">
        <f t="shared" si="36"/>
        <v>May</v>
      </c>
      <c r="D502" s="1">
        <f t="shared" si="37"/>
        <v>2024</v>
      </c>
      <c r="E502" s="2">
        <v>45434</v>
      </c>
      <c r="F502" s="1" t="s">
        <v>1599</v>
      </c>
      <c r="G502" s="1" t="s">
        <v>140</v>
      </c>
      <c r="H502" s="1" t="s">
        <v>32</v>
      </c>
      <c r="I502" s="1" t="s">
        <v>62</v>
      </c>
      <c r="J502" s="1" t="s">
        <v>193</v>
      </c>
      <c r="K502" s="1" t="s">
        <v>194</v>
      </c>
      <c r="L502" s="1" t="s">
        <v>82</v>
      </c>
      <c r="M502" s="1" t="s">
        <v>179</v>
      </c>
      <c r="N502" s="1" t="s">
        <v>1600</v>
      </c>
      <c r="O502" s="1" t="s">
        <v>52</v>
      </c>
      <c r="P502" s="1">
        <v>9</v>
      </c>
      <c r="Q502" s="1">
        <v>3795.99</v>
      </c>
      <c r="R502" s="1">
        <v>0.85</v>
      </c>
      <c r="S502" s="1">
        <v>34163.910000000003</v>
      </c>
      <c r="T502" s="1">
        <f t="shared" si="38"/>
        <v>5124.5865000000003</v>
      </c>
      <c r="U502" s="1">
        <v>28577.15</v>
      </c>
      <c r="V502" s="3">
        <f>IF(T502=0,"",X502/T502)</f>
        <v>-4.5764791949555343</v>
      </c>
      <c r="W502" s="1">
        <v>5586.76</v>
      </c>
      <c r="X502" s="1">
        <f>T502-U502</f>
        <v>-23452.5635</v>
      </c>
      <c r="Y502" s="1" t="s">
        <v>40</v>
      </c>
      <c r="Z502" s="1" t="s">
        <v>41</v>
      </c>
      <c r="AA502" s="1">
        <f t="shared" si="35"/>
        <v>5</v>
      </c>
      <c r="AB502" s="2" t="str">
        <f t="shared" si="39"/>
        <v>Clean</v>
      </c>
      <c r="AC502" s="2"/>
    </row>
    <row r="503" spans="1:29">
      <c r="A503" s="1" t="s">
        <v>1601</v>
      </c>
      <c r="B503" s="2">
        <v>45604</v>
      </c>
      <c r="C503" s="2" t="str">
        <f t="shared" si="36"/>
        <v>November</v>
      </c>
      <c r="D503" s="1">
        <f t="shared" si="37"/>
        <v>2024</v>
      </c>
      <c r="E503" s="2">
        <v>45521</v>
      </c>
      <c r="F503" s="1" t="s">
        <v>812</v>
      </c>
      <c r="G503" s="1" t="s">
        <v>87</v>
      </c>
      <c r="H503" s="1" t="s">
        <v>32</v>
      </c>
      <c r="I503" s="1" t="s">
        <v>46</v>
      </c>
      <c r="J503" s="1" t="s">
        <v>237</v>
      </c>
      <c r="K503" s="1" t="s">
        <v>238</v>
      </c>
      <c r="L503" s="1" t="s">
        <v>36</v>
      </c>
      <c r="M503" s="1" t="s">
        <v>56</v>
      </c>
      <c r="N503" s="1" t="s">
        <v>1602</v>
      </c>
      <c r="O503" s="1" t="s">
        <v>39</v>
      </c>
      <c r="P503" s="1">
        <v>6</v>
      </c>
      <c r="Q503" s="1">
        <v>3497.54</v>
      </c>
      <c r="R503" s="1">
        <v>0.15</v>
      </c>
      <c r="S503" s="1">
        <v>17837.45</v>
      </c>
      <c r="T503" s="1">
        <f t="shared" si="38"/>
        <v>17837.453999999998</v>
      </c>
      <c r="U503" s="1">
        <v>13627.02</v>
      </c>
      <c r="V503" s="3">
        <f>IF(T503=0,"",X503/T503)</f>
        <v>0.23604456106796395</v>
      </c>
      <c r="W503" s="1">
        <v>4210.43</v>
      </c>
      <c r="X503" s="1">
        <f>T503-U503</f>
        <v>4210.4339999999975</v>
      </c>
      <c r="Y503" s="1" t="s">
        <v>40</v>
      </c>
      <c r="Z503" s="1" t="s">
        <v>41</v>
      </c>
      <c r="AA503" s="4">
        <f t="shared" si="35"/>
        <v>-83</v>
      </c>
      <c r="AB503" s="2" t="str">
        <f t="shared" si="39"/>
        <v>Invalid</v>
      </c>
      <c r="AC503" s="2"/>
    </row>
    <row r="504" spans="1:29">
      <c r="A504" s="1" t="s">
        <v>1603</v>
      </c>
      <c r="B504" s="2">
        <v>45383</v>
      </c>
      <c r="C504" s="2" t="str">
        <f t="shared" si="36"/>
        <v>April</v>
      </c>
      <c r="D504" s="1">
        <f t="shared" si="37"/>
        <v>2024</v>
      </c>
      <c r="E504" s="2">
        <v>45539</v>
      </c>
      <c r="F504" s="1" t="s">
        <v>1604</v>
      </c>
      <c r="G504" s="1" t="s">
        <v>122</v>
      </c>
      <c r="H504" s="1" t="s">
        <v>45</v>
      </c>
      <c r="I504" s="1" t="s">
        <v>46</v>
      </c>
      <c r="J504" s="1" t="s">
        <v>47</v>
      </c>
      <c r="K504" s="1" t="s">
        <v>48</v>
      </c>
      <c r="L504" s="1" t="s">
        <v>82</v>
      </c>
      <c r="M504" s="1" t="s">
        <v>88</v>
      </c>
      <c r="N504" s="1" t="s">
        <v>1605</v>
      </c>
      <c r="O504" s="1" t="s">
        <v>39</v>
      </c>
      <c r="P504" s="1">
        <v>6</v>
      </c>
      <c r="Q504" s="1">
        <v>826.93</v>
      </c>
      <c r="R504" s="1">
        <v>0.1</v>
      </c>
      <c r="S504" s="1">
        <v>4465.42</v>
      </c>
      <c r="T504" s="1">
        <f t="shared" si="38"/>
        <v>4465.4220000000005</v>
      </c>
      <c r="U504" s="1">
        <v>3377.1</v>
      </c>
      <c r="V504" s="3">
        <f>IF(T504=0,"",X504/T504)</f>
        <v>0.24372209390288319</v>
      </c>
      <c r="W504" s="1">
        <v>1088.32</v>
      </c>
      <c r="X504" s="1">
        <f>T504-U504</f>
        <v>1088.3220000000006</v>
      </c>
      <c r="Y504" s="1" t="s">
        <v>40</v>
      </c>
      <c r="Z504" s="1" t="s">
        <v>41</v>
      </c>
      <c r="AA504" s="1">
        <f t="shared" si="35"/>
        <v>156</v>
      </c>
      <c r="AB504" s="2" t="str">
        <f t="shared" si="39"/>
        <v>Clean</v>
      </c>
      <c r="AC504" s="2"/>
    </row>
    <row r="505" spans="1:29">
      <c r="A505" s="1" t="s">
        <v>1606</v>
      </c>
      <c r="B505" s="2">
        <v>45563</v>
      </c>
      <c r="C505" s="2" t="str">
        <f t="shared" si="36"/>
        <v>September</v>
      </c>
      <c r="D505" s="1">
        <f t="shared" si="37"/>
        <v>2024</v>
      </c>
      <c r="E505" s="2">
        <v>45422</v>
      </c>
      <c r="F505" s="1" t="s">
        <v>1607</v>
      </c>
      <c r="G505" s="1" t="s">
        <v>136</v>
      </c>
      <c r="H505" s="1" t="s">
        <v>32</v>
      </c>
      <c r="I505" s="1" t="s">
        <v>62</v>
      </c>
      <c r="J505" s="1" t="s">
        <v>256</v>
      </c>
      <c r="K505" s="1" t="s">
        <v>257</v>
      </c>
      <c r="L505" s="1" t="s">
        <v>82</v>
      </c>
      <c r="M505" s="1" t="s">
        <v>179</v>
      </c>
      <c r="N505" s="1" t="s">
        <v>1608</v>
      </c>
      <c r="O505" s="1" t="s">
        <v>67</v>
      </c>
      <c r="P505" s="1">
        <v>7</v>
      </c>
      <c r="Q505" s="1">
        <v>1681.6</v>
      </c>
      <c r="R505" s="1">
        <v>0.1</v>
      </c>
      <c r="S505" s="1">
        <v>10594.08</v>
      </c>
      <c r="T505" s="1">
        <f t="shared" si="38"/>
        <v>10594.08</v>
      </c>
      <c r="U505" s="1">
        <v>7160.31</v>
      </c>
      <c r="V505" s="3">
        <f>IF(T505=0,"",X505/T505)</f>
        <v>0.32412158488514337</v>
      </c>
      <c r="W505" s="1">
        <v>3433.77</v>
      </c>
      <c r="X505" s="1">
        <f>T505-U505</f>
        <v>3433.7699999999995</v>
      </c>
      <c r="Y505" s="1" t="s">
        <v>40</v>
      </c>
      <c r="Z505" s="1" t="s">
        <v>41</v>
      </c>
      <c r="AA505" s="4">
        <f t="shared" si="35"/>
        <v>-141</v>
      </c>
      <c r="AB505" s="2" t="str">
        <f t="shared" si="39"/>
        <v>Invalid</v>
      </c>
      <c r="AC505" s="2"/>
    </row>
    <row r="506" spans="1:29">
      <c r="A506" s="1" t="s">
        <v>1609</v>
      </c>
      <c r="B506" s="2">
        <v>45993</v>
      </c>
      <c r="C506" s="2" t="str">
        <f t="shared" si="36"/>
        <v>December</v>
      </c>
      <c r="D506" s="1">
        <f t="shared" si="37"/>
        <v>2025</v>
      </c>
      <c r="E506" s="2">
        <v>45705</v>
      </c>
      <c r="F506" s="1" t="s">
        <v>1610</v>
      </c>
      <c r="G506" s="1" t="s">
        <v>61</v>
      </c>
      <c r="H506" s="1" t="s">
        <v>98</v>
      </c>
      <c r="I506" s="1" t="s">
        <v>71</v>
      </c>
      <c r="J506" s="1" t="s">
        <v>188</v>
      </c>
      <c r="K506" s="1" t="s">
        <v>189</v>
      </c>
      <c r="L506" s="1" t="s">
        <v>36</v>
      </c>
      <c r="M506" s="1" t="s">
        <v>56</v>
      </c>
      <c r="N506" s="1" t="s">
        <v>1611</v>
      </c>
      <c r="O506" s="1" t="s">
        <v>67</v>
      </c>
      <c r="P506" s="1">
        <v>4</v>
      </c>
      <c r="Q506" s="1">
        <v>4328.12</v>
      </c>
      <c r="R506" s="1">
        <v>0</v>
      </c>
      <c r="S506" s="1">
        <v>17312.48</v>
      </c>
      <c r="T506" s="1">
        <f t="shared" si="38"/>
        <v>17312.48</v>
      </c>
      <c r="U506" s="1">
        <v>14424.22</v>
      </c>
      <c r="V506" s="3">
        <f>IF(T506=0,"",X506/T506)</f>
        <v>0.16683109525613893</v>
      </c>
      <c r="W506" s="1">
        <v>2888.26</v>
      </c>
      <c r="X506" s="1">
        <f>T506-U506</f>
        <v>2888.26</v>
      </c>
      <c r="Y506" s="1" t="s">
        <v>40</v>
      </c>
      <c r="Z506" s="1" t="s">
        <v>41</v>
      </c>
      <c r="AA506" s="4">
        <f t="shared" si="35"/>
        <v>-288</v>
      </c>
      <c r="AB506" s="2" t="str">
        <f t="shared" si="39"/>
        <v>Invalid</v>
      </c>
      <c r="AC506" s="2"/>
    </row>
    <row r="507" spans="1:29">
      <c r="A507" s="1" t="s">
        <v>1612</v>
      </c>
      <c r="B507" s="2">
        <v>45546</v>
      </c>
      <c r="C507" s="2" t="str">
        <f t="shared" si="36"/>
        <v>September</v>
      </c>
      <c r="D507" s="1">
        <f t="shared" si="37"/>
        <v>2024</v>
      </c>
      <c r="E507" s="2">
        <v>45610</v>
      </c>
      <c r="F507" s="1" t="s">
        <v>1613</v>
      </c>
      <c r="G507" s="1" t="s">
        <v>87</v>
      </c>
      <c r="H507" s="1" t="s">
        <v>98</v>
      </c>
      <c r="I507" s="1" t="s">
        <v>71</v>
      </c>
      <c r="J507" s="1" t="s">
        <v>80</v>
      </c>
      <c r="K507" s="1" t="s">
        <v>81</v>
      </c>
      <c r="L507" s="1" t="s">
        <v>36</v>
      </c>
      <c r="M507" s="1" t="s">
        <v>56</v>
      </c>
      <c r="N507" s="1" t="s">
        <v>1614</v>
      </c>
      <c r="O507" s="1" t="s">
        <v>58</v>
      </c>
      <c r="P507" s="1">
        <v>9</v>
      </c>
      <c r="Q507" s="1">
        <v>2438.29</v>
      </c>
      <c r="R507" s="1">
        <v>0.2</v>
      </c>
      <c r="S507" s="1">
        <v>17555.689999999999</v>
      </c>
      <c r="T507" s="1">
        <f t="shared" si="38"/>
        <v>17555.688000000002</v>
      </c>
      <c r="U507" s="1">
        <v>13293.2</v>
      </c>
      <c r="V507" s="3">
        <f>IF(T507=0,"",X507/T507)</f>
        <v>0.24279811762432785</v>
      </c>
      <c r="W507" s="1">
        <v>4262.49</v>
      </c>
      <c r="X507" s="1">
        <f>T507-U507</f>
        <v>4262.4880000000012</v>
      </c>
      <c r="Y507" s="1" t="s">
        <v>40</v>
      </c>
      <c r="Z507" s="1" t="s">
        <v>76</v>
      </c>
      <c r="AA507" s="1">
        <f t="shared" si="35"/>
        <v>64</v>
      </c>
      <c r="AB507" s="2" t="str">
        <f t="shared" si="39"/>
        <v>Clean</v>
      </c>
      <c r="AC507" s="2"/>
    </row>
    <row r="508" spans="1:29">
      <c r="A508" s="1" t="s">
        <v>1615</v>
      </c>
      <c r="B508" s="2">
        <v>45641</v>
      </c>
      <c r="C508" s="2" t="str">
        <f t="shared" si="36"/>
        <v>December</v>
      </c>
      <c r="D508" s="1">
        <f t="shared" si="37"/>
        <v>2024</v>
      </c>
      <c r="E508" s="2">
        <v>45641</v>
      </c>
      <c r="F508" s="1" t="s">
        <v>1616</v>
      </c>
      <c r="G508" s="1" t="s">
        <v>136</v>
      </c>
      <c r="H508" s="1" t="s">
        <v>45</v>
      </c>
      <c r="I508" s="1" t="s">
        <v>33</v>
      </c>
      <c r="J508" s="1" t="s">
        <v>130</v>
      </c>
      <c r="K508" s="1" t="s">
        <v>131</v>
      </c>
      <c r="L508" s="1" t="s">
        <v>49</v>
      </c>
      <c r="M508" s="1" t="s">
        <v>65</v>
      </c>
      <c r="N508" s="1" t="s">
        <v>1617</v>
      </c>
      <c r="O508" s="1" t="s">
        <v>58</v>
      </c>
      <c r="P508" s="1">
        <v>2</v>
      </c>
      <c r="Q508" s="1">
        <v>669.8</v>
      </c>
      <c r="R508" s="1">
        <v>0.1</v>
      </c>
      <c r="S508" s="1">
        <v>1205.6400000000001</v>
      </c>
      <c r="T508" s="1">
        <f t="shared" si="38"/>
        <v>1205.6399999999999</v>
      </c>
      <c r="U508" s="1">
        <v>842.07</v>
      </c>
      <c r="V508" s="3">
        <f>IF(T508=0,"",X508/T508)</f>
        <v>0.30155767890912699</v>
      </c>
      <c r="W508" s="1">
        <v>363.57</v>
      </c>
      <c r="X508" s="1">
        <f>T508-U508</f>
        <v>363.56999999999982</v>
      </c>
      <c r="Y508" s="1" t="s">
        <v>110</v>
      </c>
      <c r="Z508" s="1" t="s">
        <v>111</v>
      </c>
      <c r="AA508" s="1">
        <f t="shared" si="35"/>
        <v>0</v>
      </c>
      <c r="AB508" s="2" t="str">
        <f t="shared" si="39"/>
        <v>Clean</v>
      </c>
      <c r="AC508" s="2"/>
    </row>
    <row r="509" spans="1:29">
      <c r="A509" s="1" t="s">
        <v>1618</v>
      </c>
      <c r="B509" s="2">
        <v>45762</v>
      </c>
      <c r="C509" s="2" t="str">
        <f t="shared" si="36"/>
        <v>April</v>
      </c>
      <c r="D509" s="1">
        <f t="shared" si="37"/>
        <v>2025</v>
      </c>
      <c r="E509" s="2">
        <v>45769</v>
      </c>
      <c r="F509" s="1" t="s">
        <v>1619</v>
      </c>
      <c r="G509" s="1" t="s">
        <v>55</v>
      </c>
      <c r="H509" s="1" t="s">
        <v>45</v>
      </c>
      <c r="I509" s="1" t="s">
        <v>33</v>
      </c>
      <c r="J509" s="1" t="s">
        <v>245</v>
      </c>
      <c r="K509" s="1" t="s">
        <v>246</v>
      </c>
      <c r="L509" s="1" t="s">
        <v>36</v>
      </c>
      <c r="M509" s="1" t="s">
        <v>161</v>
      </c>
      <c r="N509" s="1" t="s">
        <v>1620</v>
      </c>
      <c r="O509" s="1" t="s">
        <v>52</v>
      </c>
      <c r="P509" s="1">
        <v>4</v>
      </c>
      <c r="Q509" s="1">
        <v>2990.42</v>
      </c>
      <c r="R509" s="1">
        <v>0.25</v>
      </c>
      <c r="S509" s="1">
        <v>8971.26</v>
      </c>
      <c r="T509" s="1">
        <f t="shared" si="38"/>
        <v>8971.26</v>
      </c>
      <c r="U509" s="1">
        <v>6814.35</v>
      </c>
      <c r="V509" s="3">
        <f>IF(T509=0,"",X509/T509)</f>
        <v>0.24042442198754688</v>
      </c>
      <c r="W509" s="1">
        <v>2156.91</v>
      </c>
      <c r="X509" s="1">
        <f>T509-U509</f>
        <v>2156.91</v>
      </c>
      <c r="Y509" s="1" t="s">
        <v>40</v>
      </c>
      <c r="Z509" s="1" t="s">
        <v>41</v>
      </c>
      <c r="AA509" s="1">
        <f t="shared" si="35"/>
        <v>7</v>
      </c>
      <c r="AB509" s="2" t="str">
        <f t="shared" si="39"/>
        <v>Clean</v>
      </c>
      <c r="AC509" s="2"/>
    </row>
    <row r="510" spans="1:29">
      <c r="A510" s="1" t="s">
        <v>1621</v>
      </c>
      <c r="B510" s="2">
        <v>45382</v>
      </c>
      <c r="C510" s="2" t="str">
        <f t="shared" si="36"/>
        <v>March</v>
      </c>
      <c r="D510" s="1">
        <f t="shared" si="37"/>
        <v>2024</v>
      </c>
      <c r="E510" s="2">
        <v>45477</v>
      </c>
      <c r="F510" s="1" t="s">
        <v>1622</v>
      </c>
      <c r="G510" s="1" t="s">
        <v>55</v>
      </c>
      <c r="H510" s="1" t="s">
        <v>45</v>
      </c>
      <c r="I510" s="1" t="s">
        <v>33</v>
      </c>
      <c r="J510" s="1" t="s">
        <v>245</v>
      </c>
      <c r="K510" s="1" t="s">
        <v>246</v>
      </c>
      <c r="L510" s="1" t="s">
        <v>82</v>
      </c>
      <c r="M510" s="1" t="s">
        <v>283</v>
      </c>
      <c r="N510" s="1" t="s">
        <v>1623</v>
      </c>
      <c r="O510" s="1" t="s">
        <v>39</v>
      </c>
      <c r="P510" s="1">
        <v>4</v>
      </c>
      <c r="Q510" s="1">
        <v>1831</v>
      </c>
      <c r="R510" s="1">
        <v>0</v>
      </c>
      <c r="S510" s="1">
        <v>7324</v>
      </c>
      <c r="T510" s="1">
        <f t="shared" si="38"/>
        <v>7324</v>
      </c>
      <c r="U510" s="1">
        <v>4179.63</v>
      </c>
      <c r="V510" s="3">
        <f>IF(T510=0,"",X510/T510)</f>
        <v>0.42932413981430911</v>
      </c>
      <c r="W510" s="1">
        <v>3144.37</v>
      </c>
      <c r="X510" s="1">
        <f>T510-U510</f>
        <v>3144.37</v>
      </c>
      <c r="Y510" s="1" t="s">
        <v>40</v>
      </c>
      <c r="Z510" s="1" t="s">
        <v>41</v>
      </c>
      <c r="AA510" s="1">
        <f t="shared" si="35"/>
        <v>95</v>
      </c>
      <c r="AB510" s="2" t="str">
        <f t="shared" si="39"/>
        <v>Clean</v>
      </c>
      <c r="AC510" s="2"/>
    </row>
    <row r="511" spans="1:29">
      <c r="A511" s="1" t="s">
        <v>1624</v>
      </c>
      <c r="B511" s="2">
        <v>45996</v>
      </c>
      <c r="C511" s="2" t="str">
        <f t="shared" si="36"/>
        <v>December</v>
      </c>
      <c r="D511" s="1">
        <f t="shared" si="37"/>
        <v>2025</v>
      </c>
      <c r="E511" s="2">
        <v>45791</v>
      </c>
      <c r="F511" s="1" t="s">
        <v>1625</v>
      </c>
      <c r="G511" s="1" t="s">
        <v>87</v>
      </c>
      <c r="H511" s="1" t="s">
        <v>32</v>
      </c>
      <c r="I511" s="1" t="s">
        <v>71</v>
      </c>
      <c r="J511" s="1" t="s">
        <v>188</v>
      </c>
      <c r="K511" s="1" t="s">
        <v>189</v>
      </c>
      <c r="L511" s="1" t="s">
        <v>82</v>
      </c>
      <c r="M511" s="1" t="s">
        <v>283</v>
      </c>
      <c r="N511" s="1" t="s">
        <v>1626</v>
      </c>
      <c r="O511" s="1" t="s">
        <v>52</v>
      </c>
      <c r="P511" s="1">
        <v>8</v>
      </c>
      <c r="Q511" s="1">
        <v>3631.44</v>
      </c>
      <c r="R511" s="1">
        <v>0.2</v>
      </c>
      <c r="S511" s="1">
        <v>23241.22</v>
      </c>
      <c r="T511" s="1">
        <f t="shared" si="38"/>
        <v>23241.216</v>
      </c>
      <c r="U511" s="1">
        <v>17220.900000000001</v>
      </c>
      <c r="V511" s="3">
        <f>IF(T511=0,"",X511/T511)</f>
        <v>0.25903618812371948</v>
      </c>
      <c r="W511" s="1">
        <v>6020.32</v>
      </c>
      <c r="X511" s="1">
        <f>T511-U511</f>
        <v>6020.3159999999989</v>
      </c>
      <c r="Y511" s="1" t="s">
        <v>40</v>
      </c>
      <c r="Z511" s="1" t="s">
        <v>41</v>
      </c>
      <c r="AA511" s="4">
        <f t="shared" si="35"/>
        <v>-205</v>
      </c>
      <c r="AB511" s="2" t="str">
        <f t="shared" si="39"/>
        <v>Invalid</v>
      </c>
      <c r="AC511" s="2"/>
    </row>
    <row r="512" spans="1:29">
      <c r="A512" s="1" t="s">
        <v>1627</v>
      </c>
      <c r="B512" s="2">
        <v>45583</v>
      </c>
      <c r="C512" s="2" t="str">
        <f t="shared" si="36"/>
        <v>October</v>
      </c>
      <c r="D512" s="1">
        <f t="shared" si="37"/>
        <v>2024</v>
      </c>
      <c r="E512" s="2">
        <v>45586</v>
      </c>
      <c r="F512" s="1" t="s">
        <v>1628</v>
      </c>
      <c r="G512" s="1" t="s">
        <v>136</v>
      </c>
      <c r="H512" s="1" t="s">
        <v>32</v>
      </c>
      <c r="I512" s="1" t="s">
        <v>62</v>
      </c>
      <c r="J512" s="1" t="s">
        <v>183</v>
      </c>
      <c r="K512" s="1" t="s">
        <v>184</v>
      </c>
      <c r="L512" s="1" t="s">
        <v>36</v>
      </c>
      <c r="M512" s="1" t="s">
        <v>132</v>
      </c>
      <c r="N512" s="1" t="s">
        <v>1629</v>
      </c>
      <c r="O512" s="1" t="s">
        <v>39</v>
      </c>
      <c r="P512" s="1">
        <v>2</v>
      </c>
      <c r="Q512" s="1">
        <v>4238.51</v>
      </c>
      <c r="R512" s="1">
        <v>0</v>
      </c>
      <c r="S512" s="1">
        <v>8477.02</v>
      </c>
      <c r="T512" s="1">
        <f t="shared" si="38"/>
        <v>8477.02</v>
      </c>
      <c r="U512" s="1">
        <v>6884.96</v>
      </c>
      <c r="V512" s="3">
        <f>IF(T512=0,"",X512/T512)</f>
        <v>0.18780892341884298</v>
      </c>
      <c r="W512" s="1">
        <v>1592.06</v>
      </c>
      <c r="X512" s="1">
        <f>T512-U512</f>
        <v>1592.0600000000004</v>
      </c>
      <c r="Y512" s="1" t="s">
        <v>40</v>
      </c>
      <c r="Z512" s="1" t="s">
        <v>41</v>
      </c>
      <c r="AA512" s="1">
        <f t="shared" si="35"/>
        <v>3</v>
      </c>
      <c r="AB512" s="2" t="str">
        <f t="shared" si="39"/>
        <v>Clean</v>
      </c>
      <c r="AC512" s="2"/>
    </row>
    <row r="513" spans="1:29">
      <c r="A513" s="1" t="s">
        <v>1630</v>
      </c>
      <c r="B513" s="2">
        <v>45588</v>
      </c>
      <c r="C513" s="2" t="str">
        <f t="shared" si="36"/>
        <v>October</v>
      </c>
      <c r="D513" s="1">
        <f t="shared" si="37"/>
        <v>2024</v>
      </c>
      <c r="E513" s="2">
        <v>45591</v>
      </c>
      <c r="F513" s="1" t="s">
        <v>1631</v>
      </c>
      <c r="G513" s="1" t="s">
        <v>140</v>
      </c>
      <c r="H513" s="1" t="s">
        <v>32</v>
      </c>
      <c r="I513" s="1" t="s">
        <v>71</v>
      </c>
      <c r="J513" s="1" t="s">
        <v>80</v>
      </c>
      <c r="K513" s="1" t="s">
        <v>81</v>
      </c>
      <c r="L513" s="1" t="s">
        <v>49</v>
      </c>
      <c r="M513" s="1" t="s">
        <v>166</v>
      </c>
      <c r="N513" s="1" t="s">
        <v>1632</v>
      </c>
      <c r="O513" s="1" t="s">
        <v>67</v>
      </c>
      <c r="P513" s="1">
        <v>9</v>
      </c>
      <c r="Q513" s="1">
        <v>544.27</v>
      </c>
      <c r="R513" s="1">
        <v>0.25</v>
      </c>
      <c r="S513" s="1">
        <v>3673.82</v>
      </c>
      <c r="T513" s="1">
        <f t="shared" si="38"/>
        <v>3673.8225000000002</v>
      </c>
      <c r="U513" s="1">
        <v>2088.15</v>
      </c>
      <c r="V513" s="3">
        <f>IF(T513=0,"",X513/T513)</f>
        <v>0.43161380278987349</v>
      </c>
      <c r="W513" s="1">
        <v>1585.67</v>
      </c>
      <c r="X513" s="1">
        <f>T513-U513</f>
        <v>1585.6725000000001</v>
      </c>
      <c r="Y513" s="1" t="s">
        <v>40</v>
      </c>
      <c r="Z513" s="1" t="s">
        <v>41</v>
      </c>
      <c r="AA513" s="1">
        <f t="shared" si="35"/>
        <v>3</v>
      </c>
      <c r="AB513" s="2" t="str">
        <f t="shared" si="39"/>
        <v>Clean</v>
      </c>
      <c r="AC513" s="2"/>
    </row>
    <row r="514" spans="1:29">
      <c r="A514" s="1" t="s">
        <v>1633</v>
      </c>
      <c r="B514" s="2">
        <v>45718</v>
      </c>
      <c r="C514" s="2" t="str">
        <f t="shared" si="36"/>
        <v>March</v>
      </c>
      <c r="D514" s="1">
        <f t="shared" si="37"/>
        <v>2025</v>
      </c>
      <c r="E514" s="2">
        <v>45719</v>
      </c>
      <c r="F514" s="1" t="s">
        <v>1243</v>
      </c>
      <c r="G514" s="1" t="s">
        <v>55</v>
      </c>
      <c r="H514" s="1" t="s">
        <v>98</v>
      </c>
      <c r="I514" s="1" t="s">
        <v>62</v>
      </c>
      <c r="J514" s="1" t="s">
        <v>193</v>
      </c>
      <c r="K514" s="1" t="s">
        <v>194</v>
      </c>
      <c r="L514" s="1" t="s">
        <v>36</v>
      </c>
      <c r="M514" s="1" t="s">
        <v>99</v>
      </c>
      <c r="N514" s="1" t="s">
        <v>1634</v>
      </c>
      <c r="O514" s="1" t="s">
        <v>39</v>
      </c>
      <c r="P514" s="1">
        <v>2</v>
      </c>
      <c r="Q514" s="1">
        <v>4031.45</v>
      </c>
      <c r="R514" s="1">
        <v>0.25</v>
      </c>
      <c r="S514" s="1">
        <v>6047.17</v>
      </c>
      <c r="T514" s="1">
        <f t="shared" si="38"/>
        <v>6047.1749999999993</v>
      </c>
      <c r="U514" s="1">
        <v>3368.79</v>
      </c>
      <c r="V514" s="3">
        <f>IF(T514=0,"",X514/T514)</f>
        <v>0.44291508018206843</v>
      </c>
      <c r="W514" s="1">
        <v>2678.38</v>
      </c>
      <c r="X514" s="1">
        <f>T514-U514</f>
        <v>2678.3849999999993</v>
      </c>
      <c r="Y514" s="1" t="s">
        <v>40</v>
      </c>
      <c r="Z514" s="1" t="s">
        <v>41</v>
      </c>
      <c r="AA514" s="1">
        <f t="shared" ref="AA514:AA577" si="40">E514-B514</f>
        <v>1</v>
      </c>
      <c r="AB514" s="2" t="str">
        <f t="shared" si="39"/>
        <v>Clean</v>
      </c>
      <c r="AC514" s="2"/>
    </row>
    <row r="515" spans="1:29">
      <c r="A515" s="1" t="s">
        <v>1635</v>
      </c>
      <c r="B515" s="2">
        <v>45835</v>
      </c>
      <c r="C515" s="2" t="str">
        <f t="shared" ref="C515:C578" si="41">TEXT(B515,"mmmm")</f>
        <v>June</v>
      </c>
      <c r="D515" s="1">
        <f t="shared" ref="D515:D578" si="42">YEAR(B515)</f>
        <v>2025</v>
      </c>
      <c r="E515" s="2">
        <v>45840</v>
      </c>
      <c r="F515" s="1" t="s">
        <v>1636</v>
      </c>
      <c r="G515" s="1" t="s">
        <v>136</v>
      </c>
      <c r="H515" s="1" t="s">
        <v>98</v>
      </c>
      <c r="I515" s="1" t="s">
        <v>62</v>
      </c>
      <c r="J515" s="1" t="s">
        <v>193</v>
      </c>
      <c r="K515" s="1" t="s">
        <v>194</v>
      </c>
      <c r="L515" s="1" t="s">
        <v>82</v>
      </c>
      <c r="M515" s="1" t="s">
        <v>83</v>
      </c>
      <c r="N515" s="1" t="s">
        <v>1637</v>
      </c>
      <c r="O515" s="1" t="s">
        <v>58</v>
      </c>
      <c r="P515" s="1">
        <v>6</v>
      </c>
      <c r="Q515" s="1">
        <v>1099.49</v>
      </c>
      <c r="R515" s="1">
        <v>0.1</v>
      </c>
      <c r="S515" s="1">
        <v>6212.38</v>
      </c>
      <c r="T515" s="1">
        <f t="shared" ref="T515:T578" si="43">P515*Q515*(1-R515)</f>
        <v>5937.246000000001</v>
      </c>
      <c r="U515" s="1">
        <v>4088.46</v>
      </c>
      <c r="V515" s="3">
        <f>IF(T515=0,"",X515/T515)</f>
        <v>0.31138780505304997</v>
      </c>
      <c r="W515" s="1">
        <v>1848.79</v>
      </c>
      <c r="X515" s="1">
        <f>T515-U515</f>
        <v>1848.786000000001</v>
      </c>
      <c r="Y515" s="1" t="s">
        <v>40</v>
      </c>
      <c r="Z515" s="1" t="s">
        <v>41</v>
      </c>
      <c r="AA515" s="1">
        <f t="shared" si="40"/>
        <v>5</v>
      </c>
      <c r="AB515" s="2" t="str">
        <f t="shared" ref="AB515:AB578" si="44">IF(OR(AA515&lt;0,R515&lt;0),"Invalid",IF(OR(I515="Unknown",O515="Unknown"),"Warning","Clean"))</f>
        <v>Clean</v>
      </c>
      <c r="AC515" s="2"/>
    </row>
    <row r="516" spans="1:29">
      <c r="A516" s="1" t="s">
        <v>1638</v>
      </c>
      <c r="B516" s="2">
        <v>45614</v>
      </c>
      <c r="C516" s="2" t="str">
        <f t="shared" si="41"/>
        <v>November</v>
      </c>
      <c r="D516" s="1">
        <f t="shared" si="42"/>
        <v>2024</v>
      </c>
      <c r="E516" s="2">
        <v>45618</v>
      </c>
      <c r="F516" s="1" t="s">
        <v>1639</v>
      </c>
      <c r="G516" s="1" t="s">
        <v>31</v>
      </c>
      <c r="H516" s="1" t="s">
        <v>103</v>
      </c>
      <c r="I516" s="1" t="s">
        <v>62</v>
      </c>
      <c r="J516" s="1" t="s">
        <v>193</v>
      </c>
      <c r="K516" s="1" t="s">
        <v>194</v>
      </c>
      <c r="L516" s="1" t="s">
        <v>82</v>
      </c>
      <c r="M516" s="1" t="s">
        <v>83</v>
      </c>
      <c r="N516" s="1" t="s">
        <v>1640</v>
      </c>
      <c r="O516" s="1" t="s">
        <v>67</v>
      </c>
      <c r="P516" s="1">
        <v>6</v>
      </c>
      <c r="Q516" s="1">
        <v>3872.94</v>
      </c>
      <c r="R516" s="1">
        <v>0.1</v>
      </c>
      <c r="S516" s="1">
        <v>20913.88</v>
      </c>
      <c r="T516" s="1">
        <f t="shared" si="43"/>
        <v>20913.876</v>
      </c>
      <c r="U516" s="1">
        <v>11684.68</v>
      </c>
      <c r="V516" s="3">
        <f>IF(T516=0,"",X516/T516)</f>
        <v>0.44129533903710627</v>
      </c>
      <c r="W516" s="1">
        <v>9229.2000000000007</v>
      </c>
      <c r="X516" s="1">
        <f>T516-U516</f>
        <v>9229.1959999999999</v>
      </c>
      <c r="Y516" s="1" t="s">
        <v>40</v>
      </c>
      <c r="Z516" s="1" t="s">
        <v>41</v>
      </c>
      <c r="AA516" s="1">
        <f t="shared" si="40"/>
        <v>4</v>
      </c>
      <c r="AB516" s="2" t="str">
        <f t="shared" si="44"/>
        <v>Clean</v>
      </c>
      <c r="AC516" s="2"/>
    </row>
    <row r="517" spans="1:29">
      <c r="A517" s="1" t="s">
        <v>1641</v>
      </c>
      <c r="B517" s="2">
        <v>45758</v>
      </c>
      <c r="C517" s="2" t="str">
        <f t="shared" si="41"/>
        <v>April</v>
      </c>
      <c r="D517" s="1">
        <f t="shared" si="42"/>
        <v>2025</v>
      </c>
      <c r="E517" s="2">
        <v>45965</v>
      </c>
      <c r="F517" s="1" t="s">
        <v>1642</v>
      </c>
      <c r="G517" s="1" t="s">
        <v>126</v>
      </c>
      <c r="H517" s="1" t="s">
        <v>98</v>
      </c>
      <c r="I517" s="1" t="s">
        <v>33</v>
      </c>
      <c r="J517" s="1" t="s">
        <v>359</v>
      </c>
      <c r="K517" s="1" t="s">
        <v>360</v>
      </c>
      <c r="L517" s="1" t="s">
        <v>36</v>
      </c>
      <c r="M517" s="1" t="s">
        <v>37</v>
      </c>
      <c r="N517" s="1" t="s">
        <v>1643</v>
      </c>
      <c r="O517" s="1" t="s">
        <v>67</v>
      </c>
      <c r="P517" s="1">
        <v>1</v>
      </c>
      <c r="Q517" s="1">
        <v>4458.49</v>
      </c>
      <c r="R517" s="4">
        <v>-7.0000000000000007E-2</v>
      </c>
      <c r="S517" s="1">
        <v>3566.79</v>
      </c>
      <c r="T517" s="4">
        <f t="shared" si="43"/>
        <v>4770.5843000000004</v>
      </c>
      <c r="U517" s="1">
        <v>2083.41</v>
      </c>
      <c r="V517" s="3"/>
      <c r="W517" s="1">
        <v>1483.38</v>
      </c>
      <c r="X517" s="1"/>
      <c r="Y517" s="1" t="s">
        <v>40</v>
      </c>
      <c r="Z517" s="1" t="s">
        <v>41</v>
      </c>
      <c r="AA517" s="1">
        <f t="shared" si="40"/>
        <v>207</v>
      </c>
      <c r="AB517" s="2" t="str">
        <f t="shared" si="44"/>
        <v>Invalid</v>
      </c>
      <c r="AC517" s="2"/>
    </row>
    <row r="518" spans="1:29">
      <c r="A518" s="1" t="s">
        <v>1644</v>
      </c>
      <c r="B518" s="2">
        <v>45563</v>
      </c>
      <c r="C518" s="2" t="str">
        <f t="shared" si="41"/>
        <v>September</v>
      </c>
      <c r="D518" s="1">
        <f t="shared" si="42"/>
        <v>2024</v>
      </c>
      <c r="E518" s="2">
        <v>45392</v>
      </c>
      <c r="F518" s="1" t="s">
        <v>1645</v>
      </c>
      <c r="G518" s="1" t="s">
        <v>273</v>
      </c>
      <c r="H518" s="1" t="s">
        <v>103</v>
      </c>
      <c r="I518" s="1" t="s">
        <v>33</v>
      </c>
      <c r="J518" s="1" t="s">
        <v>359</v>
      </c>
      <c r="K518" s="1" t="s">
        <v>360</v>
      </c>
      <c r="L518" s="1" t="s">
        <v>82</v>
      </c>
      <c r="M518" s="1" t="s">
        <v>88</v>
      </c>
      <c r="N518" s="1" t="s">
        <v>1646</v>
      </c>
      <c r="O518" s="1" t="s">
        <v>67</v>
      </c>
      <c r="P518" s="1">
        <v>1</v>
      </c>
      <c r="Q518" s="1">
        <v>2233.1799999999998</v>
      </c>
      <c r="R518" s="1">
        <v>0</v>
      </c>
      <c r="S518" s="1">
        <v>2233.1799999999998</v>
      </c>
      <c r="T518" s="1">
        <f t="shared" si="43"/>
        <v>2233.1799999999998</v>
      </c>
      <c r="U518" s="1">
        <v>1585.82</v>
      </c>
      <c r="V518" s="3">
        <f>IF(T518=0,"",X518/T518)</f>
        <v>0.28988258895386843</v>
      </c>
      <c r="W518" s="1">
        <v>647.36</v>
      </c>
      <c r="X518" s="1">
        <f>T518-U518</f>
        <v>647.3599999999999</v>
      </c>
      <c r="Y518" s="1" t="s">
        <v>163</v>
      </c>
      <c r="Z518" s="1" t="s">
        <v>111</v>
      </c>
      <c r="AA518" s="4">
        <f t="shared" si="40"/>
        <v>-171</v>
      </c>
      <c r="AB518" s="2" t="str">
        <f t="shared" si="44"/>
        <v>Invalid</v>
      </c>
      <c r="AC518" s="2"/>
    </row>
    <row r="519" spans="1:29">
      <c r="A519" s="1" t="s">
        <v>1647</v>
      </c>
      <c r="B519" s="2">
        <v>45802</v>
      </c>
      <c r="C519" s="2" t="str">
        <f t="shared" si="41"/>
        <v>May</v>
      </c>
      <c r="D519" s="1">
        <f t="shared" si="42"/>
        <v>2025</v>
      </c>
      <c r="E519" s="2">
        <v>45804</v>
      </c>
      <c r="F519" s="1" t="s">
        <v>1648</v>
      </c>
      <c r="G519" s="1" t="s">
        <v>126</v>
      </c>
      <c r="H519" s="1" t="s">
        <v>32</v>
      </c>
      <c r="I519" s="1" t="s">
        <v>46</v>
      </c>
      <c r="J519" s="1" t="s">
        <v>47</v>
      </c>
      <c r="K519" s="1" t="s">
        <v>48</v>
      </c>
      <c r="L519" s="1" t="s">
        <v>49</v>
      </c>
      <c r="M519" s="1" t="s">
        <v>65</v>
      </c>
      <c r="N519" s="1" t="s">
        <v>1649</v>
      </c>
      <c r="O519" s="1" t="s">
        <v>39</v>
      </c>
      <c r="P519" s="1">
        <v>7</v>
      </c>
      <c r="Q519" s="1">
        <v>2123.2800000000002</v>
      </c>
      <c r="R519" s="1">
        <v>0.2</v>
      </c>
      <c r="S519" s="1">
        <v>11890.37</v>
      </c>
      <c r="T519" s="1">
        <f t="shared" si="43"/>
        <v>11890.368000000002</v>
      </c>
      <c r="U519" s="1">
        <v>9234.5300000000007</v>
      </c>
      <c r="V519" s="3">
        <f>IF(T519=0,"",X519/T519)</f>
        <v>0.22336045444514427</v>
      </c>
      <c r="W519" s="1">
        <v>2655.84</v>
      </c>
      <c r="X519" s="1">
        <f>T519-U519</f>
        <v>2655.8380000000016</v>
      </c>
      <c r="Y519" s="1" t="s">
        <v>110</v>
      </c>
      <c r="Z519" s="1" t="s">
        <v>111</v>
      </c>
      <c r="AA519" s="1">
        <f t="shared" si="40"/>
        <v>2</v>
      </c>
      <c r="AB519" s="2" t="str">
        <f t="shared" si="44"/>
        <v>Clean</v>
      </c>
      <c r="AC519" s="2"/>
    </row>
    <row r="520" spans="1:29">
      <c r="A520" s="1" t="s">
        <v>1650</v>
      </c>
      <c r="B520" s="2">
        <v>45777</v>
      </c>
      <c r="C520" s="2" t="str">
        <f t="shared" si="41"/>
        <v>April</v>
      </c>
      <c r="D520" s="1">
        <f t="shared" si="42"/>
        <v>2025</v>
      </c>
      <c r="E520" s="2">
        <v>45773</v>
      </c>
      <c r="F520" s="1" t="s">
        <v>1651</v>
      </c>
      <c r="G520" s="1" t="s">
        <v>170</v>
      </c>
      <c r="H520" s="1" t="s">
        <v>98</v>
      </c>
      <c r="I520" s="1" t="s">
        <v>46</v>
      </c>
      <c r="J520" s="1" t="s">
        <v>47</v>
      </c>
      <c r="K520" s="1" t="s">
        <v>48</v>
      </c>
      <c r="L520" s="1" t="s">
        <v>49</v>
      </c>
      <c r="M520" s="1" t="s">
        <v>50</v>
      </c>
      <c r="N520" s="1" t="s">
        <v>1652</v>
      </c>
      <c r="O520" s="1" t="s">
        <v>58</v>
      </c>
      <c r="P520" s="1">
        <v>7</v>
      </c>
      <c r="Q520" s="1">
        <v>1604.13</v>
      </c>
      <c r="R520" s="1">
        <v>0.25</v>
      </c>
      <c r="S520" s="1">
        <v>8421.68</v>
      </c>
      <c r="T520" s="1">
        <f t="shared" si="43"/>
        <v>8421.682499999999</v>
      </c>
      <c r="U520" s="1">
        <v>6534.47</v>
      </c>
      <c r="V520" s="3">
        <f>IF(T520=0,"",X520/T520)</f>
        <v>0.22408972316398759</v>
      </c>
      <c r="W520" s="1">
        <v>1887.21</v>
      </c>
      <c r="X520" s="1">
        <f>T520-U520</f>
        <v>1887.2124999999987</v>
      </c>
      <c r="Y520" s="1" t="s">
        <v>40</v>
      </c>
      <c r="Z520" s="1" t="s">
        <v>76</v>
      </c>
      <c r="AA520" s="4">
        <f t="shared" si="40"/>
        <v>-4</v>
      </c>
      <c r="AB520" s="2" t="str">
        <f t="shared" si="44"/>
        <v>Invalid</v>
      </c>
      <c r="AC520" s="2"/>
    </row>
    <row r="521" spans="1:29">
      <c r="A521" s="1" t="s">
        <v>1653</v>
      </c>
      <c r="B521" s="2">
        <v>45723</v>
      </c>
      <c r="C521" s="2" t="str">
        <f t="shared" si="41"/>
        <v>March</v>
      </c>
      <c r="D521" s="1">
        <f t="shared" si="42"/>
        <v>2025</v>
      </c>
      <c r="E521" s="2">
        <v>45845</v>
      </c>
      <c r="F521" s="1" t="s">
        <v>1654</v>
      </c>
      <c r="G521" s="1" t="s">
        <v>122</v>
      </c>
      <c r="H521" s="1" t="s">
        <v>32</v>
      </c>
      <c r="I521" s="1" t="s">
        <v>33</v>
      </c>
      <c r="J521" s="1" t="s">
        <v>144</v>
      </c>
      <c r="K521" s="1" t="s">
        <v>145</v>
      </c>
      <c r="L521" s="1" t="s">
        <v>49</v>
      </c>
      <c r="M521" s="1" t="s">
        <v>50</v>
      </c>
      <c r="N521" s="1" t="s">
        <v>1655</v>
      </c>
      <c r="O521" s="1" t="s">
        <v>67</v>
      </c>
      <c r="P521" s="1">
        <v>4</v>
      </c>
      <c r="Q521" s="1">
        <v>4365.21</v>
      </c>
      <c r="R521" s="1">
        <v>0.2</v>
      </c>
      <c r="S521" s="1">
        <v>13968.67</v>
      </c>
      <c r="T521" s="1">
        <f t="shared" si="43"/>
        <v>13968.672</v>
      </c>
      <c r="U521" s="1">
        <v>8857.58</v>
      </c>
      <c r="V521" s="3">
        <f>IF(T521=0,"",X521/T521)</f>
        <v>0.36589677243477409</v>
      </c>
      <c r="W521" s="1">
        <v>5111.09</v>
      </c>
      <c r="X521" s="1">
        <f>T521-U521</f>
        <v>5111.0920000000006</v>
      </c>
      <c r="Y521" s="1" t="s">
        <v>119</v>
      </c>
      <c r="Z521" s="1" t="s">
        <v>76</v>
      </c>
      <c r="AA521" s="1">
        <f t="shared" si="40"/>
        <v>122</v>
      </c>
      <c r="AB521" s="2" t="str">
        <f t="shared" si="44"/>
        <v>Clean</v>
      </c>
      <c r="AC521" s="2"/>
    </row>
    <row r="522" spans="1:29">
      <c r="A522" s="1" t="s">
        <v>1656</v>
      </c>
      <c r="B522" s="2">
        <v>45489</v>
      </c>
      <c r="C522" s="2" t="str">
        <f t="shared" si="41"/>
        <v>July</v>
      </c>
      <c r="D522" s="1">
        <f t="shared" si="42"/>
        <v>2024</v>
      </c>
      <c r="E522" s="2">
        <v>45496</v>
      </c>
      <c r="F522" s="1" t="s">
        <v>1657</v>
      </c>
      <c r="G522" s="1" t="s">
        <v>136</v>
      </c>
      <c r="H522" s="1" t="s">
        <v>103</v>
      </c>
      <c r="I522" s="1" t="s">
        <v>62</v>
      </c>
      <c r="J522" s="1" t="s">
        <v>183</v>
      </c>
      <c r="K522" s="1" t="s">
        <v>184</v>
      </c>
      <c r="L522" s="1" t="s">
        <v>82</v>
      </c>
      <c r="M522" s="1" t="s">
        <v>283</v>
      </c>
      <c r="N522" s="1" t="s">
        <v>1658</v>
      </c>
      <c r="O522" s="1" t="s">
        <v>52</v>
      </c>
      <c r="P522" s="1">
        <v>1</v>
      </c>
      <c r="Q522" s="1">
        <v>1695.91</v>
      </c>
      <c r="R522" s="1">
        <v>0.05</v>
      </c>
      <c r="S522" s="1">
        <v>1611.11</v>
      </c>
      <c r="T522" s="1">
        <f t="shared" si="43"/>
        <v>1611.1144999999999</v>
      </c>
      <c r="U522" s="1">
        <v>895.15</v>
      </c>
      <c r="V522" s="3">
        <f>IF(T522=0,"",X522/T522)</f>
        <v>0.44439082386757739</v>
      </c>
      <c r="W522" s="1">
        <v>715.96</v>
      </c>
      <c r="X522" s="1">
        <f>T522-U522</f>
        <v>715.96449999999993</v>
      </c>
      <c r="Y522" s="1" t="s">
        <v>40</v>
      </c>
      <c r="Z522" s="1" t="s">
        <v>41</v>
      </c>
      <c r="AA522" s="1">
        <f t="shared" si="40"/>
        <v>7</v>
      </c>
      <c r="AB522" s="2" t="str">
        <f t="shared" si="44"/>
        <v>Clean</v>
      </c>
      <c r="AC522" s="2"/>
    </row>
    <row r="523" spans="1:29">
      <c r="A523" s="1" t="s">
        <v>1659</v>
      </c>
      <c r="B523" s="2">
        <v>45741</v>
      </c>
      <c r="C523" s="2" t="str">
        <f t="shared" si="41"/>
        <v>March</v>
      </c>
      <c r="D523" s="1">
        <f t="shared" si="42"/>
        <v>2025</v>
      </c>
      <c r="E523" s="2">
        <v>45661</v>
      </c>
      <c r="F523" s="1" t="s">
        <v>1660</v>
      </c>
      <c r="G523" s="1" t="s">
        <v>170</v>
      </c>
      <c r="H523" s="1" t="s">
        <v>32</v>
      </c>
      <c r="I523" s="1" t="s">
        <v>33</v>
      </c>
      <c r="J523" s="1" t="s">
        <v>130</v>
      </c>
      <c r="K523" s="1" t="s">
        <v>131</v>
      </c>
      <c r="L523" s="1" t="s">
        <v>36</v>
      </c>
      <c r="M523" s="1" t="s">
        <v>99</v>
      </c>
      <c r="N523" s="1" t="s">
        <v>1661</v>
      </c>
      <c r="O523" s="1" t="s">
        <v>39</v>
      </c>
      <c r="P523" s="1">
        <v>6</v>
      </c>
      <c r="Q523" s="1">
        <v>2192.11</v>
      </c>
      <c r="R523" s="1">
        <v>0.05</v>
      </c>
      <c r="S523" s="1">
        <v>12495.03</v>
      </c>
      <c r="T523" s="1">
        <f t="shared" si="43"/>
        <v>12495.027</v>
      </c>
      <c r="U523" s="1">
        <v>9184.52</v>
      </c>
      <c r="V523" s="3">
        <f>IF(T523=0,"",X523/T523)</f>
        <v>0.26494596610315446</v>
      </c>
      <c r="W523" s="1">
        <v>3310.51</v>
      </c>
      <c r="X523" s="1">
        <f>T523-U523</f>
        <v>3310.5069999999996</v>
      </c>
      <c r="Y523" s="1" t="s">
        <v>40</v>
      </c>
      <c r="Z523" s="1" t="s">
        <v>41</v>
      </c>
      <c r="AA523" s="4">
        <f t="shared" si="40"/>
        <v>-80</v>
      </c>
      <c r="AB523" s="2" t="str">
        <f t="shared" si="44"/>
        <v>Invalid</v>
      </c>
      <c r="AC523" s="2"/>
    </row>
    <row r="524" spans="1:29">
      <c r="A524" s="1" t="s">
        <v>1662</v>
      </c>
      <c r="B524" s="2">
        <v>45716</v>
      </c>
      <c r="C524" s="2" t="str">
        <f t="shared" si="41"/>
        <v>February</v>
      </c>
      <c r="D524" s="1">
        <f t="shared" si="42"/>
        <v>2025</v>
      </c>
      <c r="E524" s="2">
        <v>45872</v>
      </c>
      <c r="F524" s="1" t="s">
        <v>1663</v>
      </c>
      <c r="G524" s="1" t="s">
        <v>87</v>
      </c>
      <c r="H524" s="1" t="s">
        <v>45</v>
      </c>
      <c r="I524" s="1" t="s">
        <v>46</v>
      </c>
      <c r="J524" s="1" t="s">
        <v>237</v>
      </c>
      <c r="K524" s="1" t="s">
        <v>238</v>
      </c>
      <c r="L524" s="1" t="s">
        <v>82</v>
      </c>
      <c r="M524" s="1" t="s">
        <v>179</v>
      </c>
      <c r="N524" s="1" t="s">
        <v>1664</v>
      </c>
      <c r="O524" s="1" t="s">
        <v>58</v>
      </c>
      <c r="P524" s="1">
        <v>9</v>
      </c>
      <c r="Q524" s="1">
        <v>3670.54</v>
      </c>
      <c r="R524" s="1">
        <v>0</v>
      </c>
      <c r="S524" s="1">
        <v>33034.86</v>
      </c>
      <c r="T524" s="1">
        <f t="shared" si="43"/>
        <v>33034.86</v>
      </c>
      <c r="U524" s="1">
        <v>24539.83</v>
      </c>
      <c r="V524" s="3">
        <f>IF(T524=0,"",X524/T524)</f>
        <v>0.25715350390466307</v>
      </c>
      <c r="W524" s="1">
        <v>8495.0300000000007</v>
      </c>
      <c r="X524" s="1">
        <f>T524-U524</f>
        <v>8495.0299999999988</v>
      </c>
      <c r="Y524" s="1" t="s">
        <v>40</v>
      </c>
      <c r="Z524" s="1" t="s">
        <v>41</v>
      </c>
      <c r="AA524" s="1">
        <f t="shared" si="40"/>
        <v>156</v>
      </c>
      <c r="AB524" s="2" t="str">
        <f t="shared" si="44"/>
        <v>Clean</v>
      </c>
      <c r="AC524" s="2"/>
    </row>
    <row r="525" spans="1:29">
      <c r="A525" s="1" t="s">
        <v>1665</v>
      </c>
      <c r="B525" s="2">
        <v>45326</v>
      </c>
      <c r="C525" s="2" t="str">
        <f t="shared" si="41"/>
        <v>February</v>
      </c>
      <c r="D525" s="1">
        <f t="shared" si="42"/>
        <v>2024</v>
      </c>
      <c r="E525" s="2">
        <v>45355</v>
      </c>
      <c r="F525" s="1" t="s">
        <v>1666</v>
      </c>
      <c r="G525" s="1" t="s">
        <v>273</v>
      </c>
      <c r="H525" s="1" t="s">
        <v>103</v>
      </c>
      <c r="I525" s="1" t="s">
        <v>71</v>
      </c>
      <c r="J525" s="1" t="s">
        <v>198</v>
      </c>
      <c r="K525" s="1" t="s">
        <v>199</v>
      </c>
      <c r="L525" s="1" t="s">
        <v>36</v>
      </c>
      <c r="M525" s="1" t="s">
        <v>37</v>
      </c>
      <c r="N525" s="1" t="s">
        <v>1667</v>
      </c>
      <c r="O525" s="1" t="s">
        <v>39</v>
      </c>
      <c r="P525" s="1">
        <v>2</v>
      </c>
      <c r="Q525" s="1">
        <v>2902.63</v>
      </c>
      <c r="R525" s="1">
        <v>0</v>
      </c>
      <c r="S525" s="1">
        <v>5805.26</v>
      </c>
      <c r="T525" s="1">
        <f t="shared" si="43"/>
        <v>5805.26</v>
      </c>
      <c r="U525" s="1">
        <v>4654.3599999999997</v>
      </c>
      <c r="V525" s="3">
        <f>IF(T525=0,"",X525/T525)</f>
        <v>0.19825124111581574</v>
      </c>
      <c r="W525" s="1">
        <v>1150.9000000000001</v>
      </c>
      <c r="X525" s="1">
        <f>T525-U525</f>
        <v>1150.9000000000005</v>
      </c>
      <c r="Y525" s="1" t="s">
        <v>40</v>
      </c>
      <c r="Z525" s="1" t="s">
        <v>111</v>
      </c>
      <c r="AA525" s="1">
        <f t="shared" si="40"/>
        <v>29</v>
      </c>
      <c r="AB525" s="2" t="str">
        <f t="shared" si="44"/>
        <v>Clean</v>
      </c>
      <c r="AC525" s="2"/>
    </row>
    <row r="526" spans="1:29">
      <c r="A526" s="1" t="s">
        <v>1668</v>
      </c>
      <c r="B526" s="2">
        <v>45626</v>
      </c>
      <c r="C526" s="2" t="str">
        <f t="shared" si="41"/>
        <v>November</v>
      </c>
      <c r="D526" s="1">
        <f t="shared" si="42"/>
        <v>2024</v>
      </c>
      <c r="E526" s="2">
        <v>45303</v>
      </c>
      <c r="F526" s="1" t="s">
        <v>1669</v>
      </c>
      <c r="G526" s="1" t="s">
        <v>70</v>
      </c>
      <c r="H526" s="1" t="s">
        <v>98</v>
      </c>
      <c r="I526" s="1" t="s">
        <v>71</v>
      </c>
      <c r="J526" s="1" t="s">
        <v>188</v>
      </c>
      <c r="K526" s="1" t="s">
        <v>189</v>
      </c>
      <c r="L526" s="1" t="s">
        <v>49</v>
      </c>
      <c r="M526" s="1" t="s">
        <v>74</v>
      </c>
      <c r="N526" s="1" t="s">
        <v>1670</v>
      </c>
      <c r="O526" s="1" t="s">
        <v>58</v>
      </c>
      <c r="P526" s="1">
        <v>9</v>
      </c>
      <c r="Q526" s="1">
        <v>4207.3599999999997</v>
      </c>
      <c r="R526" s="1">
        <v>0.1</v>
      </c>
      <c r="S526" s="1">
        <v>34079.620000000003</v>
      </c>
      <c r="T526" s="1">
        <f t="shared" si="43"/>
        <v>34079.616000000002</v>
      </c>
      <c r="U526" s="1">
        <v>21871.39</v>
      </c>
      <c r="V526" s="3">
        <f>IF(T526=0,"",X526/T526)</f>
        <v>0.35822663025311091</v>
      </c>
      <c r="W526" s="1">
        <v>12208.23</v>
      </c>
      <c r="X526" s="1">
        <f>T526-U526</f>
        <v>12208.226000000002</v>
      </c>
      <c r="Y526" s="1" t="s">
        <v>40</v>
      </c>
      <c r="Z526" s="1" t="s">
        <v>41</v>
      </c>
      <c r="AA526" s="4">
        <f t="shared" si="40"/>
        <v>-323</v>
      </c>
      <c r="AB526" s="2" t="str">
        <f t="shared" si="44"/>
        <v>Invalid</v>
      </c>
      <c r="AC526" s="2"/>
    </row>
    <row r="527" spans="1:29">
      <c r="A527" s="1" t="s">
        <v>1671</v>
      </c>
      <c r="B527" s="2">
        <v>45582</v>
      </c>
      <c r="C527" s="2" t="str">
        <f t="shared" si="41"/>
        <v>October</v>
      </c>
      <c r="D527" s="1">
        <f t="shared" si="42"/>
        <v>2024</v>
      </c>
      <c r="E527" s="2">
        <v>45582</v>
      </c>
      <c r="F527" s="1" t="s">
        <v>1672</v>
      </c>
      <c r="G527" s="1" t="s">
        <v>122</v>
      </c>
      <c r="H527" s="1" t="s">
        <v>103</v>
      </c>
      <c r="I527" s="1" t="s">
        <v>46</v>
      </c>
      <c r="J527" s="1" t="s">
        <v>107</v>
      </c>
      <c r="K527" s="1" t="s">
        <v>108</v>
      </c>
      <c r="L527" s="1" t="s">
        <v>49</v>
      </c>
      <c r="M527" s="1" t="s">
        <v>74</v>
      </c>
      <c r="N527" s="1" t="s">
        <v>1673</v>
      </c>
      <c r="O527" s="1" t="s">
        <v>67</v>
      </c>
      <c r="P527" s="1">
        <v>5</v>
      </c>
      <c r="Q527" s="1">
        <v>2524.4</v>
      </c>
      <c r="R527" s="1">
        <v>0.1</v>
      </c>
      <c r="S527" s="1">
        <v>11359.8</v>
      </c>
      <c r="T527" s="1">
        <f t="shared" si="43"/>
        <v>11359.800000000001</v>
      </c>
      <c r="U527" s="1">
        <v>7062.44</v>
      </c>
      <c r="V527" s="3">
        <f>IF(T527=0,"",X527/T527)</f>
        <v>0.37829539252451638</v>
      </c>
      <c r="W527" s="1">
        <v>4297.3599999999997</v>
      </c>
      <c r="X527" s="1">
        <f>T527-U527</f>
        <v>4297.3600000000015</v>
      </c>
      <c r="Y527" s="1" t="s">
        <v>40</v>
      </c>
      <c r="Z527" s="1" t="s">
        <v>41</v>
      </c>
      <c r="AA527" s="1">
        <f t="shared" si="40"/>
        <v>0</v>
      </c>
      <c r="AB527" s="2" t="str">
        <f t="shared" si="44"/>
        <v>Clean</v>
      </c>
      <c r="AC527" s="2"/>
    </row>
    <row r="528" spans="1:29">
      <c r="A528" s="1" t="s">
        <v>1674</v>
      </c>
      <c r="B528" s="2">
        <v>45856</v>
      </c>
      <c r="C528" s="2" t="str">
        <f t="shared" si="41"/>
        <v>July</v>
      </c>
      <c r="D528" s="1">
        <f t="shared" si="42"/>
        <v>2025</v>
      </c>
      <c r="E528" s="2">
        <v>45859</v>
      </c>
      <c r="F528" s="1" t="s">
        <v>1675</v>
      </c>
      <c r="G528" s="1" t="s">
        <v>122</v>
      </c>
      <c r="H528" s="1" t="s">
        <v>32</v>
      </c>
      <c r="I528" s="1" t="s">
        <v>46</v>
      </c>
      <c r="J528" s="1" t="s">
        <v>47</v>
      </c>
      <c r="K528" s="1" t="s">
        <v>48</v>
      </c>
      <c r="L528" s="1" t="s">
        <v>49</v>
      </c>
      <c r="M528" s="1" t="s">
        <v>50</v>
      </c>
      <c r="N528" s="1" t="s">
        <v>1676</v>
      </c>
      <c r="O528" s="1" t="s">
        <v>39</v>
      </c>
      <c r="P528" s="1">
        <v>4</v>
      </c>
      <c r="Q528" s="1">
        <v>284.04000000000002</v>
      </c>
      <c r="R528" s="1">
        <v>0</v>
      </c>
      <c r="S528" s="1">
        <v>908.93</v>
      </c>
      <c r="T528" s="1">
        <f t="shared" si="43"/>
        <v>1136.1600000000001</v>
      </c>
      <c r="U528" s="1">
        <v>572.08000000000004</v>
      </c>
      <c r="V528" s="3">
        <f>IF(T528=0,"",X528/T528)</f>
        <v>0.49647936910294327</v>
      </c>
      <c r="W528" s="1">
        <v>336.85</v>
      </c>
      <c r="X528" s="1">
        <f>T528-U528</f>
        <v>564.08000000000004</v>
      </c>
      <c r="Y528" s="1" t="s">
        <v>40</v>
      </c>
      <c r="Z528" s="1" t="s">
        <v>41</v>
      </c>
      <c r="AA528" s="1">
        <f t="shared" si="40"/>
        <v>3</v>
      </c>
      <c r="AB528" s="2" t="str">
        <f t="shared" si="44"/>
        <v>Clean</v>
      </c>
      <c r="AC528" s="2"/>
    </row>
    <row r="529" spans="1:29">
      <c r="A529" s="1" t="s">
        <v>1677</v>
      </c>
      <c r="B529" s="2">
        <v>45667</v>
      </c>
      <c r="C529" s="2" t="str">
        <f t="shared" si="41"/>
        <v>January</v>
      </c>
      <c r="D529" s="1">
        <f t="shared" si="42"/>
        <v>2025</v>
      </c>
      <c r="E529" s="2">
        <v>45787</v>
      </c>
      <c r="F529" s="1" t="s">
        <v>1678</v>
      </c>
      <c r="G529" s="1" t="s">
        <v>97</v>
      </c>
      <c r="H529" s="1" t="s">
        <v>103</v>
      </c>
      <c r="I529" s="1" t="s">
        <v>33</v>
      </c>
      <c r="J529" s="1" t="s">
        <v>245</v>
      </c>
      <c r="K529" s="1" t="s">
        <v>246</v>
      </c>
      <c r="L529" s="1" t="s">
        <v>36</v>
      </c>
      <c r="M529" s="1" t="s">
        <v>37</v>
      </c>
      <c r="N529" s="1" t="s">
        <v>1679</v>
      </c>
      <c r="O529" s="1" t="s">
        <v>58</v>
      </c>
      <c r="P529" s="1">
        <v>5</v>
      </c>
      <c r="Q529" s="1">
        <v>3247.56</v>
      </c>
      <c r="R529" s="1">
        <v>0.15</v>
      </c>
      <c r="S529" s="1">
        <v>13802.13</v>
      </c>
      <c r="T529" s="1">
        <f t="shared" si="43"/>
        <v>13802.13</v>
      </c>
      <c r="U529" s="1">
        <v>10075.93</v>
      </c>
      <c r="V529" s="3">
        <f>IF(T529=0,"",X529/T529)</f>
        <v>0.26997282303528508</v>
      </c>
      <c r="W529" s="1">
        <v>3726.2</v>
      </c>
      <c r="X529" s="1">
        <f>T529-U529</f>
        <v>3726.1999999999989</v>
      </c>
      <c r="Y529" s="1" t="s">
        <v>40</v>
      </c>
      <c r="Z529" s="1" t="s">
        <v>41</v>
      </c>
      <c r="AA529" s="1">
        <f t="shared" si="40"/>
        <v>120</v>
      </c>
      <c r="AB529" s="2" t="str">
        <f t="shared" si="44"/>
        <v>Clean</v>
      </c>
      <c r="AC529" s="2"/>
    </row>
    <row r="530" spans="1:29">
      <c r="A530" s="1" t="s">
        <v>1680</v>
      </c>
      <c r="B530" s="2">
        <v>45483</v>
      </c>
      <c r="C530" s="2" t="str">
        <f t="shared" si="41"/>
        <v>July</v>
      </c>
      <c r="D530" s="1">
        <f t="shared" si="42"/>
        <v>2024</v>
      </c>
      <c r="E530" s="2">
        <v>45545</v>
      </c>
      <c r="F530" s="1" t="s">
        <v>1681</v>
      </c>
      <c r="G530" s="1" t="s">
        <v>170</v>
      </c>
      <c r="H530" s="1" t="s">
        <v>32</v>
      </c>
      <c r="I530" s="1" t="s">
        <v>62</v>
      </c>
      <c r="J530" s="1" t="s">
        <v>256</v>
      </c>
      <c r="K530" s="1" t="s">
        <v>257</v>
      </c>
      <c r="L530" s="1" t="s">
        <v>36</v>
      </c>
      <c r="M530" s="1" t="s">
        <v>161</v>
      </c>
      <c r="N530" s="1" t="s">
        <v>1682</v>
      </c>
      <c r="O530" s="1" t="s">
        <v>67</v>
      </c>
      <c r="P530" s="1">
        <v>9</v>
      </c>
      <c r="Q530" s="1">
        <v>3457.09</v>
      </c>
      <c r="R530" s="1">
        <v>0.05</v>
      </c>
      <c r="S530" s="1">
        <v>29558.12</v>
      </c>
      <c r="T530" s="1">
        <f t="shared" si="43"/>
        <v>29558.119500000001</v>
      </c>
      <c r="U530" s="1">
        <v>21302.13</v>
      </c>
      <c r="V530" s="3">
        <f>IF(T530=0,"",X530/T530)</f>
        <v>0.27931376013281223</v>
      </c>
      <c r="W530" s="1">
        <v>8255.99</v>
      </c>
      <c r="X530" s="1">
        <f>T530-U530</f>
        <v>8255.9894999999997</v>
      </c>
      <c r="Y530" s="1" t="s">
        <v>119</v>
      </c>
      <c r="Z530" s="1" t="s">
        <v>111</v>
      </c>
      <c r="AA530" s="1">
        <f t="shared" si="40"/>
        <v>62</v>
      </c>
      <c r="AB530" s="2" t="str">
        <f t="shared" si="44"/>
        <v>Clean</v>
      </c>
      <c r="AC530" s="2"/>
    </row>
    <row r="531" spans="1:29">
      <c r="A531" s="1" t="s">
        <v>1683</v>
      </c>
      <c r="B531" s="2">
        <v>45445</v>
      </c>
      <c r="C531" s="2" t="str">
        <f t="shared" si="41"/>
        <v>June</v>
      </c>
      <c r="D531" s="1">
        <f t="shared" si="42"/>
        <v>2024</v>
      </c>
      <c r="E531" s="2">
        <v>45506</v>
      </c>
      <c r="F531" s="1" t="s">
        <v>734</v>
      </c>
      <c r="G531" s="1" t="s">
        <v>31</v>
      </c>
      <c r="H531" s="1" t="s">
        <v>32</v>
      </c>
      <c r="I531" s="1" t="s">
        <v>46</v>
      </c>
      <c r="J531" s="1" t="s">
        <v>237</v>
      </c>
      <c r="K531" s="1" t="s">
        <v>238</v>
      </c>
      <c r="L531" s="1" t="s">
        <v>49</v>
      </c>
      <c r="M531" s="1" t="s">
        <v>166</v>
      </c>
      <c r="N531" s="1" t="s">
        <v>1684</v>
      </c>
      <c r="O531" s="1" t="s">
        <v>39</v>
      </c>
      <c r="P531" s="1">
        <v>9</v>
      </c>
      <c r="Q531" s="1">
        <v>1822.25</v>
      </c>
      <c r="R531" s="1">
        <v>0</v>
      </c>
      <c r="S531" s="1">
        <v>16400.25</v>
      </c>
      <c r="T531" s="1">
        <f t="shared" si="43"/>
        <v>16400.25</v>
      </c>
      <c r="U531" s="1">
        <v>12146.96</v>
      </c>
      <c r="V531" s="3">
        <f>IF(T531=0,"",X531/T531)</f>
        <v>0.25934299782015524</v>
      </c>
      <c r="W531" s="1">
        <v>4253.29</v>
      </c>
      <c r="X531" s="1">
        <f>T531-U531</f>
        <v>4253.2900000000009</v>
      </c>
      <c r="Y531" s="1" t="s">
        <v>40</v>
      </c>
      <c r="Z531" s="1" t="s">
        <v>41</v>
      </c>
      <c r="AA531" s="1">
        <f t="shared" si="40"/>
        <v>61</v>
      </c>
      <c r="AB531" s="2" t="str">
        <f t="shared" si="44"/>
        <v>Clean</v>
      </c>
      <c r="AC531" s="2"/>
    </row>
    <row r="532" spans="1:29">
      <c r="A532" s="1" t="s">
        <v>1685</v>
      </c>
      <c r="B532" s="2">
        <v>45807</v>
      </c>
      <c r="C532" s="2" t="str">
        <f t="shared" si="41"/>
        <v>May</v>
      </c>
      <c r="D532" s="1">
        <f t="shared" si="42"/>
        <v>2025</v>
      </c>
      <c r="E532" s="2">
        <v>45663</v>
      </c>
      <c r="F532" s="1" t="s">
        <v>1686</v>
      </c>
      <c r="G532" s="1" t="s">
        <v>126</v>
      </c>
      <c r="H532" s="1" t="s">
        <v>103</v>
      </c>
      <c r="I532" s="1" t="s">
        <v>62</v>
      </c>
      <c r="J532" s="1" t="s">
        <v>256</v>
      </c>
      <c r="K532" s="1" t="s">
        <v>257</v>
      </c>
      <c r="L532" s="1" t="s">
        <v>36</v>
      </c>
      <c r="M532" s="1" t="s">
        <v>161</v>
      </c>
      <c r="N532" s="1" t="s">
        <v>1687</v>
      </c>
      <c r="O532" s="1" t="s">
        <v>67</v>
      </c>
      <c r="P532" s="1">
        <v>9</v>
      </c>
      <c r="Q532" s="1">
        <v>1994.51</v>
      </c>
      <c r="R532" s="1">
        <v>0.05</v>
      </c>
      <c r="S532" s="1">
        <v>17053.060000000001</v>
      </c>
      <c r="T532" s="1">
        <f t="shared" si="43"/>
        <v>17053.0605</v>
      </c>
      <c r="U532" s="1">
        <v>10742.38</v>
      </c>
      <c r="V532" s="3">
        <f>IF(T532=0,"",X532/T532)</f>
        <v>0.37006146198801093</v>
      </c>
      <c r="W532" s="1">
        <v>6310.68</v>
      </c>
      <c r="X532" s="1">
        <f>T532-U532</f>
        <v>6310.6805000000004</v>
      </c>
      <c r="Y532" s="1" t="s">
        <v>40</v>
      </c>
      <c r="Z532" s="1" t="s">
        <v>41</v>
      </c>
      <c r="AA532" s="4">
        <f t="shared" si="40"/>
        <v>-144</v>
      </c>
      <c r="AB532" s="2" t="str">
        <f t="shared" si="44"/>
        <v>Invalid</v>
      </c>
      <c r="AC532" s="2"/>
    </row>
    <row r="533" spans="1:29">
      <c r="A533" s="1" t="s">
        <v>1688</v>
      </c>
      <c r="B533" s="2">
        <v>45299</v>
      </c>
      <c r="C533" s="2" t="str">
        <f t="shared" si="41"/>
        <v>January</v>
      </c>
      <c r="D533" s="1">
        <f t="shared" si="42"/>
        <v>2024</v>
      </c>
      <c r="E533" s="2">
        <v>45512</v>
      </c>
      <c r="F533" s="1" t="s">
        <v>1689</v>
      </c>
      <c r="G533" s="1" t="s">
        <v>170</v>
      </c>
      <c r="H533" s="1" t="s">
        <v>45</v>
      </c>
      <c r="I533" s="1" t="s">
        <v>71</v>
      </c>
      <c r="J533" s="1" t="s">
        <v>72</v>
      </c>
      <c r="K533" s="1" t="s">
        <v>73</v>
      </c>
      <c r="L533" s="1" t="s">
        <v>36</v>
      </c>
      <c r="M533" s="1" t="s">
        <v>132</v>
      </c>
      <c r="N533" s="1" t="s">
        <v>1690</v>
      </c>
      <c r="O533" s="1" t="s">
        <v>213</v>
      </c>
      <c r="P533" s="1">
        <v>1</v>
      </c>
      <c r="Q533" s="1">
        <v>442.97</v>
      </c>
      <c r="R533" s="1">
        <v>0.1</v>
      </c>
      <c r="S533" s="1">
        <v>398.67</v>
      </c>
      <c r="T533" s="1">
        <f t="shared" si="43"/>
        <v>398.67300000000006</v>
      </c>
      <c r="U533" s="1">
        <v>311.66000000000003</v>
      </c>
      <c r="V533" s="3">
        <f>IF(T533=0,"",X533/T533)</f>
        <v>0.21825656615822997</v>
      </c>
      <c r="W533" s="1">
        <v>87.01</v>
      </c>
      <c r="X533" s="1">
        <f>T533-U533</f>
        <v>87.013000000000034</v>
      </c>
      <c r="Y533" s="1" t="s">
        <v>40</v>
      </c>
      <c r="Z533" s="1" t="s">
        <v>41</v>
      </c>
      <c r="AA533" s="1">
        <f t="shared" si="40"/>
        <v>213</v>
      </c>
      <c r="AB533" s="2" t="str">
        <f t="shared" si="44"/>
        <v>Warning</v>
      </c>
      <c r="AC533" s="2"/>
    </row>
    <row r="534" spans="1:29">
      <c r="A534" s="1" t="s">
        <v>1691</v>
      </c>
      <c r="B534" s="2">
        <v>45787</v>
      </c>
      <c r="C534" s="2" t="str">
        <f t="shared" si="41"/>
        <v>May</v>
      </c>
      <c r="D534" s="1">
        <f t="shared" si="42"/>
        <v>2025</v>
      </c>
      <c r="E534" s="2">
        <v>45940</v>
      </c>
      <c r="F534" s="1" t="s">
        <v>1692</v>
      </c>
      <c r="G534" s="1" t="s">
        <v>122</v>
      </c>
      <c r="H534" s="1" t="s">
        <v>98</v>
      </c>
      <c r="I534" s="1" t="s">
        <v>46</v>
      </c>
      <c r="J534" s="1" t="s">
        <v>174</v>
      </c>
      <c r="K534" s="1" t="s">
        <v>175</v>
      </c>
      <c r="L534" s="1" t="s">
        <v>49</v>
      </c>
      <c r="M534" s="1" t="s">
        <v>50</v>
      </c>
      <c r="N534" s="1" t="s">
        <v>1693</v>
      </c>
      <c r="O534" s="1" t="s">
        <v>39</v>
      </c>
      <c r="P534" s="1">
        <v>9</v>
      </c>
      <c r="Q534" s="1">
        <v>2089.14</v>
      </c>
      <c r="R534" s="1">
        <v>0.05</v>
      </c>
      <c r="S534" s="1">
        <v>17862.150000000001</v>
      </c>
      <c r="T534" s="1">
        <f t="shared" si="43"/>
        <v>17862.146999999997</v>
      </c>
      <c r="U534" s="1">
        <v>9892.2099999999991</v>
      </c>
      <c r="V534" s="3">
        <f>IF(T534=0,"",X534/T534)</f>
        <v>0.44619143488182017</v>
      </c>
      <c r="W534" s="1">
        <v>7969.94</v>
      </c>
      <c r="X534" s="1">
        <f>T534-U534</f>
        <v>7969.9369999999981</v>
      </c>
      <c r="Y534" s="1" t="s">
        <v>163</v>
      </c>
      <c r="Z534" s="1" t="s">
        <v>76</v>
      </c>
      <c r="AA534" s="1">
        <f t="shared" si="40"/>
        <v>153</v>
      </c>
      <c r="AB534" s="2" t="str">
        <f t="shared" si="44"/>
        <v>Clean</v>
      </c>
      <c r="AC534" s="2"/>
    </row>
    <row r="535" spans="1:29">
      <c r="A535" s="1" t="s">
        <v>1694</v>
      </c>
      <c r="B535" s="2">
        <v>45529</v>
      </c>
      <c r="C535" s="2" t="str">
        <f t="shared" si="41"/>
        <v>August</v>
      </c>
      <c r="D535" s="1">
        <f t="shared" si="42"/>
        <v>2024</v>
      </c>
      <c r="E535" s="2">
        <v>45300</v>
      </c>
      <c r="F535" s="1" t="s">
        <v>1695</v>
      </c>
      <c r="G535" s="1" t="s">
        <v>55</v>
      </c>
      <c r="H535" s="1" t="s">
        <v>103</v>
      </c>
      <c r="I535" s="1" t="s">
        <v>33</v>
      </c>
      <c r="J535" s="1" t="s">
        <v>34</v>
      </c>
      <c r="K535" s="1" t="s">
        <v>35</v>
      </c>
      <c r="L535" s="1" t="s">
        <v>49</v>
      </c>
      <c r="M535" s="1" t="s">
        <v>50</v>
      </c>
      <c r="N535" s="1" t="s">
        <v>1696</v>
      </c>
      <c r="O535" s="1" t="s">
        <v>52</v>
      </c>
      <c r="P535" s="1">
        <v>6</v>
      </c>
      <c r="Q535" s="1">
        <v>481.3</v>
      </c>
      <c r="R535" s="1">
        <v>0.25</v>
      </c>
      <c r="S535" s="1">
        <v>2165.85</v>
      </c>
      <c r="T535" s="1">
        <f t="shared" si="43"/>
        <v>2165.8500000000004</v>
      </c>
      <c r="U535" s="1">
        <v>2124.48</v>
      </c>
      <c r="V535" s="3">
        <f>IF(T535=0,"",X535/T535)</f>
        <v>1.91010457787937E-2</v>
      </c>
      <c r="W535" s="1">
        <v>430.45</v>
      </c>
      <c r="X535" s="1">
        <f>T535-U535</f>
        <v>41.370000000000346</v>
      </c>
      <c r="Y535" s="1" t="s">
        <v>40</v>
      </c>
      <c r="Z535" s="1" t="s">
        <v>41</v>
      </c>
      <c r="AA535" s="4">
        <f t="shared" si="40"/>
        <v>-229</v>
      </c>
      <c r="AB535" s="2" t="str">
        <f t="shared" si="44"/>
        <v>Invalid</v>
      </c>
      <c r="AC535" s="2"/>
    </row>
    <row r="536" spans="1:29">
      <c r="A536" s="1" t="s">
        <v>1697</v>
      </c>
      <c r="B536" s="2">
        <v>45774</v>
      </c>
      <c r="C536" s="2" t="str">
        <f t="shared" si="41"/>
        <v>April</v>
      </c>
      <c r="D536" s="1">
        <f t="shared" si="42"/>
        <v>2025</v>
      </c>
      <c r="E536" s="2">
        <v>45782</v>
      </c>
      <c r="F536" s="1" t="s">
        <v>1698</v>
      </c>
      <c r="G536" s="1" t="s">
        <v>149</v>
      </c>
      <c r="H536" s="1" t="s">
        <v>103</v>
      </c>
      <c r="I536" s="1" t="s">
        <v>46</v>
      </c>
      <c r="J536" s="1" t="s">
        <v>153</v>
      </c>
      <c r="K536" s="1" t="s">
        <v>154</v>
      </c>
      <c r="L536" s="1" t="s">
        <v>82</v>
      </c>
      <c r="M536" s="1" t="s">
        <v>83</v>
      </c>
      <c r="N536" s="1" t="s">
        <v>1699</v>
      </c>
      <c r="O536" s="1" t="s">
        <v>39</v>
      </c>
      <c r="P536" s="1">
        <v>4</v>
      </c>
      <c r="Q536" s="1">
        <v>3963.39</v>
      </c>
      <c r="R536" s="1">
        <v>0.1</v>
      </c>
      <c r="S536" s="1">
        <v>14268.2</v>
      </c>
      <c r="T536" s="1">
        <f t="shared" si="43"/>
        <v>14268.204</v>
      </c>
      <c r="U536" s="1">
        <v>11705.3</v>
      </c>
      <c r="V536" s="3">
        <f>IF(T536=0,"",X536/T536)</f>
        <v>0.17962344805274724</v>
      </c>
      <c r="W536" s="1">
        <v>2562.9</v>
      </c>
      <c r="X536" s="1">
        <f>T536-U536</f>
        <v>2562.9040000000005</v>
      </c>
      <c r="Y536" s="1" t="s">
        <v>119</v>
      </c>
      <c r="Z536" s="1" t="s">
        <v>111</v>
      </c>
      <c r="AA536" s="1">
        <f t="shared" si="40"/>
        <v>8</v>
      </c>
      <c r="AB536" s="2" t="str">
        <f t="shared" si="44"/>
        <v>Clean</v>
      </c>
      <c r="AC536" s="2"/>
    </row>
    <row r="537" spans="1:29">
      <c r="A537" s="1" t="s">
        <v>1700</v>
      </c>
      <c r="B537" s="2">
        <v>45431</v>
      </c>
      <c r="C537" s="2" t="str">
        <f t="shared" si="41"/>
        <v>May</v>
      </c>
      <c r="D537" s="1">
        <f t="shared" si="42"/>
        <v>2024</v>
      </c>
      <c r="E537" s="2">
        <v>45433</v>
      </c>
      <c r="F537" s="1" t="s">
        <v>1701</v>
      </c>
      <c r="G537" s="1" t="s">
        <v>170</v>
      </c>
      <c r="H537" s="1" t="s">
        <v>45</v>
      </c>
      <c r="I537" s="1" t="s">
        <v>71</v>
      </c>
      <c r="J537" s="1" t="s">
        <v>72</v>
      </c>
      <c r="K537" s="1" t="s">
        <v>73</v>
      </c>
      <c r="L537" s="1" t="s">
        <v>82</v>
      </c>
      <c r="M537" s="1" t="s">
        <v>88</v>
      </c>
      <c r="N537" s="1" t="s">
        <v>1702</v>
      </c>
      <c r="O537" s="1" t="s">
        <v>58</v>
      </c>
      <c r="P537" s="1">
        <v>3</v>
      </c>
      <c r="Q537" s="1">
        <v>4000.98</v>
      </c>
      <c r="R537" s="1">
        <v>0.2</v>
      </c>
      <c r="S537" s="1">
        <v>9602.35</v>
      </c>
      <c r="T537" s="1">
        <f t="shared" si="43"/>
        <v>9602.3520000000008</v>
      </c>
      <c r="U537" s="1">
        <v>7387.57</v>
      </c>
      <c r="V537" s="3">
        <f>IF(T537=0,"",X537/T537)</f>
        <v>0.23064994909580494</v>
      </c>
      <c r="W537" s="1">
        <v>2214.7800000000002</v>
      </c>
      <c r="X537" s="1">
        <f>T537-U537</f>
        <v>2214.7820000000011</v>
      </c>
      <c r="Y537" s="1" t="s">
        <v>40</v>
      </c>
      <c r="Z537" s="1" t="s">
        <v>41</v>
      </c>
      <c r="AA537" s="1">
        <f t="shared" si="40"/>
        <v>2</v>
      </c>
      <c r="AB537" s="2" t="str">
        <f t="shared" si="44"/>
        <v>Clean</v>
      </c>
      <c r="AC537" s="2"/>
    </row>
    <row r="538" spans="1:29">
      <c r="A538" s="1" t="s">
        <v>1703</v>
      </c>
      <c r="B538" s="2">
        <v>45934</v>
      </c>
      <c r="C538" s="2" t="str">
        <f t="shared" si="41"/>
        <v>October</v>
      </c>
      <c r="D538" s="1">
        <f t="shared" si="42"/>
        <v>2025</v>
      </c>
      <c r="E538" s="2">
        <v>45764</v>
      </c>
      <c r="F538" s="1" t="s">
        <v>1704</v>
      </c>
      <c r="G538" s="1" t="s">
        <v>70</v>
      </c>
      <c r="H538" s="1" t="s">
        <v>45</v>
      </c>
      <c r="I538" s="1" t="s">
        <v>71</v>
      </c>
      <c r="J538" s="1" t="s">
        <v>34</v>
      </c>
      <c r="K538" s="1" t="s">
        <v>117</v>
      </c>
      <c r="L538" s="1" t="s">
        <v>49</v>
      </c>
      <c r="M538" s="1" t="s">
        <v>74</v>
      </c>
      <c r="N538" s="1" t="s">
        <v>1705</v>
      </c>
      <c r="O538" s="1" t="s">
        <v>58</v>
      </c>
      <c r="P538" s="1">
        <v>7</v>
      </c>
      <c r="Q538" s="1">
        <v>3788.9</v>
      </c>
      <c r="R538" s="1">
        <v>0.25</v>
      </c>
      <c r="S538" s="1">
        <v>19891.72</v>
      </c>
      <c r="T538" s="1">
        <f t="shared" si="43"/>
        <v>19891.724999999999</v>
      </c>
      <c r="U538" s="1">
        <v>12295.76</v>
      </c>
      <c r="V538" s="3">
        <f>IF(T538=0,"",X538/T538)</f>
        <v>0.38186557475533162</v>
      </c>
      <c r="W538" s="1">
        <v>7595.96</v>
      </c>
      <c r="X538" s="1">
        <f>T538-U538</f>
        <v>7595.9649999999983</v>
      </c>
      <c r="Y538" s="1" t="s">
        <v>163</v>
      </c>
      <c r="Z538" s="1" t="s">
        <v>76</v>
      </c>
      <c r="AA538" s="4">
        <f t="shared" si="40"/>
        <v>-170</v>
      </c>
      <c r="AB538" s="2" t="str">
        <f t="shared" si="44"/>
        <v>Invalid</v>
      </c>
      <c r="AC538" s="2"/>
    </row>
    <row r="539" spans="1:29">
      <c r="A539" s="1" t="s">
        <v>1706</v>
      </c>
      <c r="B539" s="2">
        <v>45313</v>
      </c>
      <c r="C539" s="2" t="str">
        <f t="shared" si="41"/>
        <v>January</v>
      </c>
      <c r="D539" s="1">
        <f t="shared" si="42"/>
        <v>2024</v>
      </c>
      <c r="E539" s="2">
        <v>45321</v>
      </c>
      <c r="F539" s="1" t="s">
        <v>1707</v>
      </c>
      <c r="G539" s="1" t="s">
        <v>70</v>
      </c>
      <c r="H539" s="1" t="s">
        <v>45</v>
      </c>
      <c r="I539" s="1" t="s">
        <v>33</v>
      </c>
      <c r="J539" s="1" t="s">
        <v>245</v>
      </c>
      <c r="K539" s="1" t="s">
        <v>246</v>
      </c>
      <c r="L539" s="1" t="s">
        <v>36</v>
      </c>
      <c r="M539" s="1" t="s">
        <v>56</v>
      </c>
      <c r="N539" s="1" t="s">
        <v>1708</v>
      </c>
      <c r="O539" s="1" t="s">
        <v>52</v>
      </c>
      <c r="P539" s="1">
        <v>3</v>
      </c>
      <c r="Q539" s="1">
        <v>676.37</v>
      </c>
      <c r="R539" s="1">
        <v>0.05</v>
      </c>
      <c r="S539" s="1">
        <v>1927.65</v>
      </c>
      <c r="T539" s="1">
        <f t="shared" si="43"/>
        <v>1927.6545000000001</v>
      </c>
      <c r="U539" s="1">
        <v>1460.6</v>
      </c>
      <c r="V539" s="3">
        <f>IF(T539=0,"",X539/T539)</f>
        <v>0.24229160360427668</v>
      </c>
      <c r="W539" s="1">
        <v>467.05</v>
      </c>
      <c r="X539" s="1">
        <f>T539-U539</f>
        <v>467.05450000000019</v>
      </c>
      <c r="Y539" s="1" t="s">
        <v>163</v>
      </c>
      <c r="Z539" s="1" t="s">
        <v>76</v>
      </c>
      <c r="AA539" s="1">
        <f t="shared" si="40"/>
        <v>8</v>
      </c>
      <c r="AB539" s="2" t="str">
        <f t="shared" si="44"/>
        <v>Clean</v>
      </c>
      <c r="AC539" s="2"/>
    </row>
    <row r="540" spans="1:29">
      <c r="A540" s="1" t="s">
        <v>1709</v>
      </c>
      <c r="B540" s="2">
        <v>45560</v>
      </c>
      <c r="C540" s="2" t="str">
        <f t="shared" si="41"/>
        <v>September</v>
      </c>
      <c r="D540" s="1">
        <f t="shared" si="42"/>
        <v>2024</v>
      </c>
      <c r="E540" s="2">
        <v>45301</v>
      </c>
      <c r="F540" s="1" t="s">
        <v>1710</v>
      </c>
      <c r="G540" s="1" t="s">
        <v>170</v>
      </c>
      <c r="H540" s="1" t="s">
        <v>45</v>
      </c>
      <c r="I540" s="1" t="s">
        <v>46</v>
      </c>
      <c r="J540" s="1" t="s">
        <v>237</v>
      </c>
      <c r="K540" s="1" t="s">
        <v>238</v>
      </c>
      <c r="L540" s="1" t="s">
        <v>49</v>
      </c>
      <c r="M540" s="1" t="s">
        <v>50</v>
      </c>
      <c r="N540" s="1" t="s">
        <v>1711</v>
      </c>
      <c r="O540" s="1" t="s">
        <v>39</v>
      </c>
      <c r="P540" s="1">
        <v>9</v>
      </c>
      <c r="Q540" s="1">
        <v>3908.6</v>
      </c>
      <c r="R540" s="1">
        <v>0.15</v>
      </c>
      <c r="S540" s="1">
        <v>29900.79</v>
      </c>
      <c r="T540" s="1">
        <f t="shared" si="43"/>
        <v>29900.79</v>
      </c>
      <c r="U540" s="1">
        <v>24650.67</v>
      </c>
      <c r="V540" s="3">
        <f>IF(T540=0,"",X540/T540)</f>
        <v>0.17558465846554563</v>
      </c>
      <c r="W540" s="1">
        <v>5250.12</v>
      </c>
      <c r="X540" s="1">
        <f>T540-U540</f>
        <v>5250.1200000000026</v>
      </c>
      <c r="Y540" s="1" t="s">
        <v>40</v>
      </c>
      <c r="Z540" s="1" t="s">
        <v>41</v>
      </c>
      <c r="AA540" s="4">
        <f t="shared" si="40"/>
        <v>-259</v>
      </c>
      <c r="AB540" s="2" t="str">
        <f t="shared" si="44"/>
        <v>Invalid</v>
      </c>
      <c r="AC540" s="2"/>
    </row>
    <row r="541" spans="1:29">
      <c r="A541" s="1" t="s">
        <v>1712</v>
      </c>
      <c r="B541" s="2">
        <v>45842</v>
      </c>
      <c r="C541" s="2" t="str">
        <f t="shared" si="41"/>
        <v>July</v>
      </c>
      <c r="D541" s="1">
        <f t="shared" si="42"/>
        <v>2025</v>
      </c>
      <c r="E541" s="2">
        <v>45754</v>
      </c>
      <c r="F541" s="1" t="s">
        <v>1713</v>
      </c>
      <c r="G541" s="1" t="s">
        <v>44</v>
      </c>
      <c r="H541" s="1" t="s">
        <v>45</v>
      </c>
      <c r="I541" s="1" t="s">
        <v>62</v>
      </c>
      <c r="J541" s="1" t="s">
        <v>256</v>
      </c>
      <c r="K541" s="1" t="s">
        <v>257</v>
      </c>
      <c r="L541" s="1" t="s">
        <v>49</v>
      </c>
      <c r="M541" s="1" t="s">
        <v>74</v>
      </c>
      <c r="N541" s="1" t="s">
        <v>1714</v>
      </c>
      <c r="O541" s="1" t="s">
        <v>67</v>
      </c>
      <c r="P541" s="1">
        <v>3</v>
      </c>
      <c r="Q541" s="1">
        <v>705.35</v>
      </c>
      <c r="R541" s="1">
        <v>0.1</v>
      </c>
      <c r="S541" s="1">
        <v>1904.45</v>
      </c>
      <c r="T541" s="1">
        <f t="shared" si="43"/>
        <v>1904.4450000000002</v>
      </c>
      <c r="U541" s="1">
        <v>1316.54</v>
      </c>
      <c r="V541" s="3">
        <f>IF(T541=0,"",X541/T541)</f>
        <v>0.30870148520960183</v>
      </c>
      <c r="W541" s="1">
        <v>587.91</v>
      </c>
      <c r="X541" s="1">
        <f>T541-U541</f>
        <v>587.9050000000002</v>
      </c>
      <c r="Y541" s="1" t="s">
        <v>40</v>
      </c>
      <c r="Z541" s="1" t="s">
        <v>76</v>
      </c>
      <c r="AA541" s="4">
        <f t="shared" si="40"/>
        <v>-88</v>
      </c>
      <c r="AB541" s="2" t="str">
        <f t="shared" si="44"/>
        <v>Invalid</v>
      </c>
      <c r="AC541" s="2"/>
    </row>
    <row r="542" spans="1:29">
      <c r="A542" s="1" t="s">
        <v>1715</v>
      </c>
      <c r="B542" s="2">
        <v>45348</v>
      </c>
      <c r="C542" s="2" t="str">
        <f t="shared" si="41"/>
        <v>February</v>
      </c>
      <c r="D542" s="1">
        <f t="shared" si="42"/>
        <v>2024</v>
      </c>
      <c r="E542" s="2">
        <v>45345</v>
      </c>
      <c r="F542" s="1" t="s">
        <v>1716</v>
      </c>
      <c r="G542" s="1" t="s">
        <v>273</v>
      </c>
      <c r="H542" s="1" t="s">
        <v>32</v>
      </c>
      <c r="I542" s="1" t="s">
        <v>71</v>
      </c>
      <c r="J542" s="1" t="s">
        <v>188</v>
      </c>
      <c r="K542" s="1" t="s">
        <v>189</v>
      </c>
      <c r="L542" s="1" t="s">
        <v>49</v>
      </c>
      <c r="M542" s="1" t="s">
        <v>65</v>
      </c>
      <c r="N542" s="1" t="s">
        <v>1717</v>
      </c>
      <c r="O542" s="1" t="s">
        <v>67</v>
      </c>
      <c r="P542" s="1">
        <v>7</v>
      </c>
      <c r="Q542" s="1">
        <v>3852.07</v>
      </c>
      <c r="R542" s="1">
        <v>0.2</v>
      </c>
      <c r="S542" s="1">
        <v>21571.59</v>
      </c>
      <c r="T542" s="1">
        <f t="shared" si="43"/>
        <v>21571.592000000004</v>
      </c>
      <c r="U542" s="1">
        <v>17118.07</v>
      </c>
      <c r="V542" s="3">
        <f>IF(T542=0,"",X542/T542)</f>
        <v>0.20645309813017063</v>
      </c>
      <c r="W542" s="1">
        <v>4453.5200000000004</v>
      </c>
      <c r="X542" s="1">
        <f>T542-U542</f>
        <v>4453.5220000000045</v>
      </c>
      <c r="Y542" s="1" t="s">
        <v>40</v>
      </c>
      <c r="Z542" s="1" t="s">
        <v>41</v>
      </c>
      <c r="AA542" s="4">
        <f t="shared" si="40"/>
        <v>-3</v>
      </c>
      <c r="AB542" s="2" t="str">
        <f t="shared" si="44"/>
        <v>Invalid</v>
      </c>
      <c r="AC542" s="2"/>
    </row>
    <row r="543" spans="1:29">
      <c r="A543" s="1" t="s">
        <v>1718</v>
      </c>
      <c r="B543" s="2">
        <v>45876</v>
      </c>
      <c r="C543" s="2" t="str">
        <f t="shared" si="41"/>
        <v>August</v>
      </c>
      <c r="D543" s="1">
        <f t="shared" si="42"/>
        <v>2025</v>
      </c>
      <c r="E543" s="2">
        <v>45907</v>
      </c>
      <c r="F543" s="1" t="s">
        <v>1719</v>
      </c>
      <c r="G543" s="1" t="s">
        <v>140</v>
      </c>
      <c r="H543" s="1" t="s">
        <v>32</v>
      </c>
      <c r="I543" s="1" t="s">
        <v>71</v>
      </c>
      <c r="J543" s="1" t="s">
        <v>72</v>
      </c>
      <c r="K543" s="1" t="s">
        <v>73</v>
      </c>
      <c r="L543" s="1" t="s">
        <v>82</v>
      </c>
      <c r="M543" s="1" t="s">
        <v>88</v>
      </c>
      <c r="N543" s="1" t="s">
        <v>1720</v>
      </c>
      <c r="O543" s="1" t="s">
        <v>52</v>
      </c>
      <c r="P543" s="1">
        <v>3</v>
      </c>
      <c r="Q543" s="1">
        <v>2880.56</v>
      </c>
      <c r="R543" s="1">
        <v>0</v>
      </c>
      <c r="S543" s="1">
        <v>8641.68</v>
      </c>
      <c r="T543" s="1">
        <f t="shared" si="43"/>
        <v>8641.68</v>
      </c>
      <c r="U543" s="1">
        <v>5747.09</v>
      </c>
      <c r="V543" s="3">
        <f>IF(T543=0,"",X543/T543)</f>
        <v>0.33495686024013849</v>
      </c>
      <c r="W543" s="1">
        <v>2894.59</v>
      </c>
      <c r="X543" s="1">
        <f>T543-U543</f>
        <v>2894.59</v>
      </c>
      <c r="Y543" s="1" t="s">
        <v>40</v>
      </c>
      <c r="Z543" s="1" t="s">
        <v>111</v>
      </c>
      <c r="AA543" s="1">
        <f t="shared" si="40"/>
        <v>31</v>
      </c>
      <c r="AB543" s="2" t="str">
        <f t="shared" si="44"/>
        <v>Clean</v>
      </c>
      <c r="AC543" s="2"/>
    </row>
    <row r="544" spans="1:29">
      <c r="A544" s="1" t="s">
        <v>1721</v>
      </c>
      <c r="B544" s="2">
        <v>45552</v>
      </c>
      <c r="C544" s="2" t="str">
        <f t="shared" si="41"/>
        <v>September</v>
      </c>
      <c r="D544" s="1">
        <f t="shared" si="42"/>
        <v>2024</v>
      </c>
      <c r="E544" s="2">
        <v>45558</v>
      </c>
      <c r="F544" s="1" t="s">
        <v>1722</v>
      </c>
      <c r="G544" s="1" t="s">
        <v>126</v>
      </c>
      <c r="H544" s="1" t="s">
        <v>103</v>
      </c>
      <c r="I544" s="1" t="s">
        <v>62</v>
      </c>
      <c r="J544" s="1" t="s">
        <v>193</v>
      </c>
      <c r="K544" s="1" t="s">
        <v>194</v>
      </c>
      <c r="L544" s="1" t="s">
        <v>49</v>
      </c>
      <c r="M544" s="1" t="s">
        <v>166</v>
      </c>
      <c r="N544" s="1" t="s">
        <v>1723</v>
      </c>
      <c r="O544" s="1" t="s">
        <v>39</v>
      </c>
      <c r="P544" s="1">
        <v>3</v>
      </c>
      <c r="Q544" s="1">
        <v>4067.62</v>
      </c>
      <c r="R544" s="1">
        <v>0.2</v>
      </c>
      <c r="S544" s="1">
        <v>9988.5300000000007</v>
      </c>
      <c r="T544" s="1">
        <f t="shared" si="43"/>
        <v>9762.2880000000005</v>
      </c>
      <c r="U544" s="1">
        <v>8368.24</v>
      </c>
      <c r="V544" s="3">
        <f>IF(T544=0,"",X544/T544)</f>
        <v>0.14279931098119628</v>
      </c>
      <c r="W544" s="1">
        <v>1394.05</v>
      </c>
      <c r="X544" s="1">
        <f>T544-U544</f>
        <v>1394.0480000000007</v>
      </c>
      <c r="Y544" s="1" t="s">
        <v>40</v>
      </c>
      <c r="Z544" s="1" t="s">
        <v>1724</v>
      </c>
      <c r="AA544" s="1">
        <f t="shared" si="40"/>
        <v>6</v>
      </c>
      <c r="AB544" s="2" t="str">
        <f t="shared" si="44"/>
        <v>Clean</v>
      </c>
      <c r="AC544" s="2"/>
    </row>
    <row r="545" spans="1:29">
      <c r="A545" s="1" t="s">
        <v>1725</v>
      </c>
      <c r="B545" s="2">
        <v>45487</v>
      </c>
      <c r="C545" s="2" t="str">
        <f t="shared" si="41"/>
        <v>July</v>
      </c>
      <c r="D545" s="1">
        <f t="shared" si="42"/>
        <v>2024</v>
      </c>
      <c r="E545" s="2">
        <v>45493</v>
      </c>
      <c r="F545" s="1" t="s">
        <v>1726</v>
      </c>
      <c r="G545" s="1" t="s">
        <v>44</v>
      </c>
      <c r="H545" s="1" t="s">
        <v>32</v>
      </c>
      <c r="I545" s="1" t="s">
        <v>46</v>
      </c>
      <c r="J545" s="1" t="s">
        <v>153</v>
      </c>
      <c r="K545" s="1" t="s">
        <v>154</v>
      </c>
      <c r="L545" s="1" t="s">
        <v>82</v>
      </c>
      <c r="M545" s="1" t="s">
        <v>88</v>
      </c>
      <c r="N545" s="1" t="s">
        <v>1727</v>
      </c>
      <c r="O545" s="1" t="s">
        <v>52</v>
      </c>
      <c r="P545" s="1">
        <v>1</v>
      </c>
      <c r="Q545" s="1">
        <v>492.67</v>
      </c>
      <c r="R545" s="1">
        <v>0.15</v>
      </c>
      <c r="S545" s="1">
        <v>418.77</v>
      </c>
      <c r="T545" s="1">
        <f t="shared" si="43"/>
        <v>418.76949999999999</v>
      </c>
      <c r="U545" s="1">
        <v>313.72000000000003</v>
      </c>
      <c r="V545" s="3">
        <f>IF(T545=0,"",X545/T545)</f>
        <v>0.25085279610859906</v>
      </c>
      <c r="W545" s="1">
        <v>105.05</v>
      </c>
      <c r="X545" s="1">
        <f>T545-U545</f>
        <v>105.04949999999997</v>
      </c>
      <c r="Y545" s="1" t="s">
        <v>40</v>
      </c>
      <c r="Z545" s="1" t="s">
        <v>41</v>
      </c>
      <c r="AA545" s="1">
        <f t="shared" si="40"/>
        <v>6</v>
      </c>
      <c r="AB545" s="2" t="str">
        <f t="shared" si="44"/>
        <v>Clean</v>
      </c>
      <c r="AC545" s="2"/>
    </row>
    <row r="546" spans="1:29">
      <c r="A546" s="1" t="s">
        <v>1728</v>
      </c>
      <c r="B546" s="2">
        <v>45686</v>
      </c>
      <c r="C546" s="2" t="str">
        <f t="shared" si="41"/>
        <v>January</v>
      </c>
      <c r="D546" s="1">
        <f t="shared" si="42"/>
        <v>2025</v>
      </c>
      <c r="E546" s="2">
        <v>45693</v>
      </c>
      <c r="F546" s="1" t="s">
        <v>1729</v>
      </c>
      <c r="G546" s="1" t="s">
        <v>70</v>
      </c>
      <c r="H546" s="1" t="s">
        <v>32</v>
      </c>
      <c r="I546" s="1" t="s">
        <v>62</v>
      </c>
      <c r="J546" s="1" t="s">
        <v>193</v>
      </c>
      <c r="K546" s="1" t="s">
        <v>194</v>
      </c>
      <c r="L546" s="1" t="s">
        <v>36</v>
      </c>
      <c r="M546" s="1" t="s">
        <v>56</v>
      </c>
      <c r="N546" s="1" t="s">
        <v>1730</v>
      </c>
      <c r="O546" s="1" t="s">
        <v>52</v>
      </c>
      <c r="P546" s="1">
        <v>8</v>
      </c>
      <c r="Q546" s="1">
        <v>3643.62</v>
      </c>
      <c r="R546" s="1">
        <v>0.25</v>
      </c>
      <c r="S546" s="1">
        <v>21861.72</v>
      </c>
      <c r="T546" s="1">
        <f t="shared" si="43"/>
        <v>21861.72</v>
      </c>
      <c r="U546" s="1">
        <v>18464.34</v>
      </c>
      <c r="V546" s="3">
        <f>IF(T546=0,"",X546/T546)</f>
        <v>0.1554031430280875</v>
      </c>
      <c r="W546" s="1">
        <v>3397.38</v>
      </c>
      <c r="X546" s="1">
        <f>T546-U546</f>
        <v>3397.380000000001</v>
      </c>
      <c r="Y546" s="1" t="s">
        <v>40</v>
      </c>
      <c r="Z546" s="1" t="s">
        <v>76</v>
      </c>
      <c r="AA546" s="1">
        <f t="shared" si="40"/>
        <v>7</v>
      </c>
      <c r="AB546" s="2" t="str">
        <f t="shared" si="44"/>
        <v>Clean</v>
      </c>
      <c r="AC546" s="2"/>
    </row>
    <row r="547" spans="1:29">
      <c r="A547" s="1" t="s">
        <v>1731</v>
      </c>
      <c r="B547" s="2">
        <v>45439</v>
      </c>
      <c r="C547" s="2" t="str">
        <f t="shared" si="41"/>
        <v>May</v>
      </c>
      <c r="D547" s="1">
        <f t="shared" si="42"/>
        <v>2024</v>
      </c>
      <c r="E547" s="2">
        <v>45442</v>
      </c>
      <c r="F547" s="1" t="s">
        <v>1732</v>
      </c>
      <c r="G547" s="1" t="s">
        <v>273</v>
      </c>
      <c r="H547" s="1" t="s">
        <v>45</v>
      </c>
      <c r="I547" s="1" t="s">
        <v>46</v>
      </c>
      <c r="J547" s="1" t="s">
        <v>237</v>
      </c>
      <c r="K547" s="1" t="s">
        <v>238</v>
      </c>
      <c r="L547" s="1" t="s">
        <v>36</v>
      </c>
      <c r="M547" s="1" t="s">
        <v>132</v>
      </c>
      <c r="N547" s="1" t="s">
        <v>1733</v>
      </c>
      <c r="O547" s="1" t="s">
        <v>52</v>
      </c>
      <c r="P547" s="1">
        <v>7</v>
      </c>
      <c r="Q547" s="1">
        <v>2900.86</v>
      </c>
      <c r="R547" s="1">
        <v>0.15</v>
      </c>
      <c r="S547" s="1">
        <v>17260.12</v>
      </c>
      <c r="T547" s="1">
        <f t="shared" si="43"/>
        <v>17260.116999999998</v>
      </c>
      <c r="U547" s="1">
        <v>13513.51</v>
      </c>
      <c r="V547" s="3">
        <f>IF(T547=0,"",X547/T547)</f>
        <v>0.21706730029697935</v>
      </c>
      <c r="W547" s="1">
        <v>3746.61</v>
      </c>
      <c r="X547" s="1">
        <f>T547-U547</f>
        <v>3746.6069999999982</v>
      </c>
      <c r="Y547" s="1" t="s">
        <v>40</v>
      </c>
      <c r="Z547" s="1" t="s">
        <v>41</v>
      </c>
      <c r="AA547" s="1">
        <f t="shared" si="40"/>
        <v>3</v>
      </c>
      <c r="AB547" s="2" t="str">
        <f t="shared" si="44"/>
        <v>Clean</v>
      </c>
      <c r="AC547" s="2"/>
    </row>
    <row r="548" spans="1:29">
      <c r="A548" s="1" t="s">
        <v>1734</v>
      </c>
      <c r="B548" s="2">
        <v>45883</v>
      </c>
      <c r="C548" s="2" t="str">
        <f t="shared" si="41"/>
        <v>August</v>
      </c>
      <c r="D548" s="1">
        <f t="shared" si="42"/>
        <v>2025</v>
      </c>
      <c r="E548" s="2">
        <v>45891</v>
      </c>
      <c r="F548" s="1" t="s">
        <v>1735</v>
      </c>
      <c r="G548" s="1" t="s">
        <v>61</v>
      </c>
      <c r="H548" s="1" t="s">
        <v>98</v>
      </c>
      <c r="I548" s="1" t="s">
        <v>71</v>
      </c>
      <c r="J548" s="1" t="s">
        <v>188</v>
      </c>
      <c r="K548" s="1" t="s">
        <v>189</v>
      </c>
      <c r="L548" s="1" t="s">
        <v>36</v>
      </c>
      <c r="M548" s="1" t="s">
        <v>37</v>
      </c>
      <c r="N548" s="1" t="s">
        <v>1736</v>
      </c>
      <c r="O548" s="1" t="s">
        <v>58</v>
      </c>
      <c r="P548" s="1">
        <v>5</v>
      </c>
      <c r="Q548" s="1">
        <v>2567.37</v>
      </c>
      <c r="R548" s="1">
        <v>0.15</v>
      </c>
      <c r="S548" s="1">
        <v>10911.32</v>
      </c>
      <c r="T548" s="1">
        <f t="shared" si="43"/>
        <v>10911.322499999998</v>
      </c>
      <c r="U548" s="1">
        <v>6966.44</v>
      </c>
      <c r="V548" s="3">
        <f>IF(T548=0,"",X548/T548)</f>
        <v>0.36154027158486052</v>
      </c>
      <c r="W548" s="1">
        <v>4395.17</v>
      </c>
      <c r="X548" s="1">
        <f>T548-U548</f>
        <v>3944.8824999999988</v>
      </c>
      <c r="Y548" s="1" t="s">
        <v>40</v>
      </c>
      <c r="Z548" s="1" t="s">
        <v>41</v>
      </c>
      <c r="AA548" s="1">
        <f t="shared" si="40"/>
        <v>8</v>
      </c>
      <c r="AB548" s="2" t="str">
        <f t="shared" si="44"/>
        <v>Clean</v>
      </c>
      <c r="AC548" s="2"/>
    </row>
    <row r="549" spans="1:29">
      <c r="A549" s="1" t="s">
        <v>1737</v>
      </c>
      <c r="B549" s="2">
        <v>45428</v>
      </c>
      <c r="C549" s="2" t="str">
        <f t="shared" si="41"/>
        <v>May</v>
      </c>
      <c r="D549" s="1">
        <f t="shared" si="42"/>
        <v>2024</v>
      </c>
      <c r="E549" s="2">
        <v>45435</v>
      </c>
      <c r="F549" s="1" t="s">
        <v>1738</v>
      </c>
      <c r="G549" s="1" t="s">
        <v>87</v>
      </c>
      <c r="H549" s="1" t="s">
        <v>45</v>
      </c>
      <c r="I549" s="1" t="s">
        <v>33</v>
      </c>
      <c r="J549" s="1" t="s">
        <v>144</v>
      </c>
      <c r="K549" s="1" t="s">
        <v>145</v>
      </c>
      <c r="L549" s="1" t="s">
        <v>82</v>
      </c>
      <c r="M549" s="1" t="s">
        <v>88</v>
      </c>
      <c r="N549" s="1" t="s">
        <v>1739</v>
      </c>
      <c r="O549" s="1" t="s">
        <v>67</v>
      </c>
      <c r="P549" s="1">
        <v>9</v>
      </c>
      <c r="Q549" s="1">
        <v>3722.09</v>
      </c>
      <c r="R549" s="1">
        <v>0.1</v>
      </c>
      <c r="S549" s="1">
        <v>30148.93</v>
      </c>
      <c r="T549" s="1">
        <f t="shared" si="43"/>
        <v>30148.929</v>
      </c>
      <c r="U549" s="1">
        <v>25155.07</v>
      </c>
      <c r="V549" s="3">
        <f>IF(T549=0,"",X549/T549)</f>
        <v>0.16563968159532302</v>
      </c>
      <c r="W549" s="1">
        <v>4993.8599999999997</v>
      </c>
      <c r="X549" s="1">
        <f>T549-U549</f>
        <v>4993.8590000000004</v>
      </c>
      <c r="Y549" s="1" t="s">
        <v>40</v>
      </c>
      <c r="Z549" s="1" t="s">
        <v>41</v>
      </c>
      <c r="AA549" s="1">
        <f t="shared" si="40"/>
        <v>7</v>
      </c>
      <c r="AB549" s="2" t="str">
        <f t="shared" si="44"/>
        <v>Clean</v>
      </c>
      <c r="AC549" s="2"/>
    </row>
    <row r="550" spans="1:29">
      <c r="A550" s="1" t="s">
        <v>1740</v>
      </c>
      <c r="B550" s="2">
        <v>45441</v>
      </c>
      <c r="C550" s="2" t="str">
        <f t="shared" si="41"/>
        <v>May</v>
      </c>
      <c r="D550" s="1">
        <f t="shared" si="42"/>
        <v>2024</v>
      </c>
      <c r="E550" s="2">
        <v>45441</v>
      </c>
      <c r="F550" s="1" t="s">
        <v>1741</v>
      </c>
      <c r="G550" s="1" t="s">
        <v>149</v>
      </c>
      <c r="H550" s="1" t="s">
        <v>98</v>
      </c>
      <c r="I550" s="1" t="s">
        <v>46</v>
      </c>
      <c r="J550" s="1" t="s">
        <v>153</v>
      </c>
      <c r="K550" s="1" t="s">
        <v>154</v>
      </c>
      <c r="L550" s="1" t="s">
        <v>49</v>
      </c>
      <c r="M550" s="1" t="s">
        <v>166</v>
      </c>
      <c r="N550" s="1" t="s">
        <v>1742</v>
      </c>
      <c r="O550" s="1" t="s">
        <v>52</v>
      </c>
      <c r="P550" s="1">
        <v>1</v>
      </c>
      <c r="Q550" s="1">
        <v>1072.01</v>
      </c>
      <c r="R550" s="1">
        <v>0</v>
      </c>
      <c r="S550" s="1">
        <v>1072.01</v>
      </c>
      <c r="T550" s="1">
        <f t="shared" si="43"/>
        <v>1072.01</v>
      </c>
      <c r="U550" s="1">
        <v>852.62</v>
      </c>
      <c r="V550" s="3">
        <f>IF(T550=0,"",X550/T550)</f>
        <v>0.20465294167032022</v>
      </c>
      <c r="W550" s="1">
        <v>219.39</v>
      </c>
      <c r="X550" s="1">
        <f>T550-U550</f>
        <v>219.39</v>
      </c>
      <c r="Y550" s="1" t="s">
        <v>119</v>
      </c>
      <c r="Z550" s="1" t="s">
        <v>76</v>
      </c>
      <c r="AA550" s="1">
        <f t="shared" si="40"/>
        <v>0</v>
      </c>
      <c r="AB550" s="2" t="str">
        <f t="shared" si="44"/>
        <v>Clean</v>
      </c>
      <c r="AC550" s="2"/>
    </row>
    <row r="551" spans="1:29">
      <c r="A551" s="1" t="s">
        <v>1743</v>
      </c>
      <c r="B551" s="2">
        <v>45941</v>
      </c>
      <c r="C551" s="2" t="str">
        <f t="shared" si="41"/>
        <v>October</v>
      </c>
      <c r="D551" s="1">
        <f t="shared" si="42"/>
        <v>2025</v>
      </c>
      <c r="E551" s="2">
        <v>45943</v>
      </c>
      <c r="F551" s="1" t="s">
        <v>1744</v>
      </c>
      <c r="G551" s="1" t="s">
        <v>44</v>
      </c>
      <c r="H551" s="1" t="s">
        <v>98</v>
      </c>
      <c r="I551" s="1" t="s">
        <v>62</v>
      </c>
      <c r="J551" s="1" t="s">
        <v>63</v>
      </c>
      <c r="K551" s="1" t="s">
        <v>64</v>
      </c>
      <c r="L551" s="1" t="s">
        <v>36</v>
      </c>
      <c r="M551" s="1" t="s">
        <v>56</v>
      </c>
      <c r="N551" s="1" t="s">
        <v>1745</v>
      </c>
      <c r="O551" s="1" t="s">
        <v>39</v>
      </c>
      <c r="P551" s="1">
        <v>3</v>
      </c>
      <c r="Q551" s="1">
        <v>3804.27</v>
      </c>
      <c r="R551" s="1">
        <v>0.1</v>
      </c>
      <c r="S551" s="1">
        <v>10271.530000000001</v>
      </c>
      <c r="T551" s="1">
        <f t="shared" si="43"/>
        <v>10271.529</v>
      </c>
      <c r="U551" s="1">
        <v>8272.24</v>
      </c>
      <c r="V551" s="3">
        <f>IF(T551=0,"",X551/T551)</f>
        <v>0.19464375751652949</v>
      </c>
      <c r="W551" s="1">
        <v>1999.29</v>
      </c>
      <c r="X551" s="1">
        <f>T551-U551</f>
        <v>1999.2890000000007</v>
      </c>
      <c r="Y551" s="1" t="s">
        <v>40</v>
      </c>
      <c r="Z551" s="1" t="s">
        <v>41</v>
      </c>
      <c r="AA551" s="1">
        <f t="shared" si="40"/>
        <v>2</v>
      </c>
      <c r="AB551" s="2" t="str">
        <f t="shared" si="44"/>
        <v>Clean</v>
      </c>
      <c r="AC551" s="2"/>
    </row>
    <row r="552" spans="1:29">
      <c r="A552" s="1" t="s">
        <v>1746</v>
      </c>
      <c r="B552" s="2">
        <v>45330</v>
      </c>
      <c r="C552" s="2" t="str">
        <f t="shared" si="41"/>
        <v>February</v>
      </c>
      <c r="D552" s="1">
        <f t="shared" si="42"/>
        <v>2024</v>
      </c>
      <c r="E552" s="2">
        <v>45514</v>
      </c>
      <c r="F552" s="1" t="s">
        <v>1747</v>
      </c>
      <c r="G552" s="1" t="s">
        <v>44</v>
      </c>
      <c r="H552" s="1" t="s">
        <v>103</v>
      </c>
      <c r="I552" s="1" t="s">
        <v>46</v>
      </c>
      <c r="J552" s="1" t="s">
        <v>47</v>
      </c>
      <c r="K552" s="1" t="s">
        <v>48</v>
      </c>
      <c r="L552" s="1" t="s">
        <v>82</v>
      </c>
      <c r="M552" s="1" t="s">
        <v>83</v>
      </c>
      <c r="N552" s="1" t="s">
        <v>1748</v>
      </c>
      <c r="O552" s="1" t="s">
        <v>67</v>
      </c>
      <c r="P552" s="1">
        <v>6</v>
      </c>
      <c r="Q552" s="1">
        <v>2126.44</v>
      </c>
      <c r="R552" s="1">
        <v>0.2</v>
      </c>
      <c r="S552" s="1">
        <v>10206.91</v>
      </c>
      <c r="T552" s="1">
        <f t="shared" si="43"/>
        <v>10206.912</v>
      </c>
      <c r="U552" s="1">
        <v>6764.53</v>
      </c>
      <c r="V552" s="3">
        <f>IF(T552=0,"",X552/T552)</f>
        <v>0.33725988820125036</v>
      </c>
      <c r="W552" s="1">
        <v>3442.38</v>
      </c>
      <c r="X552" s="1">
        <f>T552-U552</f>
        <v>3442.3820000000005</v>
      </c>
      <c r="Y552" s="1" t="s">
        <v>40</v>
      </c>
      <c r="Z552" s="1" t="s">
        <v>41</v>
      </c>
      <c r="AA552" s="1">
        <f t="shared" si="40"/>
        <v>184</v>
      </c>
      <c r="AB552" s="2" t="str">
        <f t="shared" si="44"/>
        <v>Clean</v>
      </c>
      <c r="AC552" s="2"/>
    </row>
    <row r="553" spans="1:29">
      <c r="A553" s="1" t="s">
        <v>1749</v>
      </c>
      <c r="B553" s="2">
        <v>45349</v>
      </c>
      <c r="C553" s="2" t="str">
        <f t="shared" si="41"/>
        <v>February</v>
      </c>
      <c r="D553" s="1">
        <f t="shared" si="42"/>
        <v>2024</v>
      </c>
      <c r="E553" s="2">
        <v>45349</v>
      </c>
      <c r="F553" s="1" t="s">
        <v>1750</v>
      </c>
      <c r="G553" s="1" t="s">
        <v>140</v>
      </c>
      <c r="H553" s="1" t="s">
        <v>32</v>
      </c>
      <c r="I553" s="1" t="s">
        <v>46</v>
      </c>
      <c r="J553" s="1" t="s">
        <v>237</v>
      </c>
      <c r="K553" s="1" t="s">
        <v>238</v>
      </c>
      <c r="L553" s="1" t="s">
        <v>49</v>
      </c>
      <c r="M553" s="1" t="s">
        <v>74</v>
      </c>
      <c r="N553" s="1" t="s">
        <v>1751</v>
      </c>
      <c r="O553" s="1" t="s">
        <v>39</v>
      </c>
      <c r="P553" s="1">
        <v>3</v>
      </c>
      <c r="Q553" s="1">
        <v>3148.09</v>
      </c>
      <c r="R553" s="1">
        <v>0.15</v>
      </c>
      <c r="S553" s="1">
        <v>8027.63</v>
      </c>
      <c r="T553" s="1">
        <f t="shared" si="43"/>
        <v>8027.6295</v>
      </c>
      <c r="U553" s="1">
        <v>5496.09</v>
      </c>
      <c r="V553" s="3">
        <f>IF(T553=0,"",X553/T553)</f>
        <v>0.31535330572991688</v>
      </c>
      <c r="W553" s="1">
        <v>2531.54</v>
      </c>
      <c r="X553" s="1">
        <f>T553-U553</f>
        <v>2531.5394999999999</v>
      </c>
      <c r="Y553" s="1" t="s">
        <v>40</v>
      </c>
      <c r="Z553" s="1" t="s">
        <v>41</v>
      </c>
      <c r="AA553" s="1">
        <f t="shared" si="40"/>
        <v>0</v>
      </c>
      <c r="AB553" s="2" t="str">
        <f t="shared" si="44"/>
        <v>Clean</v>
      </c>
      <c r="AC553" s="2"/>
    </row>
    <row r="554" spans="1:29">
      <c r="A554" s="1" t="s">
        <v>1752</v>
      </c>
      <c r="B554" s="2">
        <v>45681</v>
      </c>
      <c r="C554" s="2" t="str">
        <f t="shared" si="41"/>
        <v>January</v>
      </c>
      <c r="D554" s="1">
        <f t="shared" si="42"/>
        <v>2025</v>
      </c>
      <c r="E554" s="2">
        <v>45687</v>
      </c>
      <c r="F554" s="1" t="s">
        <v>1753</v>
      </c>
      <c r="G554" s="1" t="s">
        <v>70</v>
      </c>
      <c r="H554" s="1" t="s">
        <v>98</v>
      </c>
      <c r="I554" s="1" t="s">
        <v>46</v>
      </c>
      <c r="J554" s="1" t="s">
        <v>107</v>
      </c>
      <c r="K554" s="1" t="s">
        <v>108</v>
      </c>
      <c r="L554" s="1" t="s">
        <v>82</v>
      </c>
      <c r="M554" s="1" t="s">
        <v>88</v>
      </c>
      <c r="N554" s="1" t="s">
        <v>1754</v>
      </c>
      <c r="O554" s="1" t="s">
        <v>67</v>
      </c>
      <c r="P554" s="1">
        <v>8</v>
      </c>
      <c r="Q554" s="1">
        <v>312.52999999999997</v>
      </c>
      <c r="R554" s="1">
        <v>0.7</v>
      </c>
      <c r="S554" s="1">
        <v>1875.18</v>
      </c>
      <c r="T554" s="1">
        <f t="shared" si="43"/>
        <v>750.072</v>
      </c>
      <c r="U554" s="1">
        <v>1579.17</v>
      </c>
      <c r="V554" s="3">
        <f>IF(T554=0,"",X554/T554)</f>
        <v>-1.1053578856429784</v>
      </c>
      <c r="W554" s="1">
        <v>296.01</v>
      </c>
      <c r="X554" s="1">
        <f>T554-U554</f>
        <v>-829.09800000000007</v>
      </c>
      <c r="Y554" s="1" t="s">
        <v>40</v>
      </c>
      <c r="Z554" s="1" t="s">
        <v>41</v>
      </c>
      <c r="AA554" s="1">
        <f t="shared" si="40"/>
        <v>6</v>
      </c>
      <c r="AB554" s="2" t="str">
        <f t="shared" si="44"/>
        <v>Clean</v>
      </c>
      <c r="AC554" s="2"/>
    </row>
    <row r="555" spans="1:29">
      <c r="A555" s="1" t="s">
        <v>1755</v>
      </c>
      <c r="B555" s="2">
        <v>45772</v>
      </c>
      <c r="C555" s="2" t="str">
        <f t="shared" si="41"/>
        <v>April</v>
      </c>
      <c r="D555" s="1">
        <f t="shared" si="42"/>
        <v>2025</v>
      </c>
      <c r="E555" s="2">
        <v>45775</v>
      </c>
      <c r="F555" s="1" t="s">
        <v>1756</v>
      </c>
      <c r="G555" s="1" t="s">
        <v>136</v>
      </c>
      <c r="H555" s="1" t="s">
        <v>45</v>
      </c>
      <c r="I555" s="1" t="s">
        <v>71</v>
      </c>
      <c r="J555" s="1" t="s">
        <v>188</v>
      </c>
      <c r="K555" s="1" t="s">
        <v>189</v>
      </c>
      <c r="L555" s="1" t="s">
        <v>36</v>
      </c>
      <c r="M555" s="1" t="s">
        <v>132</v>
      </c>
      <c r="N555" s="1" t="s">
        <v>1757</v>
      </c>
      <c r="O555" s="1" t="s">
        <v>58</v>
      </c>
      <c r="P555" s="1">
        <v>9</v>
      </c>
      <c r="Q555" s="1">
        <v>1294.1099999999999</v>
      </c>
      <c r="R555" s="1">
        <v>0.25</v>
      </c>
      <c r="S555" s="1">
        <v>8735.24</v>
      </c>
      <c r="T555" s="1">
        <f t="shared" si="43"/>
        <v>8735.2425000000003</v>
      </c>
      <c r="U555" s="1">
        <v>6620.07</v>
      </c>
      <c r="V555" s="3">
        <f>IF(T555=0,"",X555/T555)</f>
        <v>0.24214239043735769</v>
      </c>
      <c r="W555" s="1">
        <v>2115.17</v>
      </c>
      <c r="X555" s="1">
        <f>T555-U555</f>
        <v>2115.1725000000006</v>
      </c>
      <c r="Y555" s="1" t="s">
        <v>40</v>
      </c>
      <c r="Z555" s="1" t="s">
        <v>41</v>
      </c>
      <c r="AA555" s="1">
        <f t="shared" si="40"/>
        <v>3</v>
      </c>
      <c r="AB555" s="2" t="str">
        <f t="shared" si="44"/>
        <v>Clean</v>
      </c>
      <c r="AC555" s="2"/>
    </row>
    <row r="556" spans="1:29">
      <c r="A556" s="1" t="s">
        <v>1758</v>
      </c>
      <c r="B556" s="2">
        <v>45636</v>
      </c>
      <c r="C556" s="2" t="str">
        <f t="shared" si="41"/>
        <v>December</v>
      </c>
      <c r="D556" s="1">
        <f t="shared" si="42"/>
        <v>2024</v>
      </c>
      <c r="E556" s="2">
        <v>45582</v>
      </c>
      <c r="F556" s="1" t="s">
        <v>1759</v>
      </c>
      <c r="G556" s="1" t="s">
        <v>61</v>
      </c>
      <c r="H556" s="1" t="s">
        <v>32</v>
      </c>
      <c r="I556" s="1" t="s">
        <v>213</v>
      </c>
      <c r="J556" s="1" t="s">
        <v>237</v>
      </c>
      <c r="K556" s="1" t="s">
        <v>238</v>
      </c>
      <c r="L556" s="1" t="s">
        <v>49</v>
      </c>
      <c r="M556" s="1" t="s">
        <v>65</v>
      </c>
      <c r="N556" s="1" t="s">
        <v>1760</v>
      </c>
      <c r="O556" s="1" t="s">
        <v>67</v>
      </c>
      <c r="P556" s="1">
        <v>4</v>
      </c>
      <c r="Q556" s="1">
        <v>1071.22</v>
      </c>
      <c r="R556" s="1">
        <v>0.05</v>
      </c>
      <c r="S556" s="1">
        <v>4070.64</v>
      </c>
      <c r="T556" s="1">
        <f t="shared" si="43"/>
        <v>4070.636</v>
      </c>
      <c r="U556" s="1">
        <v>2831.62</v>
      </c>
      <c r="V556" s="3">
        <f>IF(T556=0,"",X556/T556)</f>
        <v>0.30437897173807732</v>
      </c>
      <c r="W556" s="1">
        <v>1239.02</v>
      </c>
      <c r="X556" s="1">
        <f>T556-U556</f>
        <v>1239.0160000000001</v>
      </c>
      <c r="Y556" s="1" t="s">
        <v>40</v>
      </c>
      <c r="Z556" s="1" t="s">
        <v>41</v>
      </c>
      <c r="AA556" s="4">
        <f t="shared" si="40"/>
        <v>-54</v>
      </c>
      <c r="AB556" s="2" t="s">
        <v>459</v>
      </c>
      <c r="AC556" s="2"/>
    </row>
    <row r="557" spans="1:29">
      <c r="A557" s="1" t="s">
        <v>1761</v>
      </c>
      <c r="B557" s="2">
        <v>45749</v>
      </c>
      <c r="C557" s="2" t="str">
        <f t="shared" si="41"/>
        <v>April</v>
      </c>
      <c r="D557" s="1">
        <f t="shared" si="42"/>
        <v>2025</v>
      </c>
      <c r="E557" s="2">
        <v>45932</v>
      </c>
      <c r="F557" s="1" t="s">
        <v>1762</v>
      </c>
      <c r="G557" s="1" t="s">
        <v>70</v>
      </c>
      <c r="H557" s="1" t="s">
        <v>45</v>
      </c>
      <c r="I557" s="1" t="s">
        <v>62</v>
      </c>
      <c r="J557" s="1" t="s">
        <v>63</v>
      </c>
      <c r="K557" s="1" t="s">
        <v>64</v>
      </c>
      <c r="L557" s="1" t="s">
        <v>36</v>
      </c>
      <c r="M557" s="1" t="s">
        <v>132</v>
      </c>
      <c r="N557" s="1" t="s">
        <v>1763</v>
      </c>
      <c r="O557" s="1" t="s">
        <v>67</v>
      </c>
      <c r="P557" s="1">
        <v>6</v>
      </c>
      <c r="Q557" s="1">
        <v>1042.8</v>
      </c>
      <c r="R557" s="1">
        <v>0.05</v>
      </c>
      <c r="S557" s="1">
        <v>5943.96</v>
      </c>
      <c r="T557" s="1">
        <f t="shared" si="43"/>
        <v>5943.9599999999991</v>
      </c>
      <c r="U557" s="1">
        <v>3604.14</v>
      </c>
      <c r="V557" s="3">
        <f>IF(T557=0,"",X557/T557)</f>
        <v>0.39364665980255581</v>
      </c>
      <c r="W557" s="1">
        <v>2339.8200000000002</v>
      </c>
      <c r="X557" s="1">
        <f>T557-U557</f>
        <v>2339.8199999999993</v>
      </c>
      <c r="Y557" s="1" t="s">
        <v>40</v>
      </c>
      <c r="Z557" s="1" t="s">
        <v>41</v>
      </c>
      <c r="AA557" s="1">
        <f t="shared" si="40"/>
        <v>183</v>
      </c>
      <c r="AB557" s="2" t="str">
        <f t="shared" si="44"/>
        <v>Clean</v>
      </c>
      <c r="AC557" s="2"/>
    </row>
    <row r="558" spans="1:29">
      <c r="A558" s="1" t="s">
        <v>1764</v>
      </c>
      <c r="B558" s="2">
        <v>45466</v>
      </c>
      <c r="C558" s="2" t="str">
        <f t="shared" si="41"/>
        <v>June</v>
      </c>
      <c r="D558" s="1">
        <f t="shared" si="42"/>
        <v>2024</v>
      </c>
      <c r="E558" s="2">
        <v>45472</v>
      </c>
      <c r="F558" s="1" t="s">
        <v>1765</v>
      </c>
      <c r="G558" s="1" t="s">
        <v>87</v>
      </c>
      <c r="H558" s="1" t="s">
        <v>32</v>
      </c>
      <c r="I558" s="1" t="s">
        <v>33</v>
      </c>
      <c r="J558" s="1" t="s">
        <v>245</v>
      </c>
      <c r="K558" s="1" t="s">
        <v>246</v>
      </c>
      <c r="L558" s="1" t="s">
        <v>49</v>
      </c>
      <c r="M558" s="1" t="s">
        <v>50</v>
      </c>
      <c r="N558" s="1" t="s">
        <v>1766</v>
      </c>
      <c r="O558" s="1" t="s">
        <v>58</v>
      </c>
      <c r="P558" s="1">
        <v>1</v>
      </c>
      <c r="Q558" s="1">
        <v>4426.66</v>
      </c>
      <c r="R558" s="1">
        <v>0</v>
      </c>
      <c r="S558" s="1">
        <v>4426.66</v>
      </c>
      <c r="T558" s="1">
        <f t="shared" si="43"/>
        <v>4426.66</v>
      </c>
      <c r="U558" s="1">
        <v>3035.2</v>
      </c>
      <c r="V558" s="3">
        <f>IF(T558=0,"",X558/T558)</f>
        <v>0.31433631677156143</v>
      </c>
      <c r="W558" s="1">
        <v>1816.23</v>
      </c>
      <c r="X558" s="1">
        <f>T558-U558</f>
        <v>1391.46</v>
      </c>
      <c r="Y558" s="1" t="s">
        <v>40</v>
      </c>
      <c r="Z558" s="1" t="s">
        <v>111</v>
      </c>
      <c r="AA558" s="1">
        <f t="shared" si="40"/>
        <v>6</v>
      </c>
      <c r="AB558" s="2" t="str">
        <f t="shared" si="44"/>
        <v>Clean</v>
      </c>
      <c r="AC558" s="2"/>
    </row>
    <row r="559" spans="1:29">
      <c r="A559" s="1" t="s">
        <v>1767</v>
      </c>
      <c r="B559" s="2">
        <v>45509</v>
      </c>
      <c r="C559" s="2" t="str">
        <f t="shared" si="41"/>
        <v>August</v>
      </c>
      <c r="D559" s="1">
        <f t="shared" si="42"/>
        <v>2024</v>
      </c>
      <c r="E559" s="2">
        <v>45426</v>
      </c>
      <c r="F559" s="1" t="s">
        <v>1768</v>
      </c>
      <c r="G559" s="1" t="s">
        <v>79</v>
      </c>
      <c r="H559" s="1" t="s">
        <v>103</v>
      </c>
      <c r="I559" s="1" t="s">
        <v>33</v>
      </c>
      <c r="J559" s="1" t="s">
        <v>245</v>
      </c>
      <c r="K559" s="1" t="s">
        <v>246</v>
      </c>
      <c r="L559" s="1" t="s">
        <v>82</v>
      </c>
      <c r="M559" s="1" t="s">
        <v>179</v>
      </c>
      <c r="N559" s="1" t="s">
        <v>1769</v>
      </c>
      <c r="O559" s="1" t="s">
        <v>58</v>
      </c>
      <c r="P559" s="1">
        <v>9</v>
      </c>
      <c r="Q559" s="1">
        <v>3769.46</v>
      </c>
      <c r="R559" s="1">
        <v>0.05</v>
      </c>
      <c r="S559" s="1">
        <v>32228.880000000001</v>
      </c>
      <c r="T559" s="1">
        <f t="shared" si="43"/>
        <v>32228.882999999998</v>
      </c>
      <c r="U559" s="1">
        <v>24971.360000000001</v>
      </c>
      <c r="V559" s="3">
        <f>IF(T559=0,"",X559/T559)</f>
        <v>0.22518692317074712</v>
      </c>
      <c r="W559" s="1">
        <v>7257.52</v>
      </c>
      <c r="X559" s="1">
        <f>T559-U559</f>
        <v>7257.5229999999974</v>
      </c>
      <c r="Y559" s="1" t="s">
        <v>40</v>
      </c>
      <c r="Z559" s="1" t="s">
        <v>76</v>
      </c>
      <c r="AA559" s="4">
        <f t="shared" si="40"/>
        <v>-83</v>
      </c>
      <c r="AB559" s="2" t="str">
        <f t="shared" si="44"/>
        <v>Invalid</v>
      </c>
      <c r="AC559" s="2"/>
    </row>
    <row r="560" spans="1:29">
      <c r="A560" s="1" t="s">
        <v>1770</v>
      </c>
      <c r="B560" s="2">
        <v>45756</v>
      </c>
      <c r="C560" s="2" t="str">
        <f t="shared" si="41"/>
        <v>April</v>
      </c>
      <c r="D560" s="1">
        <f t="shared" si="42"/>
        <v>2025</v>
      </c>
      <c r="E560" s="2">
        <v>45904</v>
      </c>
      <c r="F560" s="1" t="s">
        <v>1771</v>
      </c>
      <c r="G560" s="1" t="s">
        <v>97</v>
      </c>
      <c r="H560" s="1" t="s">
        <v>98</v>
      </c>
      <c r="I560" s="1" t="s">
        <v>33</v>
      </c>
      <c r="J560" s="1" t="s">
        <v>130</v>
      </c>
      <c r="K560" s="1" t="s">
        <v>131</v>
      </c>
      <c r="L560" s="1" t="s">
        <v>82</v>
      </c>
      <c r="M560" s="1" t="s">
        <v>283</v>
      </c>
      <c r="N560" s="1" t="s">
        <v>1772</v>
      </c>
      <c r="O560" s="1" t="s">
        <v>58</v>
      </c>
      <c r="P560" s="1">
        <v>8</v>
      </c>
      <c r="Q560" s="1">
        <v>3079.95</v>
      </c>
      <c r="R560" s="1">
        <v>0.2</v>
      </c>
      <c r="S560" s="1">
        <v>19711.68</v>
      </c>
      <c r="T560" s="1">
        <f t="shared" si="43"/>
        <v>19711.68</v>
      </c>
      <c r="U560" s="1">
        <v>14461.8</v>
      </c>
      <c r="V560" s="3">
        <f>IF(T560=0,"",X560/T560)</f>
        <v>0.26633346320557155</v>
      </c>
      <c r="W560" s="1">
        <v>5249.88</v>
      </c>
      <c r="X560" s="1">
        <f>T560-U560</f>
        <v>5249.880000000001</v>
      </c>
      <c r="Y560" s="1" t="s">
        <v>40</v>
      </c>
      <c r="Z560" s="1" t="s">
        <v>41</v>
      </c>
      <c r="AA560" s="1">
        <f t="shared" si="40"/>
        <v>148</v>
      </c>
      <c r="AB560" s="2" t="str">
        <f t="shared" si="44"/>
        <v>Clean</v>
      </c>
      <c r="AC560" s="2"/>
    </row>
    <row r="561" spans="1:29">
      <c r="A561" s="1" t="s">
        <v>1773</v>
      </c>
      <c r="B561" s="2">
        <v>45930</v>
      </c>
      <c r="C561" s="2" t="str">
        <f t="shared" si="41"/>
        <v>September</v>
      </c>
      <c r="D561" s="1">
        <f t="shared" si="42"/>
        <v>2025</v>
      </c>
      <c r="E561" s="2">
        <v>45848</v>
      </c>
      <c r="F561" s="1" t="s">
        <v>1774</v>
      </c>
      <c r="G561" s="1" t="s">
        <v>170</v>
      </c>
      <c r="H561" s="1" t="s">
        <v>98</v>
      </c>
      <c r="I561" s="1" t="s">
        <v>46</v>
      </c>
      <c r="J561" s="1" t="s">
        <v>153</v>
      </c>
      <c r="K561" s="1" t="s">
        <v>154</v>
      </c>
      <c r="L561" s="1" t="s">
        <v>82</v>
      </c>
      <c r="M561" s="1" t="s">
        <v>88</v>
      </c>
      <c r="N561" s="1" t="s">
        <v>1775</v>
      </c>
      <c r="O561" s="1" t="s">
        <v>39</v>
      </c>
      <c r="P561" s="1">
        <v>5</v>
      </c>
      <c r="Q561" s="1">
        <v>3277.82</v>
      </c>
      <c r="R561" s="1">
        <v>0.1</v>
      </c>
      <c r="S561" s="1">
        <v>14750.19</v>
      </c>
      <c r="T561" s="1">
        <f t="shared" si="43"/>
        <v>14750.190000000002</v>
      </c>
      <c r="U561" s="1">
        <v>9482.58</v>
      </c>
      <c r="V561" s="3">
        <f>IF(T561=0,"",X561/T561)</f>
        <v>0.35712150148574368</v>
      </c>
      <c r="W561" s="1">
        <v>5267.61</v>
      </c>
      <c r="X561" s="1">
        <f>T561-U561</f>
        <v>5267.6100000000024</v>
      </c>
      <c r="Y561" s="1" t="s">
        <v>40</v>
      </c>
      <c r="Z561" s="1" t="s">
        <v>111</v>
      </c>
      <c r="AA561" s="4">
        <f t="shared" si="40"/>
        <v>-82</v>
      </c>
      <c r="AB561" s="2" t="str">
        <f t="shared" si="44"/>
        <v>Invalid</v>
      </c>
      <c r="AC561" s="2"/>
    </row>
    <row r="562" spans="1:29">
      <c r="A562" s="1" t="s">
        <v>1776</v>
      </c>
      <c r="B562" s="2">
        <v>45307</v>
      </c>
      <c r="C562" s="2" t="str">
        <f t="shared" si="41"/>
        <v>January</v>
      </c>
      <c r="D562" s="1">
        <f t="shared" si="42"/>
        <v>2024</v>
      </c>
      <c r="E562" s="2">
        <v>45313</v>
      </c>
      <c r="F562" s="1" t="s">
        <v>1777</v>
      </c>
      <c r="G562" s="1" t="s">
        <v>61</v>
      </c>
      <c r="H562" s="1" t="s">
        <v>32</v>
      </c>
      <c r="I562" s="1" t="s">
        <v>71</v>
      </c>
      <c r="J562" s="1" t="s">
        <v>198</v>
      </c>
      <c r="K562" s="1" t="s">
        <v>199</v>
      </c>
      <c r="L562" s="1" t="s">
        <v>36</v>
      </c>
      <c r="M562" s="1" t="s">
        <v>132</v>
      </c>
      <c r="N562" s="1" t="s">
        <v>1778</v>
      </c>
      <c r="O562" s="1" t="s">
        <v>67</v>
      </c>
      <c r="P562" s="1">
        <v>4</v>
      </c>
      <c r="Q562" s="1">
        <v>282.52999999999997</v>
      </c>
      <c r="R562" s="1">
        <v>0</v>
      </c>
      <c r="S562" s="1">
        <v>1130.1199999999999</v>
      </c>
      <c r="T562" s="1">
        <f t="shared" si="43"/>
        <v>1130.1199999999999</v>
      </c>
      <c r="U562" s="1">
        <v>848.62</v>
      </c>
      <c r="V562" s="3">
        <f>IF(T562=0,"",X562/T562)</f>
        <v>0.249088592361873</v>
      </c>
      <c r="W562" s="1">
        <v>281.5</v>
      </c>
      <c r="X562" s="1">
        <f>T562-U562</f>
        <v>281.49999999999989</v>
      </c>
      <c r="Y562" s="1" t="s">
        <v>40</v>
      </c>
      <c r="Z562" s="1" t="s">
        <v>76</v>
      </c>
      <c r="AA562" s="1">
        <f t="shared" si="40"/>
        <v>6</v>
      </c>
      <c r="AB562" s="2" t="str">
        <f t="shared" si="44"/>
        <v>Clean</v>
      </c>
      <c r="AC562" s="2"/>
    </row>
    <row r="563" spans="1:29">
      <c r="A563" s="1" t="s">
        <v>1779</v>
      </c>
      <c r="B563" s="2">
        <v>45852</v>
      </c>
      <c r="C563" s="2" t="str">
        <f t="shared" si="41"/>
        <v>July</v>
      </c>
      <c r="D563" s="1">
        <f t="shared" si="42"/>
        <v>2025</v>
      </c>
      <c r="E563" s="2">
        <v>45856</v>
      </c>
      <c r="F563" s="1" t="s">
        <v>1780</v>
      </c>
      <c r="G563" s="1" t="s">
        <v>97</v>
      </c>
      <c r="H563" s="1" t="s">
        <v>32</v>
      </c>
      <c r="I563" s="1" t="s">
        <v>33</v>
      </c>
      <c r="J563" s="1" t="s">
        <v>130</v>
      </c>
      <c r="K563" s="1" t="s">
        <v>131</v>
      </c>
      <c r="L563" s="1" t="s">
        <v>82</v>
      </c>
      <c r="M563" s="1" t="s">
        <v>88</v>
      </c>
      <c r="N563" s="1" t="s">
        <v>1781</v>
      </c>
      <c r="O563" s="1" t="s">
        <v>58</v>
      </c>
      <c r="P563" s="1">
        <v>4</v>
      </c>
      <c r="Q563" s="1">
        <v>725.22</v>
      </c>
      <c r="R563" s="1">
        <v>0</v>
      </c>
      <c r="S563" s="1">
        <v>2900.88</v>
      </c>
      <c r="T563" s="1">
        <f t="shared" si="43"/>
        <v>2900.88</v>
      </c>
      <c r="U563" s="1">
        <v>2391.85</v>
      </c>
      <c r="V563" s="3">
        <f>IF(T563=0,"",X563/T563)</f>
        <v>0.17547433882132324</v>
      </c>
      <c r="W563" s="1">
        <v>509.03</v>
      </c>
      <c r="X563" s="1">
        <f>T563-U563</f>
        <v>509.0300000000002</v>
      </c>
      <c r="Y563" s="1" t="s">
        <v>119</v>
      </c>
      <c r="Z563" s="1" t="s">
        <v>111</v>
      </c>
      <c r="AA563" s="1">
        <f t="shared" si="40"/>
        <v>4</v>
      </c>
      <c r="AB563" s="2" t="str">
        <f t="shared" si="44"/>
        <v>Clean</v>
      </c>
      <c r="AC563" s="2"/>
    </row>
    <row r="564" spans="1:29">
      <c r="A564" s="1" t="s">
        <v>1782</v>
      </c>
      <c r="B564" s="2">
        <v>45570</v>
      </c>
      <c r="C564" s="2" t="str">
        <f t="shared" si="41"/>
        <v>October</v>
      </c>
      <c r="D564" s="1">
        <f t="shared" si="42"/>
        <v>2024</v>
      </c>
      <c r="E564" s="2">
        <v>45428</v>
      </c>
      <c r="F564" s="1" t="s">
        <v>1783</v>
      </c>
      <c r="G564" s="1" t="s">
        <v>31</v>
      </c>
      <c r="H564" s="1" t="s">
        <v>32</v>
      </c>
      <c r="I564" s="1" t="s">
        <v>33</v>
      </c>
      <c r="J564" s="1" t="s">
        <v>130</v>
      </c>
      <c r="K564" s="1" t="s">
        <v>131</v>
      </c>
      <c r="L564" s="1" t="s">
        <v>36</v>
      </c>
      <c r="M564" s="1" t="s">
        <v>161</v>
      </c>
      <c r="N564" s="1" t="s">
        <v>1784</v>
      </c>
      <c r="O564" s="1" t="s">
        <v>52</v>
      </c>
      <c r="P564" s="1">
        <v>7</v>
      </c>
      <c r="Q564" s="1">
        <v>121.54</v>
      </c>
      <c r="R564" s="1">
        <v>0.2</v>
      </c>
      <c r="S564" s="1">
        <v>680.62</v>
      </c>
      <c r="T564" s="1">
        <f t="shared" si="43"/>
        <v>680.62400000000014</v>
      </c>
      <c r="U564" s="1">
        <v>463.49</v>
      </c>
      <c r="V564" s="3">
        <f>IF(T564=0,"",X564/T564)</f>
        <v>0.31902195632243363</v>
      </c>
      <c r="W564" s="1">
        <v>217.13</v>
      </c>
      <c r="X564" s="1">
        <f>T564-U564</f>
        <v>217.13400000000013</v>
      </c>
      <c r="Y564" s="1" t="s">
        <v>163</v>
      </c>
      <c r="Z564" s="1" t="s">
        <v>111</v>
      </c>
      <c r="AA564" s="4">
        <f t="shared" si="40"/>
        <v>-142</v>
      </c>
      <c r="AB564" s="2" t="str">
        <f t="shared" si="44"/>
        <v>Invalid</v>
      </c>
      <c r="AC564" s="2"/>
    </row>
    <row r="565" spans="1:29">
      <c r="A565" s="1" t="s">
        <v>1785</v>
      </c>
      <c r="B565" s="2">
        <v>45418</v>
      </c>
      <c r="C565" s="2" t="str">
        <f t="shared" si="41"/>
        <v>May</v>
      </c>
      <c r="D565" s="1">
        <f t="shared" si="42"/>
        <v>2024</v>
      </c>
      <c r="E565" s="2">
        <v>45631</v>
      </c>
      <c r="F565" s="1" t="s">
        <v>1786</v>
      </c>
      <c r="G565" s="1" t="s">
        <v>61</v>
      </c>
      <c r="H565" s="1" t="s">
        <v>98</v>
      </c>
      <c r="I565" s="1" t="s">
        <v>71</v>
      </c>
      <c r="J565" s="1" t="s">
        <v>198</v>
      </c>
      <c r="K565" s="1" t="s">
        <v>199</v>
      </c>
      <c r="L565" s="1" t="s">
        <v>49</v>
      </c>
      <c r="M565" s="1" t="s">
        <v>50</v>
      </c>
      <c r="N565" s="1" t="s">
        <v>1787</v>
      </c>
      <c r="O565" s="1" t="s">
        <v>67</v>
      </c>
      <c r="P565" s="1">
        <v>9</v>
      </c>
      <c r="Q565" s="1">
        <v>790.97</v>
      </c>
      <c r="R565" s="1">
        <v>0.2</v>
      </c>
      <c r="S565" s="1">
        <v>5694.98</v>
      </c>
      <c r="T565" s="1">
        <f t="shared" si="43"/>
        <v>5694.9840000000004</v>
      </c>
      <c r="U565" s="1">
        <v>4618.33</v>
      </c>
      <c r="V565" s="3">
        <f>IF(T565=0,"",X565/T565)</f>
        <v>0.1890530333360024</v>
      </c>
      <c r="W565" s="1">
        <v>1076.6500000000001</v>
      </c>
      <c r="X565" s="1">
        <f>T565-U565</f>
        <v>1076.6540000000005</v>
      </c>
      <c r="Y565" s="1" t="s">
        <v>119</v>
      </c>
      <c r="Z565" s="1" t="s">
        <v>76</v>
      </c>
      <c r="AA565" s="1">
        <f t="shared" si="40"/>
        <v>213</v>
      </c>
      <c r="AB565" s="2" t="str">
        <f t="shared" si="44"/>
        <v>Clean</v>
      </c>
      <c r="AC565" s="2"/>
    </row>
    <row r="566" spans="1:29">
      <c r="A566" s="1" t="s">
        <v>1788</v>
      </c>
      <c r="B566" s="2">
        <v>45606</v>
      </c>
      <c r="C566" s="2" t="str">
        <f t="shared" si="41"/>
        <v>November</v>
      </c>
      <c r="D566" s="1">
        <f t="shared" si="42"/>
        <v>2024</v>
      </c>
      <c r="E566" s="2">
        <v>45610</v>
      </c>
      <c r="F566" s="1" t="s">
        <v>1789</v>
      </c>
      <c r="G566" s="1" t="s">
        <v>140</v>
      </c>
      <c r="H566" s="1" t="s">
        <v>98</v>
      </c>
      <c r="I566" s="1" t="s">
        <v>62</v>
      </c>
      <c r="J566" s="1" t="s">
        <v>92</v>
      </c>
      <c r="K566" s="1" t="s">
        <v>93</v>
      </c>
      <c r="L566" s="1" t="s">
        <v>49</v>
      </c>
      <c r="M566" s="1" t="s">
        <v>50</v>
      </c>
      <c r="N566" s="1" t="s">
        <v>1790</v>
      </c>
      <c r="O566" s="1" t="s">
        <v>58</v>
      </c>
      <c r="P566" s="1">
        <v>2</v>
      </c>
      <c r="Q566" s="1">
        <v>921.34</v>
      </c>
      <c r="R566" s="1">
        <v>0.2</v>
      </c>
      <c r="S566" s="1">
        <v>1474.14</v>
      </c>
      <c r="T566" s="1">
        <f t="shared" si="43"/>
        <v>1474.1440000000002</v>
      </c>
      <c r="U566" s="1">
        <v>968.46</v>
      </c>
      <c r="V566" s="3">
        <f>IF(T566=0,"",X566/T566)</f>
        <v>0.34303568715132315</v>
      </c>
      <c r="W566" s="1">
        <v>505.68</v>
      </c>
      <c r="X566" s="1">
        <f>T566-U566</f>
        <v>505.6840000000002</v>
      </c>
      <c r="Y566" s="1" t="s">
        <v>40</v>
      </c>
      <c r="Z566" s="1" t="s">
        <v>41</v>
      </c>
      <c r="AA566" s="1">
        <f t="shared" si="40"/>
        <v>4</v>
      </c>
      <c r="AB566" s="2" t="str">
        <f t="shared" si="44"/>
        <v>Clean</v>
      </c>
      <c r="AC566" s="2"/>
    </row>
    <row r="567" spans="1:29">
      <c r="A567" s="1" t="s">
        <v>1791</v>
      </c>
      <c r="B567" s="2">
        <v>45846</v>
      </c>
      <c r="C567" s="2" t="str">
        <f t="shared" si="41"/>
        <v>July</v>
      </c>
      <c r="D567" s="1">
        <f t="shared" si="42"/>
        <v>2025</v>
      </c>
      <c r="E567" s="2">
        <v>45882</v>
      </c>
      <c r="F567" s="1" t="s">
        <v>1792</v>
      </c>
      <c r="G567" s="1" t="s">
        <v>44</v>
      </c>
      <c r="H567" s="1" t="s">
        <v>98</v>
      </c>
      <c r="I567" s="1" t="s">
        <v>33</v>
      </c>
      <c r="J567" s="1" t="s">
        <v>359</v>
      </c>
      <c r="K567" s="1" t="s">
        <v>360</v>
      </c>
      <c r="L567" s="1" t="s">
        <v>82</v>
      </c>
      <c r="M567" s="1" t="s">
        <v>179</v>
      </c>
      <c r="N567" s="1" t="s">
        <v>1793</v>
      </c>
      <c r="O567" s="1" t="s">
        <v>67</v>
      </c>
      <c r="P567" s="1">
        <v>6</v>
      </c>
      <c r="Q567" s="1">
        <v>1921.86</v>
      </c>
      <c r="R567" s="1">
        <v>0.2</v>
      </c>
      <c r="S567" s="1">
        <v>9224.93</v>
      </c>
      <c r="T567" s="1">
        <f t="shared" si="43"/>
        <v>9224.9279999999999</v>
      </c>
      <c r="U567" s="1">
        <v>7005.2</v>
      </c>
      <c r="V567" s="3">
        <f>IF(T567=0,"",X567/T567)</f>
        <v>0.24062279944081949</v>
      </c>
      <c r="W567" s="1">
        <v>2219.73</v>
      </c>
      <c r="X567" s="1">
        <f>T567-U567</f>
        <v>2219.7280000000001</v>
      </c>
      <c r="Y567" s="1" t="s">
        <v>110</v>
      </c>
      <c r="Z567" s="1" t="s">
        <v>76</v>
      </c>
      <c r="AA567" s="1">
        <f t="shared" si="40"/>
        <v>36</v>
      </c>
      <c r="AB567" s="2" t="str">
        <f t="shared" si="44"/>
        <v>Clean</v>
      </c>
      <c r="AC567" s="2"/>
    </row>
    <row r="568" spans="1:29">
      <c r="A568" s="1" t="s">
        <v>1794</v>
      </c>
      <c r="B568" s="2">
        <v>45604</v>
      </c>
      <c r="C568" s="2" t="str">
        <f t="shared" si="41"/>
        <v>November</v>
      </c>
      <c r="D568" s="1">
        <f t="shared" si="42"/>
        <v>2024</v>
      </c>
      <c r="E568" s="2">
        <v>45523</v>
      </c>
      <c r="F568" s="1" t="s">
        <v>1795</v>
      </c>
      <c r="G568" s="1" t="s">
        <v>140</v>
      </c>
      <c r="H568" s="1" t="s">
        <v>45</v>
      </c>
      <c r="I568" s="1" t="s">
        <v>71</v>
      </c>
      <c r="J568" s="1" t="s">
        <v>72</v>
      </c>
      <c r="K568" s="1" t="s">
        <v>73</v>
      </c>
      <c r="L568" s="1" t="s">
        <v>36</v>
      </c>
      <c r="M568" s="1" t="s">
        <v>37</v>
      </c>
      <c r="N568" s="1" t="s">
        <v>1796</v>
      </c>
      <c r="O568" s="1" t="s">
        <v>52</v>
      </c>
      <c r="P568" s="1">
        <v>2</v>
      </c>
      <c r="Q568" s="1">
        <v>2617.89</v>
      </c>
      <c r="R568" s="1">
        <v>0.1</v>
      </c>
      <c r="S568" s="1">
        <v>4712.2</v>
      </c>
      <c r="T568" s="1">
        <f t="shared" si="43"/>
        <v>4712.2020000000002</v>
      </c>
      <c r="U568" s="1">
        <v>3851.91</v>
      </c>
      <c r="V568" s="3">
        <f>IF(T568=0,"",X568/T568)</f>
        <v>0.18256687637754077</v>
      </c>
      <c r="W568" s="1">
        <v>860.29</v>
      </c>
      <c r="X568" s="1">
        <f>T568-U568</f>
        <v>860.29200000000037</v>
      </c>
      <c r="Y568" s="1" t="s">
        <v>163</v>
      </c>
      <c r="Z568" s="1" t="s">
        <v>111</v>
      </c>
      <c r="AA568" s="4">
        <f t="shared" si="40"/>
        <v>-81</v>
      </c>
      <c r="AB568" s="2" t="str">
        <f t="shared" si="44"/>
        <v>Invalid</v>
      </c>
      <c r="AC568" s="2"/>
    </row>
    <row r="569" spans="1:29">
      <c r="A569" s="1" t="s">
        <v>1797</v>
      </c>
      <c r="B569" s="2">
        <v>45445</v>
      </c>
      <c r="C569" s="2" t="str">
        <f t="shared" si="41"/>
        <v>June</v>
      </c>
      <c r="D569" s="1">
        <f t="shared" si="42"/>
        <v>2024</v>
      </c>
      <c r="E569" s="2">
        <v>45567</v>
      </c>
      <c r="F569" s="1" t="s">
        <v>1798</v>
      </c>
      <c r="G569" s="1" t="s">
        <v>61</v>
      </c>
      <c r="H569" s="1" t="s">
        <v>103</v>
      </c>
      <c r="I569" s="1" t="s">
        <v>33</v>
      </c>
      <c r="J569" s="1" t="s">
        <v>144</v>
      </c>
      <c r="K569" s="1" t="s">
        <v>145</v>
      </c>
      <c r="L569" s="1" t="s">
        <v>49</v>
      </c>
      <c r="M569" s="1" t="s">
        <v>65</v>
      </c>
      <c r="N569" s="1" t="s">
        <v>604</v>
      </c>
      <c r="O569" s="1" t="s">
        <v>52</v>
      </c>
      <c r="P569" s="1">
        <v>1</v>
      </c>
      <c r="Q569" s="1">
        <v>1374.06</v>
      </c>
      <c r="R569" s="1">
        <v>0.05</v>
      </c>
      <c r="S569" s="1">
        <v>1305.3599999999999</v>
      </c>
      <c r="T569" s="1">
        <f t="shared" si="43"/>
        <v>1305.357</v>
      </c>
      <c r="U569" s="1">
        <v>731.89</v>
      </c>
      <c r="V569" s="3">
        <f>IF(T569=0,"",X569/T569)</f>
        <v>0.4393181328939133</v>
      </c>
      <c r="W569" s="1">
        <v>573.47</v>
      </c>
      <c r="X569" s="1">
        <f>T569-U569</f>
        <v>573.46699999999998</v>
      </c>
      <c r="Y569" s="1" t="s">
        <v>40</v>
      </c>
      <c r="Z569" s="1" t="s">
        <v>41</v>
      </c>
      <c r="AA569" s="1">
        <f t="shared" si="40"/>
        <v>122</v>
      </c>
      <c r="AB569" s="2" t="str">
        <f t="shared" si="44"/>
        <v>Clean</v>
      </c>
      <c r="AC569" s="2"/>
    </row>
    <row r="570" spans="1:29">
      <c r="A570" s="1" t="s">
        <v>1799</v>
      </c>
      <c r="B570" s="2">
        <v>45312</v>
      </c>
      <c r="C570" s="2" t="str">
        <f t="shared" si="41"/>
        <v>January</v>
      </c>
      <c r="D570" s="1">
        <f t="shared" si="42"/>
        <v>2024</v>
      </c>
      <c r="E570" s="2">
        <v>45315</v>
      </c>
      <c r="F570" s="1" t="s">
        <v>1800</v>
      </c>
      <c r="G570" s="1" t="s">
        <v>273</v>
      </c>
      <c r="H570" s="1" t="s">
        <v>98</v>
      </c>
      <c r="I570" s="1" t="s">
        <v>33</v>
      </c>
      <c r="J570" s="1" t="s">
        <v>130</v>
      </c>
      <c r="K570" s="1" t="s">
        <v>131</v>
      </c>
      <c r="L570" s="1" t="s">
        <v>82</v>
      </c>
      <c r="M570" s="1" t="s">
        <v>283</v>
      </c>
      <c r="N570" s="1" t="s">
        <v>1801</v>
      </c>
      <c r="O570" s="1" t="s">
        <v>52</v>
      </c>
      <c r="P570" s="1">
        <v>1</v>
      </c>
      <c r="Q570" s="1">
        <v>3806.3</v>
      </c>
      <c r="R570" s="1">
        <v>0.25</v>
      </c>
      <c r="S570" s="1">
        <v>2854.73</v>
      </c>
      <c r="T570" s="1">
        <f t="shared" si="43"/>
        <v>2854.7250000000004</v>
      </c>
      <c r="U570" s="1">
        <v>1968.12</v>
      </c>
      <c r="V570" s="3">
        <f>IF(T570=0,"",X570/T570)</f>
        <v>0.31057457373302172</v>
      </c>
      <c r="W570" s="1">
        <v>886.61</v>
      </c>
      <c r="X570" s="1">
        <f>T570-U570</f>
        <v>886.60500000000047</v>
      </c>
      <c r="Y570" s="1" t="s">
        <v>40</v>
      </c>
      <c r="Z570" s="1" t="s">
        <v>41</v>
      </c>
      <c r="AA570" s="1">
        <f t="shared" si="40"/>
        <v>3</v>
      </c>
      <c r="AB570" s="2" t="str">
        <f t="shared" si="44"/>
        <v>Clean</v>
      </c>
      <c r="AC570" s="2"/>
    </row>
    <row r="571" spans="1:29">
      <c r="A571" s="1" t="s">
        <v>1802</v>
      </c>
      <c r="B571" s="2">
        <v>45908</v>
      </c>
      <c r="C571" s="2" t="str">
        <f t="shared" si="41"/>
        <v>September</v>
      </c>
      <c r="D571" s="1">
        <f t="shared" si="42"/>
        <v>2025</v>
      </c>
      <c r="E571" s="2">
        <v>45939</v>
      </c>
      <c r="F571" s="1" t="s">
        <v>1803</v>
      </c>
      <c r="G571" s="1" t="s">
        <v>126</v>
      </c>
      <c r="H571" s="1" t="s">
        <v>103</v>
      </c>
      <c r="I571" s="1" t="s">
        <v>71</v>
      </c>
      <c r="J571" s="1" t="s">
        <v>72</v>
      </c>
      <c r="K571" s="1" t="s">
        <v>73</v>
      </c>
      <c r="L571" s="1" t="s">
        <v>49</v>
      </c>
      <c r="M571" s="1" t="s">
        <v>65</v>
      </c>
      <c r="N571" s="1" t="s">
        <v>1804</v>
      </c>
      <c r="O571" s="1" t="s">
        <v>67</v>
      </c>
      <c r="P571" s="1">
        <v>6</v>
      </c>
      <c r="Q571" s="1">
        <v>3251.17</v>
      </c>
      <c r="R571" s="1">
        <v>0.25</v>
      </c>
      <c r="S571" s="1">
        <v>14630.26</v>
      </c>
      <c r="T571" s="1">
        <f t="shared" si="43"/>
        <v>14630.264999999999</v>
      </c>
      <c r="U571" s="1">
        <v>11906.36</v>
      </c>
      <c r="V571" s="3">
        <f>IF(T571=0,"",X571/T571)</f>
        <v>0.18618288868998606</v>
      </c>
      <c r="W571" s="1">
        <v>2723.9</v>
      </c>
      <c r="X571" s="1">
        <f>T571-U571</f>
        <v>2723.9049999999988</v>
      </c>
      <c r="Y571" s="1" t="s">
        <v>110</v>
      </c>
      <c r="Z571" s="1" t="s">
        <v>111</v>
      </c>
      <c r="AA571" s="1">
        <f t="shared" si="40"/>
        <v>31</v>
      </c>
      <c r="AB571" s="2" t="str">
        <f t="shared" si="44"/>
        <v>Clean</v>
      </c>
      <c r="AC571" s="2"/>
    </row>
    <row r="572" spans="1:29">
      <c r="A572" s="1" t="s">
        <v>1805</v>
      </c>
      <c r="B572" s="2">
        <v>45887</v>
      </c>
      <c r="C572" s="2" t="str">
        <f t="shared" si="41"/>
        <v>August</v>
      </c>
      <c r="D572" s="1">
        <f t="shared" si="42"/>
        <v>2025</v>
      </c>
      <c r="E572" s="2">
        <v>45891</v>
      </c>
      <c r="F572" s="1" t="s">
        <v>1806</v>
      </c>
      <c r="G572" s="1" t="s">
        <v>61</v>
      </c>
      <c r="H572" s="1" t="s">
        <v>32</v>
      </c>
      <c r="I572" s="1" t="s">
        <v>46</v>
      </c>
      <c r="J572" s="1" t="s">
        <v>237</v>
      </c>
      <c r="K572" s="1" t="s">
        <v>238</v>
      </c>
      <c r="L572" s="1" t="s">
        <v>49</v>
      </c>
      <c r="M572" s="1" t="s">
        <v>65</v>
      </c>
      <c r="N572" s="1" t="s">
        <v>1807</v>
      </c>
      <c r="O572" s="1" t="s">
        <v>39</v>
      </c>
      <c r="P572" s="1">
        <v>3</v>
      </c>
      <c r="Q572" s="1">
        <v>3946.44</v>
      </c>
      <c r="R572" s="1">
        <v>0.25</v>
      </c>
      <c r="S572" s="1">
        <v>8879.49</v>
      </c>
      <c r="T572" s="1">
        <f t="shared" si="43"/>
        <v>8879.49</v>
      </c>
      <c r="U572" s="1">
        <v>6344.57</v>
      </c>
      <c r="V572" s="3">
        <f>IF(T572=0,"",X572/T572)</f>
        <v>0.28548035979543873</v>
      </c>
      <c r="W572" s="1">
        <v>2534.92</v>
      </c>
      <c r="X572" s="1">
        <f>T572-U572</f>
        <v>2534.92</v>
      </c>
      <c r="Y572" s="1" t="s">
        <v>163</v>
      </c>
      <c r="Z572" s="1" t="s">
        <v>111</v>
      </c>
      <c r="AA572" s="1">
        <f t="shared" si="40"/>
        <v>4</v>
      </c>
      <c r="AB572" s="2" t="str">
        <f t="shared" si="44"/>
        <v>Clean</v>
      </c>
      <c r="AC572" s="2"/>
    </row>
    <row r="573" spans="1:29">
      <c r="A573" s="1" t="s">
        <v>1367</v>
      </c>
      <c r="B573" s="2">
        <v>45893</v>
      </c>
      <c r="C573" s="2" t="str">
        <f t="shared" si="41"/>
        <v>August</v>
      </c>
      <c r="D573" s="1">
        <f t="shared" si="42"/>
        <v>2025</v>
      </c>
      <c r="E573" s="2">
        <v>45898</v>
      </c>
      <c r="F573" s="1" t="s">
        <v>1368</v>
      </c>
      <c r="G573" s="1" t="s">
        <v>136</v>
      </c>
      <c r="H573" s="1" t="s">
        <v>45</v>
      </c>
      <c r="I573" s="1" t="s">
        <v>46</v>
      </c>
      <c r="J573" s="1" t="s">
        <v>153</v>
      </c>
      <c r="K573" s="1" t="s">
        <v>154</v>
      </c>
      <c r="L573" s="1" t="s">
        <v>82</v>
      </c>
      <c r="M573" s="1" t="s">
        <v>88</v>
      </c>
      <c r="N573" s="1" t="s">
        <v>1369</v>
      </c>
      <c r="O573" s="1" t="s">
        <v>58</v>
      </c>
      <c r="P573" s="1">
        <v>3</v>
      </c>
      <c r="Q573" s="1">
        <v>3703.96</v>
      </c>
      <c r="R573" s="1">
        <v>0.15</v>
      </c>
      <c r="S573" s="1">
        <v>9549.44</v>
      </c>
      <c r="T573" s="1">
        <f t="shared" si="43"/>
        <v>9445.098</v>
      </c>
      <c r="U573" s="1">
        <v>5586.28</v>
      </c>
      <c r="V573" s="3">
        <f>IF(T573=0,"",X573/T573)</f>
        <v>0.40855245758170006</v>
      </c>
      <c r="W573" s="1">
        <v>3858.82</v>
      </c>
      <c r="X573" s="1">
        <f>T573-U573</f>
        <v>3858.8180000000002</v>
      </c>
      <c r="Y573" s="1" t="s">
        <v>40</v>
      </c>
      <c r="Z573" s="1" t="s">
        <v>111</v>
      </c>
      <c r="AA573" s="1">
        <f t="shared" si="40"/>
        <v>5</v>
      </c>
      <c r="AB573" s="2" t="str">
        <f t="shared" si="44"/>
        <v>Clean</v>
      </c>
      <c r="AC573" s="2" t="s">
        <v>392</v>
      </c>
    </row>
    <row r="574" spans="1:29">
      <c r="A574" s="1" t="s">
        <v>1808</v>
      </c>
      <c r="B574" s="2">
        <v>45293</v>
      </c>
      <c r="C574" s="2" t="str">
        <f t="shared" si="41"/>
        <v>January</v>
      </c>
      <c r="D574" s="1">
        <f t="shared" si="42"/>
        <v>2024</v>
      </c>
      <c r="E574" s="2">
        <v>45536</v>
      </c>
      <c r="F574" s="1" t="s">
        <v>1809</v>
      </c>
      <c r="G574" s="1" t="s">
        <v>170</v>
      </c>
      <c r="H574" s="1" t="s">
        <v>98</v>
      </c>
      <c r="I574" s="1" t="s">
        <v>33</v>
      </c>
      <c r="J574" s="1" t="s">
        <v>359</v>
      </c>
      <c r="K574" s="1" t="s">
        <v>360</v>
      </c>
      <c r="L574" s="1" t="s">
        <v>82</v>
      </c>
      <c r="M574" s="1" t="s">
        <v>179</v>
      </c>
      <c r="N574" s="1" t="s">
        <v>1810</v>
      </c>
      <c r="O574" s="1" t="s">
        <v>67</v>
      </c>
      <c r="P574" s="1">
        <v>3</v>
      </c>
      <c r="Q574" s="1">
        <v>739.56</v>
      </c>
      <c r="R574" s="1">
        <v>0.2</v>
      </c>
      <c r="S574" s="1">
        <v>1774.94</v>
      </c>
      <c r="T574" s="1">
        <f t="shared" si="43"/>
        <v>1774.944</v>
      </c>
      <c r="U574" s="1">
        <v>1007.4</v>
      </c>
      <c r="V574" s="3">
        <f>IF(T574=0,"",X574/T574)</f>
        <v>0.43243279787982042</v>
      </c>
      <c r="W574" s="1">
        <v>767.54</v>
      </c>
      <c r="X574" s="1">
        <f>T574-U574</f>
        <v>767.54399999999998</v>
      </c>
      <c r="Y574" s="1" t="s">
        <v>40</v>
      </c>
      <c r="Z574" s="1" t="s">
        <v>41</v>
      </c>
      <c r="AA574" s="1">
        <f t="shared" si="40"/>
        <v>243</v>
      </c>
      <c r="AB574" s="2" t="str">
        <f t="shared" si="44"/>
        <v>Clean</v>
      </c>
      <c r="AC574" s="2"/>
    </row>
    <row r="575" spans="1:29">
      <c r="A575" s="1" t="s">
        <v>1811</v>
      </c>
      <c r="B575" s="2">
        <v>45922</v>
      </c>
      <c r="C575" s="2" t="str">
        <f t="shared" si="41"/>
        <v>September</v>
      </c>
      <c r="D575" s="1">
        <f t="shared" si="42"/>
        <v>2025</v>
      </c>
      <c r="E575" s="2">
        <v>45926</v>
      </c>
      <c r="F575" s="1" t="s">
        <v>1812</v>
      </c>
      <c r="G575" s="1" t="s">
        <v>55</v>
      </c>
      <c r="H575" s="1" t="s">
        <v>32</v>
      </c>
      <c r="I575" s="1" t="s">
        <v>62</v>
      </c>
      <c r="J575" s="1" t="s">
        <v>92</v>
      </c>
      <c r="K575" s="1" t="s">
        <v>93</v>
      </c>
      <c r="L575" s="1" t="s">
        <v>82</v>
      </c>
      <c r="M575" s="1" t="s">
        <v>179</v>
      </c>
      <c r="N575" s="1" t="s">
        <v>1813</v>
      </c>
      <c r="O575" s="1" t="s">
        <v>67</v>
      </c>
      <c r="P575" s="1">
        <v>1</v>
      </c>
      <c r="Q575" s="1">
        <v>573.65</v>
      </c>
      <c r="R575" s="1">
        <v>0</v>
      </c>
      <c r="S575" s="1">
        <v>573.65</v>
      </c>
      <c r="T575" s="1">
        <f t="shared" si="43"/>
        <v>573.65</v>
      </c>
      <c r="U575" s="1">
        <v>322.67</v>
      </c>
      <c r="V575" s="3">
        <f>IF(T575=0,"",X575/T575)</f>
        <v>0.43751416368866031</v>
      </c>
      <c r="W575" s="1">
        <v>250.98</v>
      </c>
      <c r="X575" s="1">
        <f>T575-U575</f>
        <v>250.97999999999996</v>
      </c>
      <c r="Y575" s="1" t="s">
        <v>40</v>
      </c>
      <c r="Z575" s="1" t="s">
        <v>41</v>
      </c>
      <c r="AA575" s="1">
        <f t="shared" si="40"/>
        <v>4</v>
      </c>
      <c r="AB575" s="2" t="str">
        <f t="shared" si="44"/>
        <v>Clean</v>
      </c>
      <c r="AC575" s="2"/>
    </row>
    <row r="576" spans="1:29">
      <c r="A576" s="1" t="s">
        <v>1814</v>
      </c>
      <c r="B576" s="2">
        <v>45342</v>
      </c>
      <c r="C576" s="2" t="str">
        <f t="shared" si="41"/>
        <v>February</v>
      </c>
      <c r="D576" s="1">
        <f t="shared" si="42"/>
        <v>2024</v>
      </c>
      <c r="E576" s="2">
        <v>45347</v>
      </c>
      <c r="F576" s="1" t="s">
        <v>806</v>
      </c>
      <c r="G576" s="1" t="s">
        <v>170</v>
      </c>
      <c r="H576" s="1" t="s">
        <v>103</v>
      </c>
      <c r="I576" s="1" t="s">
        <v>33</v>
      </c>
      <c r="J576" s="1" t="s">
        <v>130</v>
      </c>
      <c r="K576" s="1" t="s">
        <v>131</v>
      </c>
      <c r="L576" s="1" t="s">
        <v>82</v>
      </c>
      <c r="M576" s="1" t="s">
        <v>283</v>
      </c>
      <c r="N576" s="1" t="s">
        <v>1815</v>
      </c>
      <c r="O576" s="1" t="s">
        <v>67</v>
      </c>
      <c r="P576" s="1">
        <v>4</v>
      </c>
      <c r="Q576" s="1">
        <v>1355.8</v>
      </c>
      <c r="R576" s="1">
        <v>0</v>
      </c>
      <c r="S576" s="1">
        <v>5423.2</v>
      </c>
      <c r="T576" s="1">
        <f t="shared" si="43"/>
        <v>5423.2</v>
      </c>
      <c r="U576" s="1">
        <v>4072.44</v>
      </c>
      <c r="V576" s="3">
        <f>IF(T576=0,"",X576/T576)</f>
        <v>0.24907065938929043</v>
      </c>
      <c r="W576" s="1">
        <v>1350.76</v>
      </c>
      <c r="X576" s="1">
        <f>T576-U576</f>
        <v>1350.7599999999998</v>
      </c>
      <c r="Y576" s="1" t="s">
        <v>40</v>
      </c>
      <c r="Z576" s="1" t="s">
        <v>41</v>
      </c>
      <c r="AA576" s="1">
        <f t="shared" si="40"/>
        <v>5</v>
      </c>
      <c r="AB576" s="2" t="str">
        <f t="shared" si="44"/>
        <v>Clean</v>
      </c>
      <c r="AC576" s="2"/>
    </row>
    <row r="577" spans="1:29">
      <c r="A577" s="1" t="s">
        <v>1816</v>
      </c>
      <c r="B577" s="2">
        <v>45964</v>
      </c>
      <c r="C577" s="2" t="str">
        <f t="shared" si="41"/>
        <v>November</v>
      </c>
      <c r="D577" s="1">
        <f t="shared" si="42"/>
        <v>2025</v>
      </c>
      <c r="E577" s="2">
        <v>45730</v>
      </c>
      <c r="F577" s="1" t="s">
        <v>1817</v>
      </c>
      <c r="G577" s="1" t="s">
        <v>140</v>
      </c>
      <c r="H577" s="1" t="s">
        <v>103</v>
      </c>
      <c r="I577" s="1" t="s">
        <v>62</v>
      </c>
      <c r="J577" s="1" t="s">
        <v>193</v>
      </c>
      <c r="K577" s="1" t="s">
        <v>194</v>
      </c>
      <c r="L577" s="1" t="s">
        <v>49</v>
      </c>
      <c r="M577" s="1" t="s">
        <v>65</v>
      </c>
      <c r="N577" s="1" t="s">
        <v>1818</v>
      </c>
      <c r="O577" s="1" t="s">
        <v>52</v>
      </c>
      <c r="P577" s="1">
        <v>4</v>
      </c>
      <c r="Q577" s="1">
        <v>1244.82</v>
      </c>
      <c r="R577" s="1">
        <v>0.2</v>
      </c>
      <c r="S577" s="1">
        <v>3983.42</v>
      </c>
      <c r="T577" s="1">
        <f t="shared" si="43"/>
        <v>3983.424</v>
      </c>
      <c r="U577" s="1">
        <v>3174.91</v>
      </c>
      <c r="V577" s="3">
        <f>IF(T577=0,"",X577/T577)</f>
        <v>0.2029696060474607</v>
      </c>
      <c r="W577" s="1">
        <v>808.51</v>
      </c>
      <c r="X577" s="1">
        <f>T577-U577</f>
        <v>808.51400000000012</v>
      </c>
      <c r="Y577" s="1" t="s">
        <v>163</v>
      </c>
      <c r="Z577" s="1" t="s">
        <v>111</v>
      </c>
      <c r="AA577" s="4">
        <f t="shared" si="40"/>
        <v>-234</v>
      </c>
      <c r="AB577" s="2" t="str">
        <f t="shared" si="44"/>
        <v>Invalid</v>
      </c>
      <c r="AC577" s="2"/>
    </row>
    <row r="578" spans="1:29">
      <c r="A578" s="1" t="s">
        <v>1819</v>
      </c>
      <c r="B578" s="2">
        <v>45339</v>
      </c>
      <c r="C578" s="2" t="str">
        <f t="shared" si="41"/>
        <v>February</v>
      </c>
      <c r="D578" s="1">
        <f t="shared" si="42"/>
        <v>2024</v>
      </c>
      <c r="E578" s="2">
        <v>45345</v>
      </c>
      <c r="F578" s="1" t="s">
        <v>1820</v>
      </c>
      <c r="G578" s="1" t="s">
        <v>149</v>
      </c>
      <c r="H578" s="1" t="s">
        <v>103</v>
      </c>
      <c r="I578" s="1" t="s">
        <v>213</v>
      </c>
      <c r="J578" s="1" t="s">
        <v>153</v>
      </c>
      <c r="K578" s="1" t="s">
        <v>154</v>
      </c>
      <c r="L578" s="1" t="s">
        <v>36</v>
      </c>
      <c r="M578" s="1" t="s">
        <v>161</v>
      </c>
      <c r="N578" s="1" t="s">
        <v>1821</v>
      </c>
      <c r="O578" s="1" t="s">
        <v>67</v>
      </c>
      <c r="P578" s="1">
        <v>9</v>
      </c>
      <c r="Q578" s="1">
        <v>2614.46</v>
      </c>
      <c r="R578" s="1">
        <v>0</v>
      </c>
      <c r="S578" s="1">
        <v>23530.14</v>
      </c>
      <c r="T578" s="1">
        <f t="shared" si="43"/>
        <v>23530.14</v>
      </c>
      <c r="U578" s="1">
        <v>19537.79</v>
      </c>
      <c r="V578" s="3">
        <f>IF(T578=0,"",X578/T578)</f>
        <v>0.16966962372514566</v>
      </c>
      <c r="W578" s="1">
        <v>3992.35</v>
      </c>
      <c r="X578" s="1">
        <f>T578-U578</f>
        <v>3992.3499999999985</v>
      </c>
      <c r="Y578" s="1" t="s">
        <v>110</v>
      </c>
      <c r="Z578" s="1" t="s">
        <v>111</v>
      </c>
      <c r="AA578" s="1">
        <f t="shared" ref="AA578:AA641" si="45">E578-B578</f>
        <v>6</v>
      </c>
      <c r="AB578" s="2" t="str">
        <f t="shared" si="44"/>
        <v>Warning</v>
      </c>
      <c r="AC578" s="2"/>
    </row>
    <row r="579" spans="1:29">
      <c r="A579" s="1" t="s">
        <v>1822</v>
      </c>
      <c r="B579" s="2">
        <v>45897</v>
      </c>
      <c r="C579" s="2" t="str">
        <f t="shared" ref="C579:C642" si="46">TEXT(B579,"mmmm")</f>
        <v>August</v>
      </c>
      <c r="D579" s="1">
        <f t="shared" ref="D579:D642" si="47">YEAR(B579)</f>
        <v>2025</v>
      </c>
      <c r="E579" s="2">
        <v>45725</v>
      </c>
      <c r="F579" s="1" t="s">
        <v>1823</v>
      </c>
      <c r="G579" s="1" t="s">
        <v>122</v>
      </c>
      <c r="H579" s="1" t="s">
        <v>98</v>
      </c>
      <c r="I579" s="1" t="s">
        <v>71</v>
      </c>
      <c r="J579" s="1" t="s">
        <v>80</v>
      </c>
      <c r="K579" s="1" t="s">
        <v>81</v>
      </c>
      <c r="L579" s="1" t="s">
        <v>49</v>
      </c>
      <c r="M579" s="1" t="s">
        <v>65</v>
      </c>
      <c r="N579" s="1" t="s">
        <v>1824</v>
      </c>
      <c r="O579" s="1" t="s">
        <v>67</v>
      </c>
      <c r="P579" s="1">
        <v>7</v>
      </c>
      <c r="Q579" s="1">
        <v>268.45</v>
      </c>
      <c r="R579" s="1">
        <v>0</v>
      </c>
      <c r="S579" s="1">
        <v>1879.15</v>
      </c>
      <c r="T579" s="1">
        <f t="shared" ref="T579:T642" si="48">P579*Q579*(1-R579)</f>
        <v>1879.1499999999999</v>
      </c>
      <c r="U579" s="1">
        <v>1134.9000000000001</v>
      </c>
      <c r="V579" s="3">
        <f>IF(T579=0,"",X579/T579)</f>
        <v>0.39605672777585599</v>
      </c>
      <c r="W579" s="1">
        <v>744.25</v>
      </c>
      <c r="X579" s="1">
        <f>T579-U579</f>
        <v>744.24999999999977</v>
      </c>
      <c r="Y579" s="1" t="s">
        <v>40</v>
      </c>
      <c r="Z579" s="1" t="s">
        <v>41</v>
      </c>
      <c r="AA579" s="4">
        <f t="shared" si="45"/>
        <v>-172</v>
      </c>
      <c r="AB579" s="2" t="str">
        <f t="shared" ref="AB579:AB642" si="49">IF(OR(AA579&lt;0,R579&lt;0),"Invalid",IF(OR(I579="Unknown",O579="Unknown"),"Warning","Clean"))</f>
        <v>Invalid</v>
      </c>
      <c r="AC579" s="2"/>
    </row>
    <row r="580" spans="1:29">
      <c r="A580" s="1" t="s">
        <v>1825</v>
      </c>
      <c r="B580" s="2">
        <v>45343</v>
      </c>
      <c r="C580" s="2" t="str">
        <f t="shared" si="46"/>
        <v>February</v>
      </c>
      <c r="D580" s="1">
        <f t="shared" si="47"/>
        <v>2024</v>
      </c>
      <c r="E580" s="2">
        <v>45345</v>
      </c>
      <c r="F580" s="1" t="s">
        <v>304</v>
      </c>
      <c r="G580" s="1" t="s">
        <v>87</v>
      </c>
      <c r="H580" s="1" t="s">
        <v>45</v>
      </c>
      <c r="I580" s="1" t="s">
        <v>71</v>
      </c>
      <c r="J580" s="1" t="s">
        <v>188</v>
      </c>
      <c r="K580" s="1" t="s">
        <v>189</v>
      </c>
      <c r="L580" s="1" t="s">
        <v>82</v>
      </c>
      <c r="M580" s="1" t="s">
        <v>88</v>
      </c>
      <c r="N580" s="1" t="s">
        <v>1826</v>
      </c>
      <c r="O580" s="1" t="s">
        <v>58</v>
      </c>
      <c r="P580" s="1">
        <v>6</v>
      </c>
      <c r="Q580" s="1">
        <v>2633.65</v>
      </c>
      <c r="R580" s="1">
        <v>0.05</v>
      </c>
      <c r="S580" s="1">
        <v>15011.81</v>
      </c>
      <c r="T580" s="1">
        <f t="shared" si="48"/>
        <v>15011.805</v>
      </c>
      <c r="U580" s="1">
        <v>9660.36</v>
      </c>
      <c r="V580" s="3">
        <f>IF(T580=0,"",X580/T580)</f>
        <v>0.35648244831317749</v>
      </c>
      <c r="W580" s="1">
        <v>5351.45</v>
      </c>
      <c r="X580" s="1">
        <f>T580-U580</f>
        <v>5351.4449999999997</v>
      </c>
      <c r="Y580" s="1" t="s">
        <v>40</v>
      </c>
      <c r="Z580" s="1" t="s">
        <v>41</v>
      </c>
      <c r="AA580" s="1">
        <f t="shared" si="45"/>
        <v>2</v>
      </c>
      <c r="AB580" s="2" t="str">
        <f t="shared" si="49"/>
        <v>Clean</v>
      </c>
      <c r="AC580" s="2"/>
    </row>
    <row r="581" spans="1:29">
      <c r="A581" s="1" t="s">
        <v>1827</v>
      </c>
      <c r="B581" s="2">
        <v>45462</v>
      </c>
      <c r="C581" s="2" t="str">
        <f t="shared" si="46"/>
        <v>June</v>
      </c>
      <c r="D581" s="1">
        <f t="shared" si="47"/>
        <v>2024</v>
      </c>
      <c r="E581" s="2">
        <v>45467</v>
      </c>
      <c r="F581" s="1" t="s">
        <v>1828</v>
      </c>
      <c r="G581" s="1" t="s">
        <v>136</v>
      </c>
      <c r="H581" s="1" t="s">
        <v>45</v>
      </c>
      <c r="I581" s="1" t="s">
        <v>62</v>
      </c>
      <c r="J581" s="1" t="s">
        <v>256</v>
      </c>
      <c r="K581" s="1" t="s">
        <v>257</v>
      </c>
      <c r="L581" s="1" t="s">
        <v>36</v>
      </c>
      <c r="M581" s="1" t="s">
        <v>132</v>
      </c>
      <c r="N581" s="1" t="s">
        <v>1829</v>
      </c>
      <c r="O581" s="1" t="s">
        <v>52</v>
      </c>
      <c r="P581" s="1">
        <v>1</v>
      </c>
      <c r="Q581" s="1">
        <v>3202.41</v>
      </c>
      <c r="R581" s="1">
        <v>0</v>
      </c>
      <c r="S581" s="1">
        <v>3202.41</v>
      </c>
      <c r="T581" s="1">
        <f t="shared" si="48"/>
        <v>3202.41</v>
      </c>
      <c r="U581" s="1">
        <v>2608.44</v>
      </c>
      <c r="V581" s="3">
        <f>IF(T581=0,"",X581/T581)</f>
        <v>0.18547593843386695</v>
      </c>
      <c r="W581" s="1">
        <v>593.97</v>
      </c>
      <c r="X581" s="1">
        <f>T581-U581</f>
        <v>593.9699999999998</v>
      </c>
      <c r="Y581" s="1" t="s">
        <v>40</v>
      </c>
      <c r="Z581" s="1" t="s">
        <v>41</v>
      </c>
      <c r="AA581" s="1">
        <f t="shared" si="45"/>
        <v>5</v>
      </c>
      <c r="AB581" s="2" t="str">
        <f t="shared" si="49"/>
        <v>Clean</v>
      </c>
      <c r="AC581" s="2"/>
    </row>
    <row r="582" spans="1:29">
      <c r="A582" s="1" t="s">
        <v>1830</v>
      </c>
      <c r="B582" s="2">
        <v>45811</v>
      </c>
      <c r="C582" s="2" t="str">
        <f t="shared" si="46"/>
        <v>June</v>
      </c>
      <c r="D582" s="1">
        <f t="shared" si="47"/>
        <v>2025</v>
      </c>
      <c r="E582" s="2">
        <v>45729</v>
      </c>
      <c r="F582" s="1" t="s">
        <v>1831</v>
      </c>
      <c r="G582" s="1" t="s">
        <v>273</v>
      </c>
      <c r="H582" s="1" t="s">
        <v>32</v>
      </c>
      <c r="I582" s="1" t="s">
        <v>62</v>
      </c>
      <c r="J582" s="1" t="s">
        <v>193</v>
      </c>
      <c r="K582" s="1" t="s">
        <v>194</v>
      </c>
      <c r="L582" s="1" t="s">
        <v>49</v>
      </c>
      <c r="M582" s="1" t="s">
        <v>74</v>
      </c>
      <c r="N582" s="1" t="s">
        <v>1832</v>
      </c>
      <c r="O582" s="1" t="s">
        <v>67</v>
      </c>
      <c r="P582" s="1">
        <v>3</v>
      </c>
      <c r="Q582" s="1">
        <v>163.72</v>
      </c>
      <c r="R582" s="1">
        <v>0.15</v>
      </c>
      <c r="S582" s="1">
        <v>417.49</v>
      </c>
      <c r="T582" s="1">
        <f t="shared" si="48"/>
        <v>417.48599999999999</v>
      </c>
      <c r="U582" s="1">
        <v>261.67</v>
      </c>
      <c r="V582" s="3">
        <f>IF(T582=0,"",X582/T582)</f>
        <v>0.37322449136018926</v>
      </c>
      <c r="W582" s="1">
        <v>155.82</v>
      </c>
      <c r="X582" s="1">
        <f>T582-U582</f>
        <v>155.81599999999997</v>
      </c>
      <c r="Y582" s="1" t="s">
        <v>163</v>
      </c>
      <c r="Z582" s="1" t="s">
        <v>111</v>
      </c>
      <c r="AA582" s="4">
        <f t="shared" si="45"/>
        <v>-82</v>
      </c>
      <c r="AB582" s="2" t="str">
        <f t="shared" si="49"/>
        <v>Invalid</v>
      </c>
      <c r="AC582" s="2"/>
    </row>
    <row r="583" spans="1:29">
      <c r="A583" s="1" t="s">
        <v>1833</v>
      </c>
      <c r="B583" s="2">
        <v>45908</v>
      </c>
      <c r="C583" s="2" t="str">
        <f t="shared" si="46"/>
        <v>September</v>
      </c>
      <c r="D583" s="1">
        <f t="shared" si="47"/>
        <v>2025</v>
      </c>
      <c r="E583" s="2">
        <v>45879</v>
      </c>
      <c r="F583" s="1" t="s">
        <v>1834</v>
      </c>
      <c r="G583" s="1" t="s">
        <v>87</v>
      </c>
      <c r="H583" s="1" t="s">
        <v>32</v>
      </c>
      <c r="I583" s="1" t="s">
        <v>33</v>
      </c>
      <c r="J583" s="1" t="s">
        <v>359</v>
      </c>
      <c r="K583" s="1" t="s">
        <v>360</v>
      </c>
      <c r="L583" s="1" t="s">
        <v>36</v>
      </c>
      <c r="M583" s="1" t="s">
        <v>56</v>
      </c>
      <c r="N583" s="1" t="s">
        <v>1835</v>
      </c>
      <c r="O583" s="1" t="s">
        <v>39</v>
      </c>
      <c r="P583" s="1">
        <v>4</v>
      </c>
      <c r="Q583" s="1">
        <v>4080.95</v>
      </c>
      <c r="R583" s="1">
        <v>0</v>
      </c>
      <c r="S583" s="1">
        <v>16323.8</v>
      </c>
      <c r="T583" s="1">
        <f t="shared" si="48"/>
        <v>16323.8</v>
      </c>
      <c r="U583" s="1">
        <v>9965.7900000000009</v>
      </c>
      <c r="V583" s="3">
        <f>IF(T583=0,"",X583/T583)</f>
        <v>0.38949325524693995</v>
      </c>
      <c r="W583" s="1">
        <v>6358.01</v>
      </c>
      <c r="X583" s="1">
        <f>T583-U583</f>
        <v>6358.0099999999984</v>
      </c>
      <c r="Y583" s="1" t="s">
        <v>110</v>
      </c>
      <c r="Z583" s="1" t="s">
        <v>111</v>
      </c>
      <c r="AA583" s="4">
        <f t="shared" si="45"/>
        <v>-29</v>
      </c>
      <c r="AB583" s="2" t="str">
        <f t="shared" si="49"/>
        <v>Invalid</v>
      </c>
      <c r="AC583" s="2"/>
    </row>
    <row r="584" spans="1:29">
      <c r="A584" s="1" t="s">
        <v>1836</v>
      </c>
      <c r="B584" s="2">
        <v>45580</v>
      </c>
      <c r="C584" s="2" t="str">
        <f t="shared" si="46"/>
        <v>October</v>
      </c>
      <c r="D584" s="1">
        <f t="shared" si="47"/>
        <v>2024</v>
      </c>
      <c r="E584" s="2">
        <v>45585</v>
      </c>
      <c r="F584" s="1" t="s">
        <v>1837</v>
      </c>
      <c r="G584" s="1" t="s">
        <v>70</v>
      </c>
      <c r="H584" s="1" t="s">
        <v>32</v>
      </c>
      <c r="I584" s="1" t="s">
        <v>46</v>
      </c>
      <c r="J584" s="1" t="s">
        <v>47</v>
      </c>
      <c r="K584" s="1" t="s">
        <v>48</v>
      </c>
      <c r="L584" s="1" t="s">
        <v>36</v>
      </c>
      <c r="M584" s="1" t="s">
        <v>56</v>
      </c>
      <c r="N584" s="1" t="s">
        <v>1838</v>
      </c>
      <c r="O584" s="1" t="s">
        <v>58</v>
      </c>
      <c r="P584" s="1">
        <v>5</v>
      </c>
      <c r="Q584" s="1">
        <v>671.24</v>
      </c>
      <c r="R584" s="1">
        <v>0</v>
      </c>
      <c r="S584" s="1">
        <v>3356.2</v>
      </c>
      <c r="T584" s="1">
        <f t="shared" si="48"/>
        <v>3356.2</v>
      </c>
      <c r="U584" s="1">
        <v>2205.7199999999998</v>
      </c>
      <c r="V584" s="3">
        <f>IF(T584=0,"",X584/T584)</f>
        <v>0.34279244383528995</v>
      </c>
      <c r="W584" s="1">
        <v>1150.48</v>
      </c>
      <c r="X584" s="1">
        <f>T584-U584</f>
        <v>1150.48</v>
      </c>
      <c r="Y584" s="1" t="s">
        <v>119</v>
      </c>
      <c r="Z584" s="1" t="s">
        <v>111</v>
      </c>
      <c r="AA584" s="1">
        <f t="shared" si="45"/>
        <v>5</v>
      </c>
      <c r="AB584" s="2" t="str">
        <f t="shared" si="49"/>
        <v>Clean</v>
      </c>
      <c r="AC584" s="2"/>
    </row>
    <row r="585" spans="1:29">
      <c r="A585" s="1" t="s">
        <v>1839</v>
      </c>
      <c r="B585" s="2">
        <v>45350</v>
      </c>
      <c r="C585" s="2" t="str">
        <f t="shared" si="46"/>
        <v>February</v>
      </c>
      <c r="D585" s="1">
        <f t="shared" si="47"/>
        <v>2024</v>
      </c>
      <c r="E585" s="2">
        <v>45350</v>
      </c>
      <c r="F585" s="1" t="s">
        <v>1840</v>
      </c>
      <c r="G585" s="1" t="s">
        <v>149</v>
      </c>
      <c r="H585" s="1" t="s">
        <v>45</v>
      </c>
      <c r="I585" s="1" t="s">
        <v>46</v>
      </c>
      <c r="J585" s="1" t="s">
        <v>107</v>
      </c>
      <c r="K585" s="1" t="s">
        <v>108</v>
      </c>
      <c r="L585" s="1" t="s">
        <v>36</v>
      </c>
      <c r="M585" s="1" t="s">
        <v>132</v>
      </c>
      <c r="N585" s="1" t="s">
        <v>1841</v>
      </c>
      <c r="O585" s="1" t="s">
        <v>58</v>
      </c>
      <c r="P585" s="1">
        <v>1</v>
      </c>
      <c r="Q585" s="1">
        <v>2626.84</v>
      </c>
      <c r="R585" s="1">
        <v>0.2</v>
      </c>
      <c r="S585" s="1">
        <v>2101.4699999999998</v>
      </c>
      <c r="T585" s="1">
        <f t="shared" si="48"/>
        <v>2101.4720000000002</v>
      </c>
      <c r="U585" s="1">
        <v>1217.83</v>
      </c>
      <c r="V585" s="3">
        <f>IF(T585=0,"",X585/T585)</f>
        <v>0.42048716328364127</v>
      </c>
      <c r="W585" s="1">
        <v>883.64</v>
      </c>
      <c r="X585" s="1">
        <f>T585-U585</f>
        <v>883.64200000000028</v>
      </c>
      <c r="Y585" s="1" t="s">
        <v>163</v>
      </c>
      <c r="Z585" s="1" t="s">
        <v>111</v>
      </c>
      <c r="AA585" s="1">
        <f t="shared" si="45"/>
        <v>0</v>
      </c>
      <c r="AB585" s="2" t="str">
        <f t="shared" si="49"/>
        <v>Clean</v>
      </c>
      <c r="AC585" s="2"/>
    </row>
    <row r="586" spans="1:29">
      <c r="A586" s="1" t="s">
        <v>1842</v>
      </c>
      <c r="B586" s="2">
        <v>45508</v>
      </c>
      <c r="C586" s="2" t="str">
        <f t="shared" si="46"/>
        <v>August</v>
      </c>
      <c r="D586" s="1">
        <f t="shared" si="47"/>
        <v>2024</v>
      </c>
      <c r="E586" s="2">
        <v>45573</v>
      </c>
      <c r="F586" s="1" t="s">
        <v>1843</v>
      </c>
      <c r="G586" s="1" t="s">
        <v>79</v>
      </c>
      <c r="H586" s="1" t="s">
        <v>32</v>
      </c>
      <c r="I586" s="1" t="s">
        <v>46</v>
      </c>
      <c r="J586" s="1" t="s">
        <v>153</v>
      </c>
      <c r="K586" s="1" t="s">
        <v>154</v>
      </c>
      <c r="L586" s="1" t="s">
        <v>36</v>
      </c>
      <c r="M586" s="1" t="s">
        <v>56</v>
      </c>
      <c r="N586" s="1" t="s">
        <v>1844</v>
      </c>
      <c r="O586" s="1" t="s">
        <v>52</v>
      </c>
      <c r="P586" s="1">
        <v>1</v>
      </c>
      <c r="Q586" s="1">
        <v>984.93</v>
      </c>
      <c r="R586" s="1">
        <v>0.15</v>
      </c>
      <c r="S586" s="1">
        <v>837.19</v>
      </c>
      <c r="T586" s="1">
        <f t="shared" si="48"/>
        <v>837.19049999999993</v>
      </c>
      <c r="U586" s="1">
        <v>583.79</v>
      </c>
      <c r="V586" s="3">
        <f>IF(T586=0,"",X586/T586)</f>
        <v>0.30267961712417901</v>
      </c>
      <c r="W586" s="1">
        <v>253.4</v>
      </c>
      <c r="X586" s="1">
        <f>T586-U586</f>
        <v>253.40049999999997</v>
      </c>
      <c r="Y586" s="1" t="s">
        <v>119</v>
      </c>
      <c r="Z586" s="1" t="s">
        <v>111</v>
      </c>
      <c r="AA586" s="1">
        <f t="shared" si="45"/>
        <v>65</v>
      </c>
      <c r="AB586" s="2" t="str">
        <f t="shared" si="49"/>
        <v>Clean</v>
      </c>
      <c r="AC586" s="2"/>
    </row>
    <row r="587" spans="1:29">
      <c r="A587" s="1" t="s">
        <v>1845</v>
      </c>
      <c r="B587" s="2">
        <v>45830</v>
      </c>
      <c r="C587" s="2" t="str">
        <f t="shared" si="46"/>
        <v>June</v>
      </c>
      <c r="D587" s="1">
        <f t="shared" si="47"/>
        <v>2025</v>
      </c>
      <c r="E587" s="2">
        <v>45833</v>
      </c>
      <c r="F587" s="1" t="s">
        <v>1846</v>
      </c>
      <c r="G587" s="1" t="s">
        <v>170</v>
      </c>
      <c r="H587" s="1" t="s">
        <v>45</v>
      </c>
      <c r="I587" s="1" t="s">
        <v>71</v>
      </c>
      <c r="J587" s="1" t="s">
        <v>72</v>
      </c>
      <c r="K587" s="1" t="s">
        <v>73</v>
      </c>
      <c r="L587" s="1" t="s">
        <v>82</v>
      </c>
      <c r="M587" s="1" t="s">
        <v>179</v>
      </c>
      <c r="N587" s="1" t="s">
        <v>1847</v>
      </c>
      <c r="O587" s="1" t="s">
        <v>58</v>
      </c>
      <c r="P587" s="1">
        <v>8</v>
      </c>
      <c r="Q587" s="1">
        <v>3453.66</v>
      </c>
      <c r="R587" s="1">
        <v>0</v>
      </c>
      <c r="S587" s="1">
        <v>27629.279999999999</v>
      </c>
      <c r="T587" s="1">
        <f t="shared" si="48"/>
        <v>27629.279999999999</v>
      </c>
      <c r="U587" s="1">
        <v>22026.48</v>
      </c>
      <c r="V587" s="3">
        <f>IF(T587=0,"",X587/T587)</f>
        <v>0.20278487170132553</v>
      </c>
      <c r="W587" s="1">
        <v>5602.8</v>
      </c>
      <c r="X587" s="1">
        <f>T587-U587</f>
        <v>5602.7999999999993</v>
      </c>
      <c r="Y587" s="1" t="s">
        <v>40</v>
      </c>
      <c r="Z587" s="1" t="s">
        <v>41</v>
      </c>
      <c r="AA587" s="1">
        <f t="shared" si="45"/>
        <v>3</v>
      </c>
      <c r="AB587" s="2" t="str">
        <f t="shared" si="49"/>
        <v>Clean</v>
      </c>
      <c r="AC587" s="2"/>
    </row>
    <row r="588" spans="1:29">
      <c r="A588" s="1" t="s">
        <v>1848</v>
      </c>
      <c r="B588" s="2">
        <v>45995</v>
      </c>
      <c r="C588" s="2" t="str">
        <f t="shared" si="46"/>
        <v>December</v>
      </c>
      <c r="D588" s="1">
        <f t="shared" si="47"/>
        <v>2025</v>
      </c>
      <c r="E588" s="2">
        <v>45995</v>
      </c>
      <c r="F588" s="1" t="s">
        <v>1849</v>
      </c>
      <c r="G588" s="1" t="s">
        <v>44</v>
      </c>
      <c r="H588" s="1" t="s">
        <v>103</v>
      </c>
      <c r="I588" s="1" t="s">
        <v>33</v>
      </c>
      <c r="J588" s="1" t="s">
        <v>130</v>
      </c>
      <c r="K588" s="1" t="s">
        <v>131</v>
      </c>
      <c r="L588" s="1" t="s">
        <v>36</v>
      </c>
      <c r="M588" s="1" t="s">
        <v>161</v>
      </c>
      <c r="N588" s="1" t="s">
        <v>1850</v>
      </c>
      <c r="O588" s="1" t="s">
        <v>39</v>
      </c>
      <c r="P588" s="1">
        <v>7</v>
      </c>
      <c r="Q588" s="1">
        <v>1334.2</v>
      </c>
      <c r="R588" s="1">
        <v>0.2</v>
      </c>
      <c r="S588" s="1">
        <v>7471.52</v>
      </c>
      <c r="T588" s="1">
        <f t="shared" si="48"/>
        <v>7471.52</v>
      </c>
      <c r="U588" s="1">
        <v>6184.32</v>
      </c>
      <c r="V588" s="3">
        <f>IF(T588=0,"",X588/T588)</f>
        <v>0.17228087457438387</v>
      </c>
      <c r="W588" s="1">
        <v>1287.2</v>
      </c>
      <c r="X588" s="1">
        <f>T588-U588</f>
        <v>1287.2000000000007</v>
      </c>
      <c r="Y588" s="1" t="s">
        <v>40</v>
      </c>
      <c r="Z588" s="1" t="s">
        <v>41</v>
      </c>
      <c r="AA588" s="1">
        <f t="shared" si="45"/>
        <v>0</v>
      </c>
      <c r="AB588" s="2" t="str">
        <f t="shared" si="49"/>
        <v>Clean</v>
      </c>
      <c r="AC588" s="2"/>
    </row>
    <row r="589" spans="1:29">
      <c r="A589" s="1" t="s">
        <v>1851</v>
      </c>
      <c r="B589" s="2">
        <v>45861</v>
      </c>
      <c r="C589" s="2" t="str">
        <f t="shared" si="46"/>
        <v>July</v>
      </c>
      <c r="D589" s="1">
        <f t="shared" si="47"/>
        <v>2025</v>
      </c>
      <c r="E589" s="2">
        <v>45869</v>
      </c>
      <c r="F589" s="1" t="s">
        <v>1852</v>
      </c>
      <c r="G589" s="1" t="s">
        <v>273</v>
      </c>
      <c r="H589" s="1" t="s">
        <v>103</v>
      </c>
      <c r="I589" s="1" t="s">
        <v>71</v>
      </c>
      <c r="J589" s="1" t="s">
        <v>80</v>
      </c>
      <c r="K589" s="1" t="s">
        <v>81</v>
      </c>
      <c r="L589" s="1" t="s">
        <v>82</v>
      </c>
      <c r="M589" s="1" t="s">
        <v>83</v>
      </c>
      <c r="N589" s="1" t="s">
        <v>1853</v>
      </c>
      <c r="O589" s="1" t="s">
        <v>58</v>
      </c>
      <c r="P589" s="1">
        <v>1</v>
      </c>
      <c r="Q589" s="1">
        <v>4253.84</v>
      </c>
      <c r="R589" s="1">
        <v>0.15</v>
      </c>
      <c r="S589" s="1">
        <v>3615.76</v>
      </c>
      <c r="T589" s="1">
        <f t="shared" si="48"/>
        <v>3615.7640000000001</v>
      </c>
      <c r="U589" s="1">
        <v>2951.52</v>
      </c>
      <c r="V589" s="3">
        <f>IF(T589=0,"",X589/T589)</f>
        <v>0.18370778623826114</v>
      </c>
      <c r="W589" s="1">
        <v>664.24</v>
      </c>
      <c r="X589" s="1">
        <f>T589-U589</f>
        <v>664.24400000000014</v>
      </c>
      <c r="Y589" s="1" t="s">
        <v>110</v>
      </c>
      <c r="Z589" s="1" t="s">
        <v>76</v>
      </c>
      <c r="AA589" s="1">
        <f t="shared" si="45"/>
        <v>8</v>
      </c>
      <c r="AB589" s="2" t="str">
        <f t="shared" si="49"/>
        <v>Clean</v>
      </c>
      <c r="AC589" s="2"/>
    </row>
    <row r="590" spans="1:29">
      <c r="A590" s="1" t="s">
        <v>1854</v>
      </c>
      <c r="B590" s="2">
        <v>45964</v>
      </c>
      <c r="C590" s="2" t="str">
        <f t="shared" si="46"/>
        <v>November</v>
      </c>
      <c r="D590" s="1">
        <f t="shared" si="47"/>
        <v>2025</v>
      </c>
      <c r="E590" s="2">
        <v>45731</v>
      </c>
      <c r="F590" s="1" t="s">
        <v>1855</v>
      </c>
      <c r="G590" s="1" t="s">
        <v>136</v>
      </c>
      <c r="H590" s="1" t="s">
        <v>103</v>
      </c>
      <c r="I590" s="1" t="s">
        <v>62</v>
      </c>
      <c r="J590" s="1" t="s">
        <v>183</v>
      </c>
      <c r="K590" s="1" t="s">
        <v>184</v>
      </c>
      <c r="L590" s="1" t="s">
        <v>82</v>
      </c>
      <c r="M590" s="1" t="s">
        <v>83</v>
      </c>
      <c r="N590" s="1" t="s">
        <v>1856</v>
      </c>
      <c r="O590" s="1" t="s">
        <v>39</v>
      </c>
      <c r="P590" s="1">
        <v>8</v>
      </c>
      <c r="Q590" s="1">
        <v>4446.3599999999997</v>
      </c>
      <c r="R590" s="1">
        <v>0.1</v>
      </c>
      <c r="S590" s="1">
        <v>32013.79</v>
      </c>
      <c r="T590" s="1">
        <f t="shared" si="48"/>
        <v>32013.791999999998</v>
      </c>
      <c r="U590" s="1">
        <v>20896.88</v>
      </c>
      <c r="V590" s="3">
        <f>IF(T590=0,"",X590/T590)</f>
        <v>0.34725383359771933</v>
      </c>
      <c r="W590" s="1">
        <v>11116.91</v>
      </c>
      <c r="X590" s="1">
        <f>T590-U590</f>
        <v>11116.911999999997</v>
      </c>
      <c r="Y590" s="1" t="s">
        <v>110</v>
      </c>
      <c r="Z590" s="1" t="s">
        <v>76</v>
      </c>
      <c r="AA590" s="4">
        <f t="shared" si="45"/>
        <v>-233</v>
      </c>
      <c r="AB590" s="2" t="str">
        <f t="shared" si="49"/>
        <v>Invalid</v>
      </c>
      <c r="AC590" s="2"/>
    </row>
    <row r="591" spans="1:29">
      <c r="A591" s="1" t="s">
        <v>1857</v>
      </c>
      <c r="B591" s="2">
        <v>45455</v>
      </c>
      <c r="C591" s="2" t="str">
        <f t="shared" si="46"/>
        <v>June</v>
      </c>
      <c r="D591" s="1">
        <f t="shared" si="47"/>
        <v>2024</v>
      </c>
      <c r="E591" s="2">
        <v>45638</v>
      </c>
      <c r="F591" s="1" t="s">
        <v>1858</v>
      </c>
      <c r="G591" s="1" t="s">
        <v>149</v>
      </c>
      <c r="H591" s="1" t="s">
        <v>98</v>
      </c>
      <c r="I591" s="1" t="s">
        <v>33</v>
      </c>
      <c r="J591" s="1" t="s">
        <v>144</v>
      </c>
      <c r="K591" s="1" t="s">
        <v>145</v>
      </c>
      <c r="L591" s="1" t="s">
        <v>82</v>
      </c>
      <c r="M591" s="1" t="s">
        <v>179</v>
      </c>
      <c r="N591" s="1" t="s">
        <v>1859</v>
      </c>
      <c r="O591" s="1" t="s">
        <v>58</v>
      </c>
      <c r="P591" s="1">
        <v>3</v>
      </c>
      <c r="Q591" s="1">
        <v>524.75</v>
      </c>
      <c r="R591" s="1">
        <v>0</v>
      </c>
      <c r="S591" s="1">
        <v>1574.25</v>
      </c>
      <c r="T591" s="1">
        <f t="shared" si="48"/>
        <v>1574.25</v>
      </c>
      <c r="U591" s="1">
        <v>1326.12</v>
      </c>
      <c r="V591" s="3">
        <f>IF(T591=0,"",X591/T591)</f>
        <v>0.15761791329204389</v>
      </c>
      <c r="W591" s="1">
        <v>248.13</v>
      </c>
      <c r="X591" s="1">
        <f>T591-U591</f>
        <v>248.13000000000011</v>
      </c>
      <c r="Y591" s="1" t="s">
        <v>40</v>
      </c>
      <c r="Z591" s="1" t="s">
        <v>41</v>
      </c>
      <c r="AA591" s="1">
        <f t="shared" si="45"/>
        <v>183</v>
      </c>
      <c r="AB591" s="2" t="str">
        <f t="shared" si="49"/>
        <v>Clean</v>
      </c>
      <c r="AC591" s="2"/>
    </row>
    <row r="592" spans="1:29">
      <c r="A592" s="1" t="s">
        <v>1860</v>
      </c>
      <c r="B592" s="2">
        <v>45441</v>
      </c>
      <c r="C592" s="2" t="str">
        <f t="shared" si="46"/>
        <v>May</v>
      </c>
      <c r="D592" s="1">
        <f t="shared" si="47"/>
        <v>2024</v>
      </c>
      <c r="E592" s="2">
        <v>45441</v>
      </c>
      <c r="F592" s="1" t="s">
        <v>1861</v>
      </c>
      <c r="G592" s="1" t="s">
        <v>136</v>
      </c>
      <c r="H592" s="1" t="s">
        <v>103</v>
      </c>
      <c r="I592" s="1" t="s">
        <v>33</v>
      </c>
      <c r="J592" s="1" t="s">
        <v>359</v>
      </c>
      <c r="K592" s="1" t="s">
        <v>360</v>
      </c>
      <c r="L592" s="1" t="s">
        <v>49</v>
      </c>
      <c r="M592" s="1" t="s">
        <v>74</v>
      </c>
      <c r="N592" s="1" t="s">
        <v>1862</v>
      </c>
      <c r="O592" s="1" t="s">
        <v>52</v>
      </c>
      <c r="P592" s="1">
        <v>6</v>
      </c>
      <c r="Q592" s="1">
        <v>3430.35</v>
      </c>
      <c r="R592" s="1">
        <v>0</v>
      </c>
      <c r="S592" s="1">
        <v>20582.099999999999</v>
      </c>
      <c r="T592" s="1">
        <f t="shared" si="48"/>
        <v>20582.099999999999</v>
      </c>
      <c r="U592" s="1">
        <v>15897.65</v>
      </c>
      <c r="V592" s="3">
        <f>IF(T592=0,"",X592/T592)</f>
        <v>0.22759825285077806</v>
      </c>
      <c r="W592" s="1">
        <v>4684.45</v>
      </c>
      <c r="X592" s="1">
        <f>T592-U592</f>
        <v>4684.4499999999989</v>
      </c>
      <c r="Y592" s="1" t="s">
        <v>119</v>
      </c>
      <c r="Z592" s="1" t="s">
        <v>76</v>
      </c>
      <c r="AA592" s="1">
        <f t="shared" si="45"/>
        <v>0</v>
      </c>
      <c r="AB592" s="2" t="str">
        <f t="shared" si="49"/>
        <v>Clean</v>
      </c>
      <c r="AC592" s="2"/>
    </row>
    <row r="593" spans="1:29">
      <c r="A593" s="1" t="s">
        <v>1863</v>
      </c>
      <c r="B593" s="2">
        <v>45344</v>
      </c>
      <c r="C593" s="2" t="str">
        <f t="shared" si="46"/>
        <v>February</v>
      </c>
      <c r="D593" s="1">
        <f t="shared" si="47"/>
        <v>2024</v>
      </c>
      <c r="E593" s="2">
        <v>45346</v>
      </c>
      <c r="F593" s="1" t="s">
        <v>1864</v>
      </c>
      <c r="G593" s="1" t="s">
        <v>140</v>
      </c>
      <c r="H593" s="1" t="s">
        <v>32</v>
      </c>
      <c r="I593" s="1" t="s">
        <v>62</v>
      </c>
      <c r="J593" s="1" t="s">
        <v>183</v>
      </c>
      <c r="K593" s="1" t="s">
        <v>184</v>
      </c>
      <c r="L593" s="1" t="s">
        <v>82</v>
      </c>
      <c r="M593" s="1" t="s">
        <v>88</v>
      </c>
      <c r="N593" s="1" t="s">
        <v>1865</v>
      </c>
      <c r="O593" s="1" t="s">
        <v>58</v>
      </c>
      <c r="P593" s="1">
        <v>3</v>
      </c>
      <c r="Q593" s="1">
        <v>3545.08</v>
      </c>
      <c r="R593" s="1">
        <v>0</v>
      </c>
      <c r="S593" s="1">
        <v>10635.24</v>
      </c>
      <c r="T593" s="1">
        <f t="shared" si="48"/>
        <v>10635.24</v>
      </c>
      <c r="U593" s="1">
        <v>6031.88</v>
      </c>
      <c r="V593" s="3">
        <f>IF(T593=0,"",X593/T593)</f>
        <v>0.43284025560307055</v>
      </c>
      <c r="W593" s="1">
        <v>4603.3599999999997</v>
      </c>
      <c r="X593" s="1">
        <f>T593-U593</f>
        <v>4603.3599999999997</v>
      </c>
      <c r="Y593" s="1" t="s">
        <v>163</v>
      </c>
      <c r="Z593" s="1" t="s">
        <v>111</v>
      </c>
      <c r="AA593" s="1">
        <f t="shared" si="45"/>
        <v>2</v>
      </c>
      <c r="AB593" s="2" t="str">
        <f t="shared" si="49"/>
        <v>Clean</v>
      </c>
      <c r="AC593" s="2"/>
    </row>
    <row r="594" spans="1:29">
      <c r="A594" s="1" t="s">
        <v>1866</v>
      </c>
      <c r="B594" s="2">
        <v>45385</v>
      </c>
      <c r="C594" s="2" t="str">
        <f t="shared" si="46"/>
        <v>April</v>
      </c>
      <c r="D594" s="1">
        <f t="shared" si="47"/>
        <v>2024</v>
      </c>
      <c r="E594" s="2">
        <v>45538</v>
      </c>
      <c r="F594" s="1" t="s">
        <v>1867</v>
      </c>
      <c r="G594" s="1" t="s">
        <v>44</v>
      </c>
      <c r="H594" s="1" t="s">
        <v>32</v>
      </c>
      <c r="I594" s="1" t="s">
        <v>46</v>
      </c>
      <c r="J594" s="1" t="s">
        <v>107</v>
      </c>
      <c r="K594" s="1" t="s">
        <v>108</v>
      </c>
      <c r="L594" s="1" t="s">
        <v>82</v>
      </c>
      <c r="M594" s="1" t="s">
        <v>83</v>
      </c>
      <c r="N594" s="1" t="s">
        <v>1868</v>
      </c>
      <c r="O594" s="1" t="s">
        <v>52</v>
      </c>
      <c r="P594" s="1">
        <v>8</v>
      </c>
      <c r="Q594" s="1">
        <v>4401.41</v>
      </c>
      <c r="R594" s="1">
        <v>0.15</v>
      </c>
      <c r="S594" s="1">
        <v>29929.59</v>
      </c>
      <c r="T594" s="1">
        <f t="shared" si="48"/>
        <v>29929.588</v>
      </c>
      <c r="U594" s="1">
        <v>22436.03</v>
      </c>
      <c r="V594" s="3">
        <f>IF(T594=0,"",X594/T594)</f>
        <v>0.25037290857461858</v>
      </c>
      <c r="W594" s="1">
        <v>7493.56</v>
      </c>
      <c r="X594" s="1">
        <f>T594-U594</f>
        <v>7493.5580000000009</v>
      </c>
      <c r="Y594" s="1" t="s">
        <v>40</v>
      </c>
      <c r="Z594" s="1" t="s">
        <v>41</v>
      </c>
      <c r="AA594" s="1">
        <f t="shared" si="45"/>
        <v>153</v>
      </c>
      <c r="AB594" s="2" t="str">
        <f t="shared" si="49"/>
        <v>Clean</v>
      </c>
      <c r="AC594" s="2"/>
    </row>
    <row r="595" spans="1:29">
      <c r="A595" s="1" t="s">
        <v>1869</v>
      </c>
      <c r="B595" s="2">
        <v>45927</v>
      </c>
      <c r="C595" s="2" t="str">
        <f t="shared" si="46"/>
        <v>September</v>
      </c>
      <c r="D595" s="1">
        <f t="shared" si="47"/>
        <v>2025</v>
      </c>
      <c r="E595" s="2">
        <v>45929</v>
      </c>
      <c r="F595" s="1" t="s">
        <v>1663</v>
      </c>
      <c r="G595" s="1" t="s">
        <v>61</v>
      </c>
      <c r="H595" s="1" t="s">
        <v>103</v>
      </c>
      <c r="I595" s="1" t="s">
        <v>33</v>
      </c>
      <c r="J595" s="1" t="s">
        <v>144</v>
      </c>
      <c r="K595" s="1" t="s">
        <v>145</v>
      </c>
      <c r="L595" s="1" t="s">
        <v>49</v>
      </c>
      <c r="M595" s="1" t="s">
        <v>50</v>
      </c>
      <c r="N595" s="1" t="s">
        <v>1870</v>
      </c>
      <c r="O595" s="1" t="s">
        <v>39</v>
      </c>
      <c r="P595" s="1">
        <v>9</v>
      </c>
      <c r="Q595" s="1">
        <v>4100.1099999999997</v>
      </c>
      <c r="R595" s="1">
        <v>0.25</v>
      </c>
      <c r="S595" s="1">
        <v>27675.74</v>
      </c>
      <c r="T595" s="1">
        <f t="shared" si="48"/>
        <v>27675.7425</v>
      </c>
      <c r="U595" s="1">
        <v>15571.08</v>
      </c>
      <c r="V595" s="3">
        <f>IF(T595=0,"",X595/T595)</f>
        <v>0.4373744444254748</v>
      </c>
      <c r="W595" s="1">
        <v>12104.66</v>
      </c>
      <c r="X595" s="1">
        <f>T595-U595</f>
        <v>12104.6625</v>
      </c>
      <c r="Y595" s="1" t="s">
        <v>40</v>
      </c>
      <c r="Z595" s="1" t="s">
        <v>41</v>
      </c>
      <c r="AA595" s="1">
        <f t="shared" si="45"/>
        <v>2</v>
      </c>
      <c r="AB595" s="2" t="str">
        <f t="shared" si="49"/>
        <v>Clean</v>
      </c>
      <c r="AC595" s="2"/>
    </row>
    <row r="596" spans="1:29">
      <c r="A596" s="1" t="s">
        <v>1871</v>
      </c>
      <c r="B596" s="2">
        <v>45554</v>
      </c>
      <c r="C596" s="2" t="str">
        <f t="shared" si="46"/>
        <v>September</v>
      </c>
      <c r="D596" s="1">
        <f t="shared" si="47"/>
        <v>2024</v>
      </c>
      <c r="E596" s="2">
        <v>45556</v>
      </c>
      <c r="F596" s="1" t="s">
        <v>1872</v>
      </c>
      <c r="G596" s="1" t="s">
        <v>31</v>
      </c>
      <c r="H596" s="1" t="s">
        <v>45</v>
      </c>
      <c r="I596" s="1" t="s">
        <v>46</v>
      </c>
      <c r="J596" s="1" t="s">
        <v>107</v>
      </c>
      <c r="K596" s="1" t="s">
        <v>108</v>
      </c>
      <c r="L596" s="1" t="s">
        <v>49</v>
      </c>
      <c r="M596" s="1" t="s">
        <v>74</v>
      </c>
      <c r="N596" s="1" t="s">
        <v>1873</v>
      </c>
      <c r="O596" s="1" t="s">
        <v>58</v>
      </c>
      <c r="P596" s="1">
        <v>3</v>
      </c>
      <c r="Q596" s="1">
        <v>3981.76</v>
      </c>
      <c r="R596" s="1">
        <v>0</v>
      </c>
      <c r="S596" s="1">
        <v>11945.28</v>
      </c>
      <c r="T596" s="1">
        <f t="shared" si="48"/>
        <v>11945.28</v>
      </c>
      <c r="U596" s="1">
        <v>9700.31</v>
      </c>
      <c r="V596" s="3">
        <f>IF(T596=0,"",X596/T596)</f>
        <v>0.18793782983739193</v>
      </c>
      <c r="W596" s="1">
        <v>2244.9699999999998</v>
      </c>
      <c r="X596" s="1">
        <f>T596-U596</f>
        <v>2244.9700000000012</v>
      </c>
      <c r="Y596" s="1" t="s">
        <v>40</v>
      </c>
      <c r="Z596" s="1" t="s">
        <v>41</v>
      </c>
      <c r="AA596" s="1">
        <f t="shared" si="45"/>
        <v>2</v>
      </c>
      <c r="AB596" s="2" t="str">
        <f t="shared" si="49"/>
        <v>Clean</v>
      </c>
      <c r="AC596" s="2"/>
    </row>
    <row r="597" spans="1:29">
      <c r="A597" s="1" t="s">
        <v>1874</v>
      </c>
      <c r="B597" s="2">
        <v>45699</v>
      </c>
      <c r="C597" s="2" t="str">
        <f t="shared" si="46"/>
        <v>February</v>
      </c>
      <c r="D597" s="1">
        <f t="shared" si="47"/>
        <v>2025</v>
      </c>
      <c r="E597" s="2">
        <v>45704</v>
      </c>
      <c r="F597" s="1" t="s">
        <v>1875</v>
      </c>
      <c r="G597" s="1" t="s">
        <v>44</v>
      </c>
      <c r="H597" s="1" t="s">
        <v>98</v>
      </c>
      <c r="I597" s="1" t="s">
        <v>33</v>
      </c>
      <c r="J597" s="1" t="s">
        <v>144</v>
      </c>
      <c r="K597" s="1" t="s">
        <v>145</v>
      </c>
      <c r="L597" s="1" t="s">
        <v>82</v>
      </c>
      <c r="M597" s="1" t="s">
        <v>179</v>
      </c>
      <c r="N597" s="1" t="s">
        <v>1876</v>
      </c>
      <c r="O597" s="1" t="s">
        <v>58</v>
      </c>
      <c r="P597" s="1">
        <v>8</v>
      </c>
      <c r="Q597" s="1">
        <v>1825.56</v>
      </c>
      <c r="R597" s="1">
        <v>0.1</v>
      </c>
      <c r="S597" s="1">
        <v>13144.03</v>
      </c>
      <c r="T597" s="1">
        <f t="shared" si="48"/>
        <v>13144.031999999999</v>
      </c>
      <c r="U597" s="1">
        <v>9764</v>
      </c>
      <c r="V597" s="3">
        <f>IF(T597=0,"",X597/T597)</f>
        <v>0.25715336055176974</v>
      </c>
      <c r="W597" s="1">
        <v>3380.03</v>
      </c>
      <c r="X597" s="1">
        <f>T597-U597</f>
        <v>3380.0319999999992</v>
      </c>
      <c r="Y597" s="1" t="s">
        <v>40</v>
      </c>
      <c r="Z597" s="1" t="s">
        <v>41</v>
      </c>
      <c r="AA597" s="1">
        <f t="shared" si="45"/>
        <v>5</v>
      </c>
      <c r="AB597" s="2" t="str">
        <f t="shared" si="49"/>
        <v>Clean</v>
      </c>
      <c r="AC597" s="2"/>
    </row>
    <row r="598" spans="1:29">
      <c r="A598" s="1" t="s">
        <v>1877</v>
      </c>
      <c r="B598" s="2">
        <v>45569</v>
      </c>
      <c r="C598" s="2" t="str">
        <f t="shared" si="46"/>
        <v>October</v>
      </c>
      <c r="D598" s="1">
        <f t="shared" si="47"/>
        <v>2024</v>
      </c>
      <c r="E598" s="2">
        <v>45398</v>
      </c>
      <c r="F598" s="1" t="s">
        <v>1878</v>
      </c>
      <c r="G598" s="1" t="s">
        <v>97</v>
      </c>
      <c r="H598" s="1" t="s">
        <v>32</v>
      </c>
      <c r="I598" s="1" t="s">
        <v>62</v>
      </c>
      <c r="J598" s="1" t="s">
        <v>193</v>
      </c>
      <c r="K598" s="1" t="s">
        <v>194</v>
      </c>
      <c r="L598" s="1" t="s">
        <v>49</v>
      </c>
      <c r="M598" s="1" t="s">
        <v>74</v>
      </c>
      <c r="N598" s="1" t="s">
        <v>1879</v>
      </c>
      <c r="O598" s="1" t="s">
        <v>39</v>
      </c>
      <c r="P598" s="1">
        <v>9</v>
      </c>
      <c r="Q598" s="1">
        <v>2723.26</v>
      </c>
      <c r="R598" s="1">
        <v>0.25</v>
      </c>
      <c r="S598" s="1">
        <v>18382.009999999998</v>
      </c>
      <c r="T598" s="1">
        <f t="shared" si="48"/>
        <v>18382.005000000005</v>
      </c>
      <c r="U598" s="1">
        <v>13108.2</v>
      </c>
      <c r="V598" s="3">
        <f>IF(T598=0,"",X598/T598)</f>
        <v>0.28690042245119629</v>
      </c>
      <c r="W598" s="1">
        <v>5273.81</v>
      </c>
      <c r="X598" s="1">
        <f>T598-U598</f>
        <v>5273.8050000000039</v>
      </c>
      <c r="Y598" s="1" t="s">
        <v>40</v>
      </c>
      <c r="Z598" s="1" t="s">
        <v>41</v>
      </c>
      <c r="AA598" s="4">
        <f t="shared" si="45"/>
        <v>-171</v>
      </c>
      <c r="AB598" s="2" t="str">
        <f t="shared" si="49"/>
        <v>Invalid</v>
      </c>
      <c r="AC598" s="2"/>
    </row>
    <row r="599" spans="1:29">
      <c r="A599" s="1" t="s">
        <v>1880</v>
      </c>
      <c r="B599" s="2">
        <v>45876</v>
      </c>
      <c r="C599" s="2" t="str">
        <f t="shared" si="46"/>
        <v>August</v>
      </c>
      <c r="D599" s="1">
        <f t="shared" si="47"/>
        <v>2025</v>
      </c>
      <c r="E599" s="2">
        <v>45846</v>
      </c>
      <c r="F599" s="1" t="s">
        <v>1881</v>
      </c>
      <c r="G599" s="1" t="s">
        <v>97</v>
      </c>
      <c r="H599" s="1" t="s">
        <v>32</v>
      </c>
      <c r="I599" s="1" t="s">
        <v>62</v>
      </c>
      <c r="J599" s="1" t="s">
        <v>63</v>
      </c>
      <c r="K599" s="1" t="s">
        <v>64</v>
      </c>
      <c r="L599" s="1" t="s">
        <v>82</v>
      </c>
      <c r="M599" s="1" t="s">
        <v>88</v>
      </c>
      <c r="N599" s="1" t="s">
        <v>1882</v>
      </c>
      <c r="O599" s="1" t="s">
        <v>52</v>
      </c>
      <c r="P599" s="1">
        <v>9</v>
      </c>
      <c r="Q599" s="1">
        <v>274.88</v>
      </c>
      <c r="R599" s="1">
        <v>0.25</v>
      </c>
      <c r="S599" s="1">
        <v>1855.44</v>
      </c>
      <c r="T599" s="1">
        <f t="shared" si="48"/>
        <v>1855.44</v>
      </c>
      <c r="U599" s="1">
        <v>1262.74</v>
      </c>
      <c r="V599" s="3">
        <f>IF(T599=0,"",X599/T599)</f>
        <v>0.3194390548872505</v>
      </c>
      <c r="W599" s="1">
        <v>592.70000000000005</v>
      </c>
      <c r="X599" s="1">
        <f>T599-U599</f>
        <v>592.70000000000005</v>
      </c>
      <c r="Y599" s="1" t="s">
        <v>40</v>
      </c>
      <c r="Z599" s="1" t="s">
        <v>41</v>
      </c>
      <c r="AA599" s="4">
        <f t="shared" si="45"/>
        <v>-30</v>
      </c>
      <c r="AB599" s="2" t="str">
        <f t="shared" si="49"/>
        <v>Invalid</v>
      </c>
      <c r="AC599" s="2"/>
    </row>
    <row r="600" spans="1:29">
      <c r="A600" s="1" t="s">
        <v>1883</v>
      </c>
      <c r="B600" s="2">
        <v>45521</v>
      </c>
      <c r="C600" s="2" t="str">
        <f t="shared" si="46"/>
        <v>August</v>
      </c>
      <c r="D600" s="1">
        <f t="shared" si="47"/>
        <v>2024</v>
      </c>
      <c r="E600" s="2">
        <v>45528</v>
      </c>
      <c r="F600" s="1" t="s">
        <v>1884</v>
      </c>
      <c r="G600" s="1" t="s">
        <v>70</v>
      </c>
      <c r="H600" s="1" t="s">
        <v>98</v>
      </c>
      <c r="I600" s="1" t="s">
        <v>46</v>
      </c>
      <c r="J600" s="1" t="s">
        <v>107</v>
      </c>
      <c r="K600" s="1" t="s">
        <v>108</v>
      </c>
      <c r="L600" s="1" t="s">
        <v>82</v>
      </c>
      <c r="M600" s="1" t="s">
        <v>88</v>
      </c>
      <c r="N600" s="1" t="s">
        <v>1885</v>
      </c>
      <c r="O600" s="1" t="s">
        <v>52</v>
      </c>
      <c r="P600" s="1">
        <v>3</v>
      </c>
      <c r="Q600" s="1">
        <v>1490.69</v>
      </c>
      <c r="R600" s="1">
        <v>0.25</v>
      </c>
      <c r="S600" s="1">
        <v>3354.05</v>
      </c>
      <c r="T600" s="1">
        <f t="shared" si="48"/>
        <v>3354.0524999999998</v>
      </c>
      <c r="U600" s="1">
        <v>2672.67</v>
      </c>
      <c r="V600" s="3">
        <f>IF(T600=0,"",X600/T600)</f>
        <v>0.20315200790685289</v>
      </c>
      <c r="W600" s="1">
        <v>681.38</v>
      </c>
      <c r="X600" s="1">
        <f>T600-U600</f>
        <v>681.38249999999971</v>
      </c>
      <c r="Y600" s="1" t="s">
        <v>40</v>
      </c>
      <c r="Z600" s="1" t="s">
        <v>41</v>
      </c>
      <c r="AA600" s="1">
        <f t="shared" si="45"/>
        <v>7</v>
      </c>
      <c r="AB600" s="2" t="str">
        <f t="shared" si="49"/>
        <v>Clean</v>
      </c>
      <c r="AC600" s="2"/>
    </row>
    <row r="601" spans="1:29">
      <c r="A601" s="1" t="s">
        <v>1886</v>
      </c>
      <c r="B601" s="2">
        <v>45523</v>
      </c>
      <c r="C601" s="2" t="str">
        <f t="shared" si="46"/>
        <v>August</v>
      </c>
      <c r="D601" s="1">
        <f t="shared" si="47"/>
        <v>2024</v>
      </c>
      <c r="E601" s="2">
        <v>45525</v>
      </c>
      <c r="F601" s="1" t="s">
        <v>1887</v>
      </c>
      <c r="G601" s="1" t="s">
        <v>61</v>
      </c>
      <c r="H601" s="1" t="s">
        <v>32</v>
      </c>
      <c r="I601" s="1" t="s">
        <v>33</v>
      </c>
      <c r="J601" s="1" t="s">
        <v>130</v>
      </c>
      <c r="K601" s="1" t="s">
        <v>131</v>
      </c>
      <c r="L601" s="1" t="s">
        <v>82</v>
      </c>
      <c r="M601" s="1" t="s">
        <v>179</v>
      </c>
      <c r="N601" s="1" t="s">
        <v>1888</v>
      </c>
      <c r="O601" s="1" t="s">
        <v>58</v>
      </c>
      <c r="P601" s="1">
        <v>3</v>
      </c>
      <c r="Q601" s="1">
        <v>1103.54</v>
      </c>
      <c r="R601" s="1">
        <v>0.25</v>
      </c>
      <c r="S601" s="1">
        <v>2482.9699999999998</v>
      </c>
      <c r="T601" s="1">
        <f t="shared" si="48"/>
        <v>2482.9650000000001</v>
      </c>
      <c r="U601" s="1">
        <v>1621.72</v>
      </c>
      <c r="V601" s="3">
        <f>IF(T601=0,"",X601/T601)</f>
        <v>0.34686151435884116</v>
      </c>
      <c r="W601" s="1">
        <v>861.25</v>
      </c>
      <c r="X601" s="1">
        <f>T601-U601</f>
        <v>861.24500000000012</v>
      </c>
      <c r="Y601" s="1" t="s">
        <v>40</v>
      </c>
      <c r="Z601" s="1" t="s">
        <v>41</v>
      </c>
      <c r="AA601" s="1">
        <f t="shared" si="45"/>
        <v>2</v>
      </c>
      <c r="AB601" s="2" t="str">
        <f t="shared" si="49"/>
        <v>Clean</v>
      </c>
      <c r="AC601" s="2"/>
    </row>
    <row r="602" spans="1:29">
      <c r="A602" s="1" t="s">
        <v>1889</v>
      </c>
      <c r="B602" s="2">
        <v>45780</v>
      </c>
      <c r="C602" s="2" t="str">
        <f t="shared" si="46"/>
        <v>May</v>
      </c>
      <c r="D602" s="1">
        <f t="shared" si="47"/>
        <v>2025</v>
      </c>
      <c r="E602" s="2">
        <v>45994</v>
      </c>
      <c r="F602" s="1" t="s">
        <v>1890</v>
      </c>
      <c r="G602" s="1" t="s">
        <v>70</v>
      </c>
      <c r="H602" s="1" t="s">
        <v>98</v>
      </c>
      <c r="I602" s="1" t="s">
        <v>71</v>
      </c>
      <c r="J602" s="1" t="s">
        <v>80</v>
      </c>
      <c r="K602" s="1" t="s">
        <v>81</v>
      </c>
      <c r="L602" s="1" t="s">
        <v>36</v>
      </c>
      <c r="M602" s="1" t="s">
        <v>132</v>
      </c>
      <c r="N602" s="1" t="s">
        <v>1891</v>
      </c>
      <c r="O602" s="1" t="s">
        <v>52</v>
      </c>
      <c r="P602" s="1">
        <v>3</v>
      </c>
      <c r="Q602" s="1">
        <v>3682.75</v>
      </c>
      <c r="R602" s="1">
        <v>0</v>
      </c>
      <c r="S602" s="1">
        <v>11048.25</v>
      </c>
      <c r="T602" s="1">
        <f t="shared" si="48"/>
        <v>11048.25</v>
      </c>
      <c r="U602" s="1">
        <v>9062.7199999999993</v>
      </c>
      <c r="V602" s="3">
        <f>IF(T602=0,"",X602/T602)</f>
        <v>0.17971443441268986</v>
      </c>
      <c r="W602" s="1">
        <v>1985.53</v>
      </c>
      <c r="X602" s="1">
        <f>T602-U602</f>
        <v>1985.5300000000007</v>
      </c>
      <c r="Y602" s="1" t="s">
        <v>40</v>
      </c>
      <c r="Z602" s="1" t="s">
        <v>41</v>
      </c>
      <c r="AA602" s="1">
        <f t="shared" si="45"/>
        <v>214</v>
      </c>
      <c r="AB602" s="2" t="str">
        <f t="shared" si="49"/>
        <v>Clean</v>
      </c>
      <c r="AC602" s="2"/>
    </row>
    <row r="603" spans="1:29">
      <c r="A603" s="1" t="s">
        <v>1892</v>
      </c>
      <c r="B603" s="2">
        <v>45317</v>
      </c>
      <c r="C603" s="2" t="str">
        <f t="shared" si="46"/>
        <v>January</v>
      </c>
      <c r="D603" s="1">
        <f t="shared" si="47"/>
        <v>2024</v>
      </c>
      <c r="E603" s="2">
        <v>45322</v>
      </c>
      <c r="F603" s="1" t="s">
        <v>1893</v>
      </c>
      <c r="G603" s="1" t="s">
        <v>70</v>
      </c>
      <c r="H603" s="1" t="s">
        <v>103</v>
      </c>
      <c r="I603" s="1" t="s">
        <v>46</v>
      </c>
      <c r="J603" s="1" t="s">
        <v>107</v>
      </c>
      <c r="K603" s="1" t="s">
        <v>108</v>
      </c>
      <c r="L603" s="1" t="s">
        <v>36</v>
      </c>
      <c r="M603" s="1" t="s">
        <v>37</v>
      </c>
      <c r="N603" s="1" t="s">
        <v>1894</v>
      </c>
      <c r="O603" s="1" t="s">
        <v>39</v>
      </c>
      <c r="P603" s="1">
        <v>5</v>
      </c>
      <c r="Q603" s="1">
        <v>1615.03</v>
      </c>
      <c r="R603" s="1">
        <v>0.2</v>
      </c>
      <c r="S603" s="1">
        <v>6460.12</v>
      </c>
      <c r="T603" s="1">
        <f t="shared" si="48"/>
        <v>6460.12</v>
      </c>
      <c r="U603" s="1">
        <v>3604.03</v>
      </c>
      <c r="V603" s="3">
        <f>IF(T603=0,"",X603/T603)</f>
        <v>0.44211098245853014</v>
      </c>
      <c r="W603" s="1">
        <v>2856.09</v>
      </c>
      <c r="X603" s="1">
        <f>T603-U603</f>
        <v>2856.0899999999997</v>
      </c>
      <c r="Y603" s="1" t="s">
        <v>40</v>
      </c>
      <c r="Z603" s="1" t="s">
        <v>41</v>
      </c>
      <c r="AA603" s="1">
        <f t="shared" si="45"/>
        <v>5</v>
      </c>
      <c r="AB603" s="2" t="str">
        <f t="shared" si="49"/>
        <v>Clean</v>
      </c>
      <c r="AC603" s="2"/>
    </row>
    <row r="604" spans="1:29">
      <c r="A604" s="1" t="s">
        <v>1895</v>
      </c>
      <c r="B604" s="2">
        <v>45588</v>
      </c>
      <c r="C604" s="2" t="str">
        <f t="shared" si="46"/>
        <v>October</v>
      </c>
      <c r="D604" s="1">
        <f t="shared" si="47"/>
        <v>2024</v>
      </c>
      <c r="E604" s="2">
        <v>45595</v>
      </c>
      <c r="F604" s="1" t="s">
        <v>1896</v>
      </c>
      <c r="G604" s="1" t="s">
        <v>136</v>
      </c>
      <c r="H604" s="1" t="s">
        <v>32</v>
      </c>
      <c r="I604" s="1" t="s">
        <v>46</v>
      </c>
      <c r="J604" s="1" t="s">
        <v>237</v>
      </c>
      <c r="K604" s="1" t="s">
        <v>238</v>
      </c>
      <c r="L604" s="1" t="s">
        <v>82</v>
      </c>
      <c r="M604" s="1" t="s">
        <v>88</v>
      </c>
      <c r="N604" s="1" t="s">
        <v>1897</v>
      </c>
      <c r="O604" s="1" t="s">
        <v>39</v>
      </c>
      <c r="P604" s="1">
        <v>9</v>
      </c>
      <c r="Q604" s="1">
        <v>3423.82</v>
      </c>
      <c r="R604" s="1">
        <v>0.15</v>
      </c>
      <c r="S604" s="1">
        <v>26192.22</v>
      </c>
      <c r="T604" s="1">
        <f t="shared" si="48"/>
        <v>26192.223000000002</v>
      </c>
      <c r="U604" s="1">
        <v>20795.55</v>
      </c>
      <c r="V604" s="3">
        <f>IF(T604=0,"",X604/T604)</f>
        <v>0.20604104508426041</v>
      </c>
      <c r="W604" s="1">
        <v>5396.67</v>
      </c>
      <c r="X604" s="1">
        <f>T604-U604</f>
        <v>5396.6730000000025</v>
      </c>
      <c r="Y604" s="1" t="s">
        <v>40</v>
      </c>
      <c r="Z604" s="1" t="s">
        <v>41</v>
      </c>
      <c r="AA604" s="1">
        <f t="shared" si="45"/>
        <v>7</v>
      </c>
      <c r="AB604" s="2" t="str">
        <f t="shared" si="49"/>
        <v>Clean</v>
      </c>
      <c r="AC604" s="2"/>
    </row>
    <row r="605" spans="1:29">
      <c r="A605" s="1" t="s">
        <v>1898</v>
      </c>
      <c r="B605" s="2">
        <v>45660</v>
      </c>
      <c r="C605" s="2" t="str">
        <f t="shared" si="46"/>
        <v>January</v>
      </c>
      <c r="D605" s="1">
        <f t="shared" si="47"/>
        <v>2025</v>
      </c>
      <c r="E605" s="2">
        <v>45962</v>
      </c>
      <c r="F605" s="1" t="s">
        <v>343</v>
      </c>
      <c r="G605" s="1" t="s">
        <v>79</v>
      </c>
      <c r="H605" s="1" t="s">
        <v>98</v>
      </c>
      <c r="I605" s="1" t="s">
        <v>46</v>
      </c>
      <c r="J605" s="1" t="s">
        <v>153</v>
      </c>
      <c r="K605" s="1" t="s">
        <v>154</v>
      </c>
      <c r="L605" s="1" t="s">
        <v>82</v>
      </c>
      <c r="M605" s="1" t="s">
        <v>83</v>
      </c>
      <c r="N605" s="1" t="s">
        <v>1899</v>
      </c>
      <c r="O605" s="1" t="s">
        <v>58</v>
      </c>
      <c r="P605" s="1">
        <v>8</v>
      </c>
      <c r="Q605" s="1">
        <v>2574.29</v>
      </c>
      <c r="R605" s="1">
        <v>0.05</v>
      </c>
      <c r="S605" s="1">
        <v>19564.599999999999</v>
      </c>
      <c r="T605" s="1">
        <f t="shared" si="48"/>
        <v>19564.603999999999</v>
      </c>
      <c r="U605" s="1">
        <v>11154.59</v>
      </c>
      <c r="V605" s="3">
        <f>IF(T605=0,"",X605/T605)</f>
        <v>0.42985863654587642</v>
      </c>
      <c r="W605" s="1">
        <v>8410.01</v>
      </c>
      <c r="X605" s="1">
        <f>T605-U605</f>
        <v>8410.0139999999992</v>
      </c>
      <c r="Y605" s="1" t="s">
        <v>119</v>
      </c>
      <c r="Z605" s="1" t="s">
        <v>76</v>
      </c>
      <c r="AA605" s="1">
        <f t="shared" si="45"/>
        <v>302</v>
      </c>
      <c r="AB605" s="2" t="str">
        <f t="shared" si="49"/>
        <v>Clean</v>
      </c>
      <c r="AC605" s="2"/>
    </row>
    <row r="606" spans="1:29">
      <c r="A606" s="1" t="s">
        <v>1900</v>
      </c>
      <c r="B606" s="2">
        <v>45779</v>
      </c>
      <c r="C606" s="2" t="str">
        <f t="shared" si="46"/>
        <v>May</v>
      </c>
      <c r="D606" s="1">
        <f t="shared" si="47"/>
        <v>2025</v>
      </c>
      <c r="E606" s="2">
        <v>45694</v>
      </c>
      <c r="F606" s="1" t="s">
        <v>1901</v>
      </c>
      <c r="G606" s="1" t="s">
        <v>70</v>
      </c>
      <c r="H606" s="1" t="s">
        <v>32</v>
      </c>
      <c r="I606" s="1" t="s">
        <v>71</v>
      </c>
      <c r="J606" s="1" t="s">
        <v>80</v>
      </c>
      <c r="K606" s="1" t="s">
        <v>81</v>
      </c>
      <c r="L606" s="1" t="s">
        <v>36</v>
      </c>
      <c r="M606" s="1" t="s">
        <v>161</v>
      </c>
      <c r="N606" s="1" t="s">
        <v>1902</v>
      </c>
      <c r="O606" s="1" t="s">
        <v>52</v>
      </c>
      <c r="P606" s="1">
        <v>3</v>
      </c>
      <c r="Q606" s="1">
        <v>1076.3</v>
      </c>
      <c r="R606" s="1">
        <v>0</v>
      </c>
      <c r="S606" s="1">
        <v>3228.9</v>
      </c>
      <c r="T606" s="1">
        <f t="shared" si="48"/>
        <v>3228.8999999999996</v>
      </c>
      <c r="U606" s="1">
        <v>1853.23</v>
      </c>
      <c r="V606" s="3">
        <f>IF(T606=0,"",X606/T606)</f>
        <v>0.42604911889497965</v>
      </c>
      <c r="W606" s="1">
        <v>1375.67</v>
      </c>
      <c r="X606" s="1">
        <f>T606-U606</f>
        <v>1375.6699999999996</v>
      </c>
      <c r="Y606" s="1" t="s">
        <v>40</v>
      </c>
      <c r="Z606" s="1" t="s">
        <v>41</v>
      </c>
      <c r="AA606" s="4">
        <f t="shared" si="45"/>
        <v>-85</v>
      </c>
      <c r="AB606" s="2" t="str">
        <f t="shared" si="49"/>
        <v>Invalid</v>
      </c>
      <c r="AC606" s="2"/>
    </row>
    <row r="607" spans="1:29">
      <c r="A607" s="1" t="s">
        <v>1903</v>
      </c>
      <c r="B607" s="2">
        <v>45907</v>
      </c>
      <c r="C607" s="2" t="str">
        <f t="shared" si="46"/>
        <v>September</v>
      </c>
      <c r="D607" s="1">
        <f t="shared" si="47"/>
        <v>2025</v>
      </c>
      <c r="E607" s="2">
        <v>45851</v>
      </c>
      <c r="F607" s="1" t="s">
        <v>1904</v>
      </c>
      <c r="G607" s="1" t="s">
        <v>273</v>
      </c>
      <c r="H607" s="1" t="s">
        <v>98</v>
      </c>
      <c r="I607" s="1" t="s">
        <v>71</v>
      </c>
      <c r="J607" s="1" t="s">
        <v>198</v>
      </c>
      <c r="K607" s="1" t="s">
        <v>199</v>
      </c>
      <c r="L607" s="1" t="s">
        <v>49</v>
      </c>
      <c r="M607" s="1" t="s">
        <v>65</v>
      </c>
      <c r="N607" s="1" t="s">
        <v>1905</v>
      </c>
      <c r="O607" s="1" t="s">
        <v>39</v>
      </c>
      <c r="P607" s="1">
        <v>5</v>
      </c>
      <c r="Q607" s="1">
        <v>1680.01</v>
      </c>
      <c r="R607" s="1">
        <v>0.85</v>
      </c>
      <c r="S607" s="1">
        <v>7560.04</v>
      </c>
      <c r="T607" s="1">
        <f t="shared" si="48"/>
        <v>1260.0075000000002</v>
      </c>
      <c r="U607" s="1">
        <v>6448.05</v>
      </c>
      <c r="V607" s="3">
        <f>IF(T607=0,"",X607/T607)</f>
        <v>-4.1174695388717915</v>
      </c>
      <c r="W607" s="1">
        <v>1111.99</v>
      </c>
      <c r="X607" s="1">
        <f>T607-U607</f>
        <v>-5188.0424999999996</v>
      </c>
      <c r="Y607" s="1" t="s">
        <v>40</v>
      </c>
      <c r="Z607" s="1" t="s">
        <v>76</v>
      </c>
      <c r="AA607" s="4">
        <f t="shared" si="45"/>
        <v>-56</v>
      </c>
      <c r="AB607" s="2" t="str">
        <f t="shared" si="49"/>
        <v>Invalid</v>
      </c>
      <c r="AC607" s="2"/>
    </row>
    <row r="608" spans="1:29">
      <c r="A608" s="1" t="s">
        <v>1906</v>
      </c>
      <c r="B608" s="2">
        <v>45710</v>
      </c>
      <c r="C608" s="2" t="str">
        <f t="shared" si="46"/>
        <v>February</v>
      </c>
      <c r="D608" s="1">
        <f t="shared" si="47"/>
        <v>2025</v>
      </c>
      <c r="E608" s="2">
        <v>45716</v>
      </c>
      <c r="F608" s="1" t="s">
        <v>1907</v>
      </c>
      <c r="G608" s="1" t="s">
        <v>126</v>
      </c>
      <c r="H608" s="1" t="s">
        <v>103</v>
      </c>
      <c r="I608" s="1" t="s">
        <v>71</v>
      </c>
      <c r="J608" s="1" t="s">
        <v>80</v>
      </c>
      <c r="K608" s="1" t="s">
        <v>81</v>
      </c>
      <c r="L608" s="1" t="s">
        <v>82</v>
      </c>
      <c r="M608" s="1" t="s">
        <v>88</v>
      </c>
      <c r="N608" s="1" t="s">
        <v>1908</v>
      </c>
      <c r="O608" s="1" t="s">
        <v>52</v>
      </c>
      <c r="P608" s="1">
        <v>3</v>
      </c>
      <c r="Q608" s="1">
        <v>3890.81</v>
      </c>
      <c r="R608" s="1">
        <v>0.25</v>
      </c>
      <c r="S608" s="1">
        <v>8754.32</v>
      </c>
      <c r="T608" s="1">
        <f t="shared" si="48"/>
        <v>8754.3225000000002</v>
      </c>
      <c r="U608" s="1">
        <v>6238.9</v>
      </c>
      <c r="V608" s="3">
        <f>IF(T608=0,"",X608/T608)</f>
        <v>0.28733491369549163</v>
      </c>
      <c r="W608" s="1">
        <v>2515.42</v>
      </c>
      <c r="X608" s="1">
        <f>T608-U608</f>
        <v>2515.4225000000006</v>
      </c>
      <c r="Y608" s="1" t="s">
        <v>40</v>
      </c>
      <c r="Z608" s="1" t="s">
        <v>41</v>
      </c>
      <c r="AA608" s="1">
        <f t="shared" si="45"/>
        <v>6</v>
      </c>
      <c r="AB608" s="2" t="str">
        <f t="shared" si="49"/>
        <v>Clean</v>
      </c>
      <c r="AC608" s="2"/>
    </row>
    <row r="609" spans="1:29">
      <c r="A609" s="1" t="s">
        <v>1909</v>
      </c>
      <c r="B609" s="2">
        <v>45704</v>
      </c>
      <c r="C609" s="2" t="str">
        <f t="shared" si="46"/>
        <v>February</v>
      </c>
      <c r="D609" s="1">
        <f t="shared" si="47"/>
        <v>2025</v>
      </c>
      <c r="E609" s="2">
        <v>45710</v>
      </c>
      <c r="F609" s="1" t="s">
        <v>1910</v>
      </c>
      <c r="G609" s="1" t="s">
        <v>140</v>
      </c>
      <c r="H609" s="1" t="s">
        <v>103</v>
      </c>
      <c r="I609" s="1" t="s">
        <v>46</v>
      </c>
      <c r="J609" s="1" t="s">
        <v>153</v>
      </c>
      <c r="K609" s="1" t="s">
        <v>154</v>
      </c>
      <c r="L609" s="1" t="s">
        <v>36</v>
      </c>
      <c r="M609" s="1" t="s">
        <v>132</v>
      </c>
      <c r="N609" s="1" t="s">
        <v>1911</v>
      </c>
      <c r="O609" s="1" t="s">
        <v>52</v>
      </c>
      <c r="P609" s="1">
        <v>5</v>
      </c>
      <c r="Q609" s="1">
        <v>954.67</v>
      </c>
      <c r="R609" s="1">
        <v>0.15</v>
      </c>
      <c r="S609" s="1">
        <v>4057.35</v>
      </c>
      <c r="T609" s="1">
        <f t="shared" si="48"/>
        <v>4057.3474999999994</v>
      </c>
      <c r="U609" s="1">
        <v>2862.03</v>
      </c>
      <c r="V609" s="3">
        <f>IF(T609=0,"",X609/T609)</f>
        <v>0.29460565061286947</v>
      </c>
      <c r="W609" s="1">
        <v>1195.32</v>
      </c>
      <c r="X609" s="1">
        <f>T609-U609</f>
        <v>1195.3174999999992</v>
      </c>
      <c r="Y609" s="1" t="s">
        <v>40</v>
      </c>
      <c r="Z609" s="1" t="s">
        <v>41</v>
      </c>
      <c r="AA609" s="1">
        <f t="shared" si="45"/>
        <v>6</v>
      </c>
      <c r="AB609" s="2" t="str">
        <f t="shared" si="49"/>
        <v>Clean</v>
      </c>
      <c r="AC609" s="2"/>
    </row>
    <row r="610" spans="1:29">
      <c r="A610" s="1" t="s">
        <v>1912</v>
      </c>
      <c r="B610" s="2">
        <v>45464</v>
      </c>
      <c r="C610" s="2" t="str">
        <f t="shared" si="46"/>
        <v>June</v>
      </c>
      <c r="D610" s="1">
        <f t="shared" si="47"/>
        <v>2024</v>
      </c>
      <c r="E610" s="2">
        <v>45466</v>
      </c>
      <c r="F610" s="1" t="s">
        <v>1692</v>
      </c>
      <c r="G610" s="1" t="s">
        <v>31</v>
      </c>
      <c r="H610" s="1" t="s">
        <v>103</v>
      </c>
      <c r="I610" s="1" t="s">
        <v>71</v>
      </c>
      <c r="J610" s="1" t="s">
        <v>198</v>
      </c>
      <c r="K610" s="1" t="s">
        <v>199</v>
      </c>
      <c r="L610" s="1" t="s">
        <v>49</v>
      </c>
      <c r="M610" s="1" t="s">
        <v>65</v>
      </c>
      <c r="N610" s="1" t="s">
        <v>1913</v>
      </c>
      <c r="O610" s="1" t="s">
        <v>39</v>
      </c>
      <c r="P610" s="1">
        <v>9</v>
      </c>
      <c r="Q610" s="1">
        <v>2153.75</v>
      </c>
      <c r="R610" s="1">
        <v>0</v>
      </c>
      <c r="S610" s="1">
        <v>19383.75</v>
      </c>
      <c r="T610" s="1">
        <f t="shared" si="48"/>
        <v>19383.75</v>
      </c>
      <c r="U610" s="1">
        <v>11667.43</v>
      </c>
      <c r="V610" s="3">
        <f>IF(T610=0,"",X610/T610)</f>
        <v>0.39808189849745274</v>
      </c>
      <c r="W610" s="1">
        <v>7716.32</v>
      </c>
      <c r="X610" s="1">
        <f>T610-U610</f>
        <v>7716.32</v>
      </c>
      <c r="Y610" s="1" t="s">
        <v>40</v>
      </c>
      <c r="Z610" s="1" t="s">
        <v>41</v>
      </c>
      <c r="AA610" s="1">
        <f t="shared" si="45"/>
        <v>2</v>
      </c>
      <c r="AB610" s="2" t="str">
        <f t="shared" si="49"/>
        <v>Clean</v>
      </c>
      <c r="AC610" s="2"/>
    </row>
    <row r="611" spans="1:29">
      <c r="A611" s="1" t="s">
        <v>1914</v>
      </c>
      <c r="B611" s="2">
        <v>45870</v>
      </c>
      <c r="C611" s="2" t="str">
        <f t="shared" si="46"/>
        <v>August</v>
      </c>
      <c r="D611" s="1">
        <f t="shared" si="47"/>
        <v>2025</v>
      </c>
      <c r="E611" s="2">
        <v>45992</v>
      </c>
      <c r="F611" s="1" t="s">
        <v>1915</v>
      </c>
      <c r="G611" s="1" t="s">
        <v>140</v>
      </c>
      <c r="H611" s="1" t="s">
        <v>103</v>
      </c>
      <c r="I611" s="1" t="s">
        <v>62</v>
      </c>
      <c r="J611" s="1" t="s">
        <v>183</v>
      </c>
      <c r="K611" s="1" t="s">
        <v>184</v>
      </c>
      <c r="L611" s="1" t="s">
        <v>49</v>
      </c>
      <c r="M611" s="1" t="s">
        <v>74</v>
      </c>
      <c r="N611" s="1" t="s">
        <v>1916</v>
      </c>
      <c r="O611" s="1" t="s">
        <v>67</v>
      </c>
      <c r="P611" s="1">
        <v>7</v>
      </c>
      <c r="Q611" s="1">
        <v>4337.4799999999996</v>
      </c>
      <c r="R611" s="1">
        <v>0</v>
      </c>
      <c r="S611" s="1">
        <v>30362.36</v>
      </c>
      <c r="T611" s="1">
        <f t="shared" si="48"/>
        <v>30362.359999999997</v>
      </c>
      <c r="U611" s="1">
        <v>25065.4</v>
      </c>
      <c r="V611" s="3">
        <f>IF(T611=0,"",X611/T611)</f>
        <v>0.17445811195177174</v>
      </c>
      <c r="W611" s="1">
        <v>5296.96</v>
      </c>
      <c r="X611" s="1">
        <f>T611-U611</f>
        <v>5296.9599999999955</v>
      </c>
      <c r="Y611" s="1" t="s">
        <v>40</v>
      </c>
      <c r="Z611" s="1" t="s">
        <v>41</v>
      </c>
      <c r="AA611" s="1">
        <f t="shared" si="45"/>
        <v>122</v>
      </c>
      <c r="AB611" s="2" t="str">
        <f t="shared" si="49"/>
        <v>Clean</v>
      </c>
      <c r="AC611" s="2"/>
    </row>
    <row r="612" spans="1:29">
      <c r="A612" s="1" t="s">
        <v>1917</v>
      </c>
      <c r="B612" s="2">
        <v>45432</v>
      </c>
      <c r="C612" s="2" t="str">
        <f t="shared" si="46"/>
        <v>May</v>
      </c>
      <c r="D612" s="1">
        <f t="shared" si="47"/>
        <v>2024</v>
      </c>
      <c r="E612" s="2">
        <v>45432</v>
      </c>
      <c r="F612" s="1" t="s">
        <v>1362</v>
      </c>
      <c r="G612" s="1" t="s">
        <v>31</v>
      </c>
      <c r="H612" s="1" t="s">
        <v>103</v>
      </c>
      <c r="I612" s="1" t="s">
        <v>71</v>
      </c>
      <c r="J612" s="1" t="s">
        <v>80</v>
      </c>
      <c r="K612" s="1" t="s">
        <v>81</v>
      </c>
      <c r="L612" s="1" t="s">
        <v>49</v>
      </c>
      <c r="M612" s="1" t="s">
        <v>74</v>
      </c>
      <c r="N612" s="1" t="s">
        <v>1918</v>
      </c>
      <c r="O612" s="1" t="s">
        <v>67</v>
      </c>
      <c r="P612" s="1">
        <v>1</v>
      </c>
      <c r="Q612" s="1">
        <v>3032.95</v>
      </c>
      <c r="R612" s="1">
        <v>0.1</v>
      </c>
      <c r="S612" s="1">
        <v>2729.65</v>
      </c>
      <c r="T612" s="1">
        <f t="shared" si="48"/>
        <v>2729.6549999999997</v>
      </c>
      <c r="U612" s="1">
        <v>1715.36</v>
      </c>
      <c r="V612" s="3">
        <f>IF(T612=0,"",X612/T612)</f>
        <v>0.37158358840219735</v>
      </c>
      <c r="W612" s="1">
        <v>1014.29</v>
      </c>
      <c r="X612" s="1">
        <f>T612-U612</f>
        <v>1014.2949999999998</v>
      </c>
      <c r="Y612" s="1" t="s">
        <v>40</v>
      </c>
      <c r="Z612" s="1" t="s">
        <v>41</v>
      </c>
      <c r="AA612" s="1">
        <f t="shared" si="45"/>
        <v>0</v>
      </c>
      <c r="AB612" s="2" t="str">
        <f t="shared" si="49"/>
        <v>Clean</v>
      </c>
      <c r="AC612" s="2"/>
    </row>
    <row r="613" spans="1:29">
      <c r="A613" s="1" t="s">
        <v>1919</v>
      </c>
      <c r="B613" s="2">
        <v>45876</v>
      </c>
      <c r="C613" s="2" t="str">
        <f t="shared" si="46"/>
        <v>August</v>
      </c>
      <c r="D613" s="1">
        <f t="shared" si="47"/>
        <v>2025</v>
      </c>
      <c r="E613" s="2">
        <v>45853</v>
      </c>
      <c r="F613" s="1" t="s">
        <v>1920</v>
      </c>
      <c r="G613" s="1" t="s">
        <v>70</v>
      </c>
      <c r="H613" s="1" t="s">
        <v>45</v>
      </c>
      <c r="I613" s="1" t="s">
        <v>33</v>
      </c>
      <c r="J613" s="1" t="s">
        <v>34</v>
      </c>
      <c r="K613" s="1" t="s">
        <v>35</v>
      </c>
      <c r="L613" s="1" t="s">
        <v>36</v>
      </c>
      <c r="M613" s="1" t="s">
        <v>161</v>
      </c>
      <c r="N613" s="1" t="s">
        <v>1921</v>
      </c>
      <c r="O613" s="1" t="s">
        <v>52</v>
      </c>
      <c r="P613" s="1">
        <v>8</v>
      </c>
      <c r="Q613" s="1">
        <v>655.28</v>
      </c>
      <c r="R613" s="1">
        <v>0.1</v>
      </c>
      <c r="S613" s="1">
        <v>4718.0200000000004</v>
      </c>
      <c r="T613" s="1">
        <f t="shared" si="48"/>
        <v>4718.0159999999996</v>
      </c>
      <c r="U613" s="1">
        <v>3908.23</v>
      </c>
      <c r="V613" s="3">
        <f>IF(T613=0,"",X613/T613)</f>
        <v>0.17163697622051297</v>
      </c>
      <c r="W613" s="1">
        <v>809.79</v>
      </c>
      <c r="X613" s="1">
        <f>T613-U613</f>
        <v>809.7859999999996</v>
      </c>
      <c r="Y613" s="1" t="s">
        <v>40</v>
      </c>
      <c r="Z613" s="1" t="s">
        <v>41</v>
      </c>
      <c r="AA613" s="4">
        <f t="shared" si="45"/>
        <v>-23</v>
      </c>
      <c r="AB613" s="2" t="str">
        <f t="shared" si="49"/>
        <v>Invalid</v>
      </c>
      <c r="AC613" s="2"/>
    </row>
    <row r="614" spans="1:29">
      <c r="A614" s="1" t="s">
        <v>1922</v>
      </c>
      <c r="B614" s="2">
        <v>45812</v>
      </c>
      <c r="C614" s="2" t="str">
        <f t="shared" si="46"/>
        <v>June</v>
      </c>
      <c r="D614" s="1">
        <f t="shared" si="47"/>
        <v>2025</v>
      </c>
      <c r="E614" s="2">
        <v>45760</v>
      </c>
      <c r="F614" s="1" t="s">
        <v>1923</v>
      </c>
      <c r="G614" s="1" t="s">
        <v>97</v>
      </c>
      <c r="H614" s="1" t="s">
        <v>32</v>
      </c>
      <c r="I614" s="1" t="s">
        <v>213</v>
      </c>
      <c r="J614" s="1" t="s">
        <v>47</v>
      </c>
      <c r="K614" s="1" t="s">
        <v>48</v>
      </c>
      <c r="L614" s="1" t="s">
        <v>82</v>
      </c>
      <c r="M614" s="1" t="s">
        <v>179</v>
      </c>
      <c r="N614" s="1" t="s">
        <v>1924</v>
      </c>
      <c r="O614" s="1" t="s">
        <v>67</v>
      </c>
      <c r="P614" s="1">
        <v>1</v>
      </c>
      <c r="Q614" s="1">
        <v>3844.01</v>
      </c>
      <c r="R614" s="1">
        <v>0</v>
      </c>
      <c r="S614" s="1">
        <v>3844.01</v>
      </c>
      <c r="T614" s="1">
        <f t="shared" si="48"/>
        <v>3844.01</v>
      </c>
      <c r="U614" s="1">
        <v>2195.79</v>
      </c>
      <c r="V614" s="3">
        <f>IF(T614=0,"",X614/T614)</f>
        <v>0.42877619985379856</v>
      </c>
      <c r="W614" s="1">
        <v>1648.22</v>
      </c>
      <c r="X614" s="1">
        <f>T614-U614</f>
        <v>1648.2200000000003</v>
      </c>
      <c r="Y614" s="1" t="s">
        <v>40</v>
      </c>
      <c r="Z614" s="1" t="s">
        <v>41</v>
      </c>
      <c r="AA614" s="4">
        <f t="shared" si="45"/>
        <v>-52</v>
      </c>
      <c r="AB614" s="2" t="s">
        <v>459</v>
      </c>
      <c r="AC614" s="2"/>
    </row>
    <row r="615" spans="1:29">
      <c r="A615" s="1" t="s">
        <v>1925</v>
      </c>
      <c r="B615" s="2">
        <v>45422</v>
      </c>
      <c r="C615" s="2" t="str">
        <f t="shared" si="46"/>
        <v>May</v>
      </c>
      <c r="D615" s="1">
        <f t="shared" si="47"/>
        <v>2024</v>
      </c>
      <c r="E615" s="2">
        <v>45575</v>
      </c>
      <c r="F615" s="1" t="s">
        <v>1926</v>
      </c>
      <c r="G615" s="1" t="s">
        <v>170</v>
      </c>
      <c r="H615" s="1" t="s">
        <v>103</v>
      </c>
      <c r="I615" s="1" t="s">
        <v>71</v>
      </c>
      <c r="J615" s="1" t="s">
        <v>188</v>
      </c>
      <c r="K615" s="1" t="s">
        <v>189</v>
      </c>
      <c r="L615" s="1" t="s">
        <v>82</v>
      </c>
      <c r="M615" s="1" t="s">
        <v>283</v>
      </c>
      <c r="N615" s="1" t="s">
        <v>1927</v>
      </c>
      <c r="O615" s="1" t="s">
        <v>52</v>
      </c>
      <c r="P615" s="1">
        <v>9</v>
      </c>
      <c r="Q615" s="1">
        <v>3361.3</v>
      </c>
      <c r="R615" s="1">
        <v>0.25</v>
      </c>
      <c r="S615" s="1">
        <v>22688.78</v>
      </c>
      <c r="T615" s="1">
        <f t="shared" si="48"/>
        <v>22688.775000000001</v>
      </c>
      <c r="U615" s="1">
        <v>14672.41</v>
      </c>
      <c r="V615" s="3">
        <f>IF(T615=0,"",X615/T615)</f>
        <v>0.35331854628555315</v>
      </c>
      <c r="W615" s="1">
        <v>8016.37</v>
      </c>
      <c r="X615" s="1">
        <f>T615-U615</f>
        <v>8016.3650000000016</v>
      </c>
      <c r="Y615" s="1" t="s">
        <v>40</v>
      </c>
      <c r="Z615" s="1" t="s">
        <v>41</v>
      </c>
      <c r="AA615" s="1">
        <f t="shared" si="45"/>
        <v>153</v>
      </c>
      <c r="AB615" s="2" t="str">
        <f t="shared" si="49"/>
        <v>Clean</v>
      </c>
      <c r="AC615" s="2"/>
    </row>
    <row r="616" spans="1:29">
      <c r="A616" s="1" t="s">
        <v>1928</v>
      </c>
      <c r="B616" s="2">
        <v>45598</v>
      </c>
      <c r="C616" s="2" t="str">
        <f t="shared" si="46"/>
        <v>November</v>
      </c>
      <c r="D616" s="1">
        <f t="shared" si="47"/>
        <v>2024</v>
      </c>
      <c r="E616" s="2">
        <v>45341</v>
      </c>
      <c r="F616" s="1" t="s">
        <v>1929</v>
      </c>
      <c r="G616" s="1" t="s">
        <v>70</v>
      </c>
      <c r="H616" s="1" t="s">
        <v>103</v>
      </c>
      <c r="I616" s="1" t="s">
        <v>62</v>
      </c>
      <c r="J616" s="1" t="s">
        <v>63</v>
      </c>
      <c r="K616" s="1" t="s">
        <v>64</v>
      </c>
      <c r="L616" s="1" t="s">
        <v>49</v>
      </c>
      <c r="M616" s="1" t="s">
        <v>74</v>
      </c>
      <c r="N616" s="1" t="s">
        <v>1930</v>
      </c>
      <c r="O616" s="1" t="s">
        <v>67</v>
      </c>
      <c r="P616" s="1">
        <v>8</v>
      </c>
      <c r="Q616" s="1">
        <v>3398.32</v>
      </c>
      <c r="R616" s="1">
        <v>0.25</v>
      </c>
      <c r="S616" s="1">
        <v>20389.919999999998</v>
      </c>
      <c r="T616" s="1">
        <f t="shared" si="48"/>
        <v>20389.920000000002</v>
      </c>
      <c r="U616" s="1">
        <v>16661.080000000002</v>
      </c>
      <c r="V616" s="3">
        <f>IF(T616=0,"",X616/T616)</f>
        <v>0.18287663708342161</v>
      </c>
      <c r="W616" s="1">
        <v>3728.84</v>
      </c>
      <c r="X616" s="1">
        <f>T616-U616</f>
        <v>3728.84</v>
      </c>
      <c r="Y616" s="1" t="s">
        <v>110</v>
      </c>
      <c r="Z616" s="1" t="s">
        <v>76</v>
      </c>
      <c r="AA616" s="4">
        <f t="shared" si="45"/>
        <v>-257</v>
      </c>
      <c r="AB616" s="2" t="str">
        <f t="shared" si="49"/>
        <v>Invalid</v>
      </c>
      <c r="AC616" s="2"/>
    </row>
    <row r="617" spans="1:29">
      <c r="A617" s="1" t="s">
        <v>1931</v>
      </c>
      <c r="B617" s="2">
        <v>45392</v>
      </c>
      <c r="C617" s="2" t="str">
        <f t="shared" si="46"/>
        <v>April</v>
      </c>
      <c r="D617" s="1">
        <f t="shared" si="47"/>
        <v>2024</v>
      </c>
      <c r="E617" s="2">
        <v>45572</v>
      </c>
      <c r="F617" s="1" t="s">
        <v>1932</v>
      </c>
      <c r="G617" s="1" t="s">
        <v>126</v>
      </c>
      <c r="H617" s="1" t="s">
        <v>98</v>
      </c>
      <c r="I617" s="1" t="s">
        <v>62</v>
      </c>
      <c r="J617" s="1" t="s">
        <v>193</v>
      </c>
      <c r="K617" s="1" t="s">
        <v>194</v>
      </c>
      <c r="L617" s="1" t="s">
        <v>36</v>
      </c>
      <c r="M617" s="1" t="s">
        <v>56</v>
      </c>
      <c r="N617" s="1" t="s">
        <v>1933</v>
      </c>
      <c r="O617" s="1" t="s">
        <v>39</v>
      </c>
      <c r="P617" s="1">
        <v>2</v>
      </c>
      <c r="Q617" s="1">
        <v>3144.38</v>
      </c>
      <c r="R617" s="1">
        <v>0.1</v>
      </c>
      <c r="S617" s="1">
        <v>5904.57</v>
      </c>
      <c r="T617" s="1">
        <f t="shared" si="48"/>
        <v>5659.884</v>
      </c>
      <c r="U617" s="1">
        <v>4337.79</v>
      </c>
      <c r="V617" s="3">
        <f>IF(T617=0,"",X617/T617)</f>
        <v>0.23359029973052453</v>
      </c>
      <c r="W617" s="1">
        <v>1322.09</v>
      </c>
      <c r="X617" s="1">
        <f>T617-U617</f>
        <v>1322.0940000000001</v>
      </c>
      <c r="Y617" s="1" t="s">
        <v>40</v>
      </c>
      <c r="Z617" s="1" t="s">
        <v>41</v>
      </c>
      <c r="AA617" s="1">
        <f t="shared" si="45"/>
        <v>180</v>
      </c>
      <c r="AB617" s="2" t="str">
        <f t="shared" si="49"/>
        <v>Clean</v>
      </c>
      <c r="AC617" s="2"/>
    </row>
    <row r="618" spans="1:29">
      <c r="A618" s="1" t="s">
        <v>1934</v>
      </c>
      <c r="B618" s="2">
        <v>45520</v>
      </c>
      <c r="C618" s="2" t="str">
        <f t="shared" si="46"/>
        <v>August</v>
      </c>
      <c r="D618" s="1">
        <f t="shared" si="47"/>
        <v>2024</v>
      </c>
      <c r="E618" s="2">
        <v>45523</v>
      </c>
      <c r="F618" s="1" t="s">
        <v>1935</v>
      </c>
      <c r="G618" s="1" t="s">
        <v>273</v>
      </c>
      <c r="H618" s="1" t="s">
        <v>32</v>
      </c>
      <c r="I618" s="1" t="s">
        <v>62</v>
      </c>
      <c r="J618" s="1" t="s">
        <v>63</v>
      </c>
      <c r="K618" s="1" t="s">
        <v>64</v>
      </c>
      <c r="L618" s="1" t="s">
        <v>36</v>
      </c>
      <c r="M618" s="1" t="s">
        <v>37</v>
      </c>
      <c r="N618" s="1" t="s">
        <v>1936</v>
      </c>
      <c r="O618" s="1" t="s">
        <v>67</v>
      </c>
      <c r="P618" s="1">
        <v>6</v>
      </c>
      <c r="Q618" s="1">
        <v>3925.55</v>
      </c>
      <c r="R618" s="1">
        <v>0.2</v>
      </c>
      <c r="S618" s="1">
        <v>18842.64</v>
      </c>
      <c r="T618" s="1">
        <f t="shared" si="48"/>
        <v>18842.640000000003</v>
      </c>
      <c r="U618" s="1">
        <v>11840.58</v>
      </c>
      <c r="V618" s="3">
        <f>IF(T618=0,"",X618/T618)</f>
        <v>0.37160716332743193</v>
      </c>
      <c r="W618" s="1">
        <v>7002.06</v>
      </c>
      <c r="X618" s="1">
        <f>T618-U618</f>
        <v>7002.0600000000031</v>
      </c>
      <c r="Y618" s="1" t="s">
        <v>40</v>
      </c>
      <c r="Z618" s="1" t="s">
        <v>41</v>
      </c>
      <c r="AA618" s="1">
        <f t="shared" si="45"/>
        <v>3</v>
      </c>
      <c r="AB618" s="2" t="str">
        <f t="shared" si="49"/>
        <v>Clean</v>
      </c>
      <c r="AC618" s="2"/>
    </row>
    <row r="619" spans="1:29">
      <c r="A619" s="1" t="s">
        <v>1937</v>
      </c>
      <c r="B619" s="2">
        <v>45564</v>
      </c>
      <c r="C619" s="2" t="str">
        <f t="shared" si="46"/>
        <v>September</v>
      </c>
      <c r="D619" s="1">
        <f t="shared" si="47"/>
        <v>2024</v>
      </c>
      <c r="E619" s="2">
        <v>45565</v>
      </c>
      <c r="F619" s="1" t="s">
        <v>1938</v>
      </c>
      <c r="G619" s="1" t="s">
        <v>44</v>
      </c>
      <c r="H619" s="1" t="s">
        <v>103</v>
      </c>
      <c r="I619" s="1" t="s">
        <v>62</v>
      </c>
      <c r="J619" s="1" t="s">
        <v>63</v>
      </c>
      <c r="K619" s="1" t="s">
        <v>64</v>
      </c>
      <c r="L619" s="1" t="s">
        <v>82</v>
      </c>
      <c r="M619" s="1" t="s">
        <v>179</v>
      </c>
      <c r="N619" s="1" t="s">
        <v>1939</v>
      </c>
      <c r="O619" s="1" t="s">
        <v>67</v>
      </c>
      <c r="P619" s="1">
        <v>9</v>
      </c>
      <c r="Q619" s="1">
        <v>2741.91</v>
      </c>
      <c r="R619" s="1">
        <v>0</v>
      </c>
      <c r="S619" s="1">
        <v>24677.19</v>
      </c>
      <c r="T619" s="1">
        <f t="shared" si="48"/>
        <v>24677.19</v>
      </c>
      <c r="U619" s="1">
        <v>20350.849999999999</v>
      </c>
      <c r="V619" s="3">
        <f>IF(T619=0,"",X619/T619)</f>
        <v>0.17531736798233513</v>
      </c>
      <c r="W619" s="1">
        <v>4326.34</v>
      </c>
      <c r="X619" s="1">
        <f>T619-U619</f>
        <v>4326.34</v>
      </c>
      <c r="Y619" s="1" t="s">
        <v>40</v>
      </c>
      <c r="Z619" s="1" t="s">
        <v>41</v>
      </c>
      <c r="AA619" s="1">
        <f t="shared" si="45"/>
        <v>1</v>
      </c>
      <c r="AB619" s="2" t="str">
        <f t="shared" si="49"/>
        <v>Clean</v>
      </c>
      <c r="AC619" s="2"/>
    </row>
    <row r="620" spans="1:29">
      <c r="A620" s="1" t="s">
        <v>1940</v>
      </c>
      <c r="B620" s="2">
        <v>45496</v>
      </c>
      <c r="C620" s="2" t="str">
        <f t="shared" si="46"/>
        <v>July</v>
      </c>
      <c r="D620" s="1">
        <f t="shared" si="47"/>
        <v>2024</v>
      </c>
      <c r="E620" s="2">
        <v>45503</v>
      </c>
      <c r="F620" s="1" t="s">
        <v>1941</v>
      </c>
      <c r="G620" s="1" t="s">
        <v>273</v>
      </c>
      <c r="H620" s="1" t="s">
        <v>98</v>
      </c>
      <c r="I620" s="1" t="s">
        <v>33</v>
      </c>
      <c r="J620" s="1" t="s">
        <v>34</v>
      </c>
      <c r="K620" s="1" t="s">
        <v>35</v>
      </c>
      <c r="L620" s="1" t="s">
        <v>49</v>
      </c>
      <c r="M620" s="1" t="s">
        <v>50</v>
      </c>
      <c r="N620" s="1" t="s">
        <v>1942</v>
      </c>
      <c r="O620" s="1" t="s">
        <v>52</v>
      </c>
      <c r="P620" s="1">
        <v>9</v>
      </c>
      <c r="Q620" s="1">
        <v>1870.11</v>
      </c>
      <c r="R620" s="1">
        <v>0.25</v>
      </c>
      <c r="S620" s="1">
        <v>12623.24</v>
      </c>
      <c r="T620" s="1">
        <f t="shared" si="48"/>
        <v>12623.242499999998</v>
      </c>
      <c r="U620" s="1">
        <v>10540.8</v>
      </c>
      <c r="V620" s="3">
        <f>IF(T620=0,"",X620/T620)</f>
        <v>0.16496890557239943</v>
      </c>
      <c r="W620" s="1">
        <v>2082.44</v>
      </c>
      <c r="X620" s="1">
        <f>T620-U620</f>
        <v>2082.4424999999992</v>
      </c>
      <c r="Y620" s="1" t="s">
        <v>163</v>
      </c>
      <c r="Z620" s="1" t="s">
        <v>76</v>
      </c>
      <c r="AA620" s="1">
        <f t="shared" si="45"/>
        <v>7</v>
      </c>
      <c r="AB620" s="2" t="str">
        <f t="shared" si="49"/>
        <v>Clean</v>
      </c>
      <c r="AC620" s="2"/>
    </row>
    <row r="621" spans="1:29">
      <c r="A621" s="1" t="s">
        <v>1943</v>
      </c>
      <c r="B621" s="2">
        <v>45618</v>
      </c>
      <c r="C621" s="2" t="str">
        <f t="shared" si="46"/>
        <v>November</v>
      </c>
      <c r="D621" s="1">
        <f t="shared" si="47"/>
        <v>2024</v>
      </c>
      <c r="E621" s="2">
        <v>45623</v>
      </c>
      <c r="F621" s="1" t="s">
        <v>1944</v>
      </c>
      <c r="G621" s="1" t="s">
        <v>122</v>
      </c>
      <c r="H621" s="1" t="s">
        <v>98</v>
      </c>
      <c r="I621" s="1" t="s">
        <v>62</v>
      </c>
      <c r="J621" s="1" t="s">
        <v>256</v>
      </c>
      <c r="K621" s="1" t="s">
        <v>257</v>
      </c>
      <c r="L621" s="1" t="s">
        <v>36</v>
      </c>
      <c r="M621" s="1" t="s">
        <v>161</v>
      </c>
      <c r="N621" s="1" t="s">
        <v>1945</v>
      </c>
      <c r="O621" s="1" t="s">
        <v>58</v>
      </c>
      <c r="P621" s="1">
        <v>1</v>
      </c>
      <c r="Q621" s="1">
        <v>4251.26</v>
      </c>
      <c r="R621" s="1">
        <v>0.2</v>
      </c>
      <c r="S621" s="1">
        <v>3401.01</v>
      </c>
      <c r="T621" s="1">
        <f t="shared" si="48"/>
        <v>3401.0080000000003</v>
      </c>
      <c r="U621" s="1">
        <v>2917.54</v>
      </c>
      <c r="V621" s="3">
        <f>IF(T621=0,"",X621/T621)</f>
        <v>0.14215432601158254</v>
      </c>
      <c r="W621" s="1">
        <v>483.47</v>
      </c>
      <c r="X621" s="1">
        <f>T621-U621</f>
        <v>483.4680000000003</v>
      </c>
      <c r="Y621" s="1" t="s">
        <v>110</v>
      </c>
      <c r="Z621" s="1" t="s">
        <v>111</v>
      </c>
      <c r="AA621" s="1">
        <f t="shared" si="45"/>
        <v>5</v>
      </c>
      <c r="AB621" s="2" t="str">
        <f t="shared" si="49"/>
        <v>Clean</v>
      </c>
      <c r="AC621" s="2"/>
    </row>
    <row r="622" spans="1:29">
      <c r="A622" s="1" t="s">
        <v>1946</v>
      </c>
      <c r="B622" s="2">
        <v>45522</v>
      </c>
      <c r="C622" s="2" t="str">
        <f t="shared" si="46"/>
        <v>August</v>
      </c>
      <c r="D622" s="1">
        <f t="shared" si="47"/>
        <v>2024</v>
      </c>
      <c r="E622" s="2">
        <v>45525</v>
      </c>
      <c r="F622" s="1" t="s">
        <v>1947</v>
      </c>
      <c r="G622" s="1" t="s">
        <v>79</v>
      </c>
      <c r="H622" s="1" t="s">
        <v>32</v>
      </c>
      <c r="I622" s="1" t="s">
        <v>33</v>
      </c>
      <c r="J622" s="1" t="s">
        <v>144</v>
      </c>
      <c r="K622" s="1" t="s">
        <v>145</v>
      </c>
      <c r="L622" s="1" t="s">
        <v>82</v>
      </c>
      <c r="M622" s="1" t="s">
        <v>283</v>
      </c>
      <c r="N622" s="1" t="s">
        <v>1948</v>
      </c>
      <c r="O622" s="1" t="s">
        <v>67</v>
      </c>
      <c r="P622" s="1">
        <v>9</v>
      </c>
      <c r="Q622" s="1">
        <v>734.34</v>
      </c>
      <c r="R622" s="1">
        <v>0</v>
      </c>
      <c r="S622" s="1">
        <v>6609.06</v>
      </c>
      <c r="T622" s="1">
        <f t="shared" si="48"/>
        <v>6609.06</v>
      </c>
      <c r="U622" s="1">
        <v>4946.78</v>
      </c>
      <c r="V622" s="3">
        <f>IF(T622=0,"",X622/T622)</f>
        <v>0.25151534408826681</v>
      </c>
      <c r="W622" s="1">
        <v>1662.28</v>
      </c>
      <c r="X622" s="1">
        <f>T622-U622</f>
        <v>1662.2800000000007</v>
      </c>
      <c r="Y622" s="1" t="s">
        <v>40</v>
      </c>
      <c r="Z622" s="1" t="s">
        <v>41</v>
      </c>
      <c r="AA622" s="1">
        <f t="shared" si="45"/>
        <v>3</v>
      </c>
      <c r="AB622" s="2" t="str">
        <f t="shared" si="49"/>
        <v>Clean</v>
      </c>
      <c r="AC622" s="2"/>
    </row>
    <row r="623" spans="1:29">
      <c r="A623" s="1" t="s">
        <v>1949</v>
      </c>
      <c r="B623" s="2">
        <v>45624</v>
      </c>
      <c r="C623" s="2" t="str">
        <f t="shared" si="46"/>
        <v>November</v>
      </c>
      <c r="D623" s="1">
        <f t="shared" si="47"/>
        <v>2024</v>
      </c>
      <c r="E623" s="2">
        <v>45455</v>
      </c>
      <c r="F623" s="1" t="s">
        <v>1950</v>
      </c>
      <c r="G623" s="1" t="s">
        <v>97</v>
      </c>
      <c r="H623" s="1" t="s">
        <v>32</v>
      </c>
      <c r="I623" s="1" t="s">
        <v>71</v>
      </c>
      <c r="J623" s="1" t="s">
        <v>72</v>
      </c>
      <c r="K623" s="1" t="s">
        <v>73</v>
      </c>
      <c r="L623" s="1" t="s">
        <v>49</v>
      </c>
      <c r="M623" s="1" t="s">
        <v>74</v>
      </c>
      <c r="N623" s="1" t="s">
        <v>1951</v>
      </c>
      <c r="O623" s="1" t="s">
        <v>52</v>
      </c>
      <c r="P623" s="1">
        <v>5</v>
      </c>
      <c r="Q623" s="1">
        <v>1092.8399999999999</v>
      </c>
      <c r="R623" s="1">
        <v>0</v>
      </c>
      <c r="S623" s="1">
        <v>5464.2</v>
      </c>
      <c r="T623" s="1">
        <f t="shared" si="48"/>
        <v>5464.2</v>
      </c>
      <c r="U623" s="1">
        <v>3318.09</v>
      </c>
      <c r="V623" s="3">
        <f>IF(T623=0,"",X623/T623)</f>
        <v>0.39275831777753373</v>
      </c>
      <c r="W623" s="1">
        <v>2146.11</v>
      </c>
      <c r="X623" s="1">
        <f>T623-U623</f>
        <v>2146.1099999999997</v>
      </c>
      <c r="Y623" s="1" t="s">
        <v>40</v>
      </c>
      <c r="Z623" s="1" t="s">
        <v>41</v>
      </c>
      <c r="AA623" s="4">
        <f t="shared" si="45"/>
        <v>-169</v>
      </c>
      <c r="AB623" s="2" t="str">
        <f t="shared" si="49"/>
        <v>Invalid</v>
      </c>
      <c r="AC623" s="2"/>
    </row>
    <row r="624" spans="1:29">
      <c r="A624" s="1" t="s">
        <v>1952</v>
      </c>
      <c r="B624" s="2">
        <v>45686</v>
      </c>
      <c r="C624" s="2" t="str">
        <f t="shared" si="46"/>
        <v>January</v>
      </c>
      <c r="D624" s="1">
        <f t="shared" si="47"/>
        <v>2025</v>
      </c>
      <c r="E624" s="2">
        <v>45810</v>
      </c>
      <c r="F624" s="1" t="s">
        <v>1953</v>
      </c>
      <c r="G624" s="1" t="s">
        <v>79</v>
      </c>
      <c r="H624" s="1" t="s">
        <v>32</v>
      </c>
      <c r="I624" s="1" t="s">
        <v>46</v>
      </c>
      <c r="J624" s="1" t="s">
        <v>153</v>
      </c>
      <c r="K624" s="1" t="s">
        <v>154</v>
      </c>
      <c r="L624" s="1" t="s">
        <v>36</v>
      </c>
      <c r="M624" s="1" t="s">
        <v>132</v>
      </c>
      <c r="N624" s="1" t="s">
        <v>1954</v>
      </c>
      <c r="O624" s="1" t="s">
        <v>67</v>
      </c>
      <c r="P624" s="1">
        <v>4</v>
      </c>
      <c r="Q624" s="1">
        <v>2759.01</v>
      </c>
      <c r="R624" s="1">
        <v>0.05</v>
      </c>
      <c r="S624" s="1">
        <v>10484.24</v>
      </c>
      <c r="T624" s="1">
        <f t="shared" si="48"/>
        <v>10484.238000000001</v>
      </c>
      <c r="U624" s="1">
        <v>6680.15</v>
      </c>
      <c r="V624" s="3">
        <f>IF(T624=0,"",X624/T624)</f>
        <v>0.36283876806306775</v>
      </c>
      <c r="W624" s="1">
        <v>3804.09</v>
      </c>
      <c r="X624" s="1">
        <f>T624-U624</f>
        <v>3804.0880000000016</v>
      </c>
      <c r="Y624" s="1" t="s">
        <v>40</v>
      </c>
      <c r="Z624" s="1" t="s">
        <v>41</v>
      </c>
      <c r="AA624" s="1">
        <f t="shared" si="45"/>
        <v>124</v>
      </c>
      <c r="AB624" s="2" t="str">
        <f t="shared" si="49"/>
        <v>Clean</v>
      </c>
      <c r="AC624" s="2"/>
    </row>
    <row r="625" spans="1:29">
      <c r="A625" s="1" t="s">
        <v>1955</v>
      </c>
      <c r="B625" s="2">
        <v>45512</v>
      </c>
      <c r="C625" s="2" t="str">
        <f t="shared" si="46"/>
        <v>August</v>
      </c>
      <c r="D625" s="1">
        <f t="shared" si="47"/>
        <v>2024</v>
      </c>
      <c r="E625" s="2">
        <v>45518</v>
      </c>
      <c r="F625" s="1" t="s">
        <v>1956</v>
      </c>
      <c r="G625" s="1" t="s">
        <v>79</v>
      </c>
      <c r="H625" s="1" t="s">
        <v>103</v>
      </c>
      <c r="I625" s="1" t="s">
        <v>33</v>
      </c>
      <c r="J625" s="1" t="s">
        <v>130</v>
      </c>
      <c r="K625" s="1" t="s">
        <v>131</v>
      </c>
      <c r="L625" s="1" t="s">
        <v>36</v>
      </c>
      <c r="M625" s="1" t="s">
        <v>132</v>
      </c>
      <c r="N625" s="1" t="s">
        <v>1957</v>
      </c>
      <c r="O625" s="1" t="s">
        <v>39</v>
      </c>
      <c r="P625" s="1">
        <v>8</v>
      </c>
      <c r="Q625" s="1">
        <v>1359.19</v>
      </c>
      <c r="R625" s="1">
        <v>0.05</v>
      </c>
      <c r="S625" s="1">
        <v>10329.84</v>
      </c>
      <c r="T625" s="1">
        <f t="shared" si="48"/>
        <v>10329.843999999999</v>
      </c>
      <c r="U625" s="1">
        <v>7512.22</v>
      </c>
      <c r="V625" s="3">
        <f>IF(T625=0,"",X625/T625)</f>
        <v>0.27276539703794161</v>
      </c>
      <c r="W625" s="1">
        <v>2817.62</v>
      </c>
      <c r="X625" s="1">
        <f>T625-U625</f>
        <v>2817.6239999999989</v>
      </c>
      <c r="Y625" s="1" t="s">
        <v>40</v>
      </c>
      <c r="Z625" s="1" t="s">
        <v>41</v>
      </c>
      <c r="AA625" s="1">
        <f t="shared" si="45"/>
        <v>6</v>
      </c>
      <c r="AB625" s="2" t="str">
        <f t="shared" si="49"/>
        <v>Clean</v>
      </c>
      <c r="AC625" s="2"/>
    </row>
    <row r="626" spans="1:29">
      <c r="A626" s="1" t="s">
        <v>1958</v>
      </c>
      <c r="B626" s="2">
        <v>45321</v>
      </c>
      <c r="C626" s="2" t="str">
        <f t="shared" si="46"/>
        <v>January</v>
      </c>
      <c r="D626" s="1">
        <f t="shared" si="47"/>
        <v>2024</v>
      </c>
      <c r="E626" s="2">
        <v>45293</v>
      </c>
      <c r="F626" s="1" t="s">
        <v>1959</v>
      </c>
      <c r="G626" s="1" t="s">
        <v>87</v>
      </c>
      <c r="H626" s="1" t="s">
        <v>103</v>
      </c>
      <c r="I626" s="1" t="s">
        <v>46</v>
      </c>
      <c r="J626" s="1" t="s">
        <v>174</v>
      </c>
      <c r="K626" s="1" t="s">
        <v>175</v>
      </c>
      <c r="L626" s="1" t="s">
        <v>49</v>
      </c>
      <c r="M626" s="1" t="s">
        <v>74</v>
      </c>
      <c r="N626" s="1" t="s">
        <v>1960</v>
      </c>
      <c r="O626" s="1" t="s">
        <v>58</v>
      </c>
      <c r="P626" s="1">
        <v>2</v>
      </c>
      <c r="Q626" s="1">
        <v>4451.03</v>
      </c>
      <c r="R626" s="1">
        <v>0.05</v>
      </c>
      <c r="S626" s="1">
        <v>8456.9599999999991</v>
      </c>
      <c r="T626" s="1">
        <f t="shared" si="48"/>
        <v>8456.9569999999985</v>
      </c>
      <c r="U626" s="1">
        <v>5462.85</v>
      </c>
      <c r="V626" s="3">
        <f>IF(T626=0,"",X626/T626)</f>
        <v>0.35404070282017502</v>
      </c>
      <c r="W626" s="1">
        <v>2994.11</v>
      </c>
      <c r="X626" s="1">
        <f>T626-U626</f>
        <v>2994.1069999999982</v>
      </c>
      <c r="Y626" s="1" t="s">
        <v>40</v>
      </c>
      <c r="Z626" s="1" t="s">
        <v>41</v>
      </c>
      <c r="AA626" s="4">
        <f t="shared" si="45"/>
        <v>-28</v>
      </c>
      <c r="AB626" s="2" t="str">
        <f t="shared" si="49"/>
        <v>Invalid</v>
      </c>
      <c r="AC626" s="2"/>
    </row>
    <row r="627" spans="1:29">
      <c r="A627" s="1" t="s">
        <v>1961</v>
      </c>
      <c r="B627" s="2">
        <v>45641</v>
      </c>
      <c r="C627" s="2" t="str">
        <f t="shared" si="46"/>
        <v>December</v>
      </c>
      <c r="D627" s="1">
        <f t="shared" si="47"/>
        <v>2024</v>
      </c>
      <c r="E627" s="2">
        <v>45647</v>
      </c>
      <c r="F627" s="1" t="s">
        <v>1962</v>
      </c>
      <c r="G627" s="1" t="s">
        <v>170</v>
      </c>
      <c r="H627" s="1" t="s">
        <v>98</v>
      </c>
      <c r="I627" s="1" t="s">
        <v>71</v>
      </c>
      <c r="J627" s="1" t="s">
        <v>34</v>
      </c>
      <c r="K627" s="1" t="s">
        <v>117</v>
      </c>
      <c r="L627" s="1" t="s">
        <v>49</v>
      </c>
      <c r="M627" s="1" t="s">
        <v>74</v>
      </c>
      <c r="N627" s="1" t="s">
        <v>1963</v>
      </c>
      <c r="O627" s="1" t="s">
        <v>52</v>
      </c>
      <c r="P627" s="1">
        <v>3</v>
      </c>
      <c r="Q627" s="1">
        <v>527.66999999999996</v>
      </c>
      <c r="R627" s="1">
        <v>0.2</v>
      </c>
      <c r="S627" s="1">
        <v>1266.4100000000001</v>
      </c>
      <c r="T627" s="1">
        <f t="shared" si="48"/>
        <v>1266.4079999999999</v>
      </c>
      <c r="U627" s="1">
        <v>983.92</v>
      </c>
      <c r="V627" s="3">
        <f>IF(T627=0,"",X627/T627)</f>
        <v>0.22306239379410109</v>
      </c>
      <c r="W627" s="1">
        <v>282.49</v>
      </c>
      <c r="X627" s="1">
        <f>T627-U627</f>
        <v>282.48799999999994</v>
      </c>
      <c r="Y627" s="1" t="s">
        <v>40</v>
      </c>
      <c r="Z627" s="1" t="s">
        <v>41</v>
      </c>
      <c r="AA627" s="1">
        <f t="shared" si="45"/>
        <v>6</v>
      </c>
      <c r="AB627" s="2" t="str">
        <f t="shared" si="49"/>
        <v>Clean</v>
      </c>
      <c r="AC627" s="2"/>
    </row>
    <row r="628" spans="1:29">
      <c r="A628" s="1" t="s">
        <v>1964</v>
      </c>
      <c r="B628" s="2">
        <v>45753</v>
      </c>
      <c r="C628" s="2" t="str">
        <f t="shared" si="46"/>
        <v>April</v>
      </c>
      <c r="D628" s="1">
        <f t="shared" si="47"/>
        <v>2025</v>
      </c>
      <c r="E628" s="2">
        <v>45815</v>
      </c>
      <c r="F628" s="1" t="s">
        <v>1965</v>
      </c>
      <c r="G628" s="1" t="s">
        <v>140</v>
      </c>
      <c r="H628" s="1" t="s">
        <v>103</v>
      </c>
      <c r="I628" s="1" t="s">
        <v>46</v>
      </c>
      <c r="J628" s="1" t="s">
        <v>174</v>
      </c>
      <c r="K628" s="1" t="s">
        <v>175</v>
      </c>
      <c r="L628" s="1" t="s">
        <v>82</v>
      </c>
      <c r="M628" s="1" t="s">
        <v>283</v>
      </c>
      <c r="N628" s="1" t="s">
        <v>1966</v>
      </c>
      <c r="O628" s="1" t="s">
        <v>67</v>
      </c>
      <c r="P628" s="1">
        <v>8</v>
      </c>
      <c r="Q628" s="1">
        <v>1434.13</v>
      </c>
      <c r="R628" s="1">
        <v>0</v>
      </c>
      <c r="S628" s="1">
        <v>11473.04</v>
      </c>
      <c r="T628" s="1">
        <f t="shared" si="48"/>
        <v>11473.04</v>
      </c>
      <c r="U628" s="1">
        <v>8931.33</v>
      </c>
      <c r="V628" s="3">
        <f>IF(T628=0,"",X628/T628)</f>
        <v>0.22153762211236086</v>
      </c>
      <c r="W628" s="1">
        <v>2541.71</v>
      </c>
      <c r="X628" s="1">
        <f>T628-U628</f>
        <v>2541.7100000000009</v>
      </c>
      <c r="Y628" s="1" t="s">
        <v>119</v>
      </c>
      <c r="Z628" s="1" t="s">
        <v>111</v>
      </c>
      <c r="AA628" s="1">
        <f t="shared" si="45"/>
        <v>62</v>
      </c>
      <c r="AB628" s="2" t="str">
        <f t="shared" si="49"/>
        <v>Clean</v>
      </c>
      <c r="AC628" s="2"/>
    </row>
    <row r="629" spans="1:29">
      <c r="A629" s="1" t="s">
        <v>1967</v>
      </c>
      <c r="B629" s="2">
        <v>45701</v>
      </c>
      <c r="C629" s="2" t="str">
        <f t="shared" si="46"/>
        <v>February</v>
      </c>
      <c r="D629" s="1">
        <f t="shared" si="47"/>
        <v>2025</v>
      </c>
      <c r="E629" s="2">
        <v>45709</v>
      </c>
      <c r="F629" s="1" t="s">
        <v>1968</v>
      </c>
      <c r="G629" s="1" t="s">
        <v>31</v>
      </c>
      <c r="H629" s="1" t="s">
        <v>45</v>
      </c>
      <c r="I629" s="1" t="s">
        <v>62</v>
      </c>
      <c r="J629" s="1" t="s">
        <v>193</v>
      </c>
      <c r="K629" s="1" t="s">
        <v>194</v>
      </c>
      <c r="L629" s="1" t="s">
        <v>82</v>
      </c>
      <c r="M629" s="1" t="s">
        <v>179</v>
      </c>
      <c r="N629" s="1" t="s">
        <v>1969</v>
      </c>
      <c r="O629" s="1" t="s">
        <v>39</v>
      </c>
      <c r="P629" s="1">
        <v>2</v>
      </c>
      <c r="Q629" s="1">
        <v>2360.02</v>
      </c>
      <c r="R629" s="1">
        <v>0.15</v>
      </c>
      <c r="S629" s="1">
        <v>4012.03</v>
      </c>
      <c r="T629" s="1">
        <f t="shared" si="48"/>
        <v>4012.0339999999997</v>
      </c>
      <c r="U629" s="1">
        <v>3142.92</v>
      </c>
      <c r="V629" s="3">
        <f>IF(T629=0,"",X629/T629)</f>
        <v>0.21662677833737193</v>
      </c>
      <c r="W629" s="1">
        <v>869.11</v>
      </c>
      <c r="X629" s="1">
        <f>T629-U629</f>
        <v>869.11399999999958</v>
      </c>
      <c r="Y629" s="1" t="s">
        <v>119</v>
      </c>
      <c r="Z629" s="1" t="s">
        <v>76</v>
      </c>
      <c r="AA629" s="1">
        <f t="shared" si="45"/>
        <v>8</v>
      </c>
      <c r="AB629" s="2" t="str">
        <f t="shared" si="49"/>
        <v>Clean</v>
      </c>
      <c r="AC629" s="2"/>
    </row>
    <row r="630" spans="1:29">
      <c r="A630" s="1" t="s">
        <v>1970</v>
      </c>
      <c r="B630" s="2">
        <v>45787</v>
      </c>
      <c r="C630" s="2" t="str">
        <f t="shared" si="46"/>
        <v>May</v>
      </c>
      <c r="D630" s="1">
        <f t="shared" si="47"/>
        <v>2025</v>
      </c>
      <c r="E630" s="2">
        <v>46001</v>
      </c>
      <c r="F630" s="1" t="s">
        <v>1971</v>
      </c>
      <c r="G630" s="1" t="s">
        <v>70</v>
      </c>
      <c r="H630" s="1" t="s">
        <v>103</v>
      </c>
      <c r="I630" s="1" t="s">
        <v>46</v>
      </c>
      <c r="J630" s="1" t="s">
        <v>237</v>
      </c>
      <c r="K630" s="1" t="s">
        <v>238</v>
      </c>
      <c r="L630" s="1" t="s">
        <v>82</v>
      </c>
      <c r="M630" s="1" t="s">
        <v>83</v>
      </c>
      <c r="N630" s="1" t="s">
        <v>1972</v>
      </c>
      <c r="O630" s="1" t="s">
        <v>52</v>
      </c>
      <c r="P630" s="1">
        <v>7</v>
      </c>
      <c r="Q630" s="1">
        <v>806.67</v>
      </c>
      <c r="R630" s="1">
        <v>0.05</v>
      </c>
      <c r="S630" s="1">
        <v>5364.36</v>
      </c>
      <c r="T630" s="1">
        <f t="shared" si="48"/>
        <v>5364.3554999999997</v>
      </c>
      <c r="U630" s="1">
        <v>4391.29</v>
      </c>
      <c r="V630" s="3">
        <f>IF(T630=0,"",X630/T630)</f>
        <v>0.18139467080434915</v>
      </c>
      <c r="W630" s="1">
        <v>973.07</v>
      </c>
      <c r="X630" s="1">
        <f>T630-U630</f>
        <v>973.0654999999997</v>
      </c>
      <c r="Y630" s="1" t="s">
        <v>40</v>
      </c>
      <c r="Z630" s="1" t="s">
        <v>41</v>
      </c>
      <c r="AA630" s="1">
        <f t="shared" si="45"/>
        <v>214</v>
      </c>
      <c r="AB630" s="2" t="str">
        <f t="shared" si="49"/>
        <v>Clean</v>
      </c>
      <c r="AC630" s="2"/>
    </row>
    <row r="631" spans="1:29">
      <c r="A631" s="1" t="s">
        <v>1973</v>
      </c>
      <c r="B631" s="2">
        <v>45910</v>
      </c>
      <c r="C631" s="2" t="str">
        <f t="shared" si="46"/>
        <v>September</v>
      </c>
      <c r="D631" s="1">
        <f t="shared" si="47"/>
        <v>2025</v>
      </c>
      <c r="E631" s="2">
        <v>45914</v>
      </c>
      <c r="F631" s="1" t="s">
        <v>1974</v>
      </c>
      <c r="G631" s="1" t="s">
        <v>61</v>
      </c>
      <c r="H631" s="1" t="s">
        <v>103</v>
      </c>
      <c r="I631" s="1" t="s">
        <v>71</v>
      </c>
      <c r="J631" s="1" t="s">
        <v>188</v>
      </c>
      <c r="K631" s="1" t="s">
        <v>189</v>
      </c>
      <c r="L631" s="1" t="s">
        <v>49</v>
      </c>
      <c r="M631" s="1" t="s">
        <v>50</v>
      </c>
      <c r="N631" s="1" t="s">
        <v>1975</v>
      </c>
      <c r="O631" s="1" t="s">
        <v>52</v>
      </c>
      <c r="P631" s="1">
        <v>3</v>
      </c>
      <c r="Q631" s="1">
        <v>4198.46</v>
      </c>
      <c r="R631" s="1">
        <v>0.15</v>
      </c>
      <c r="S631" s="1">
        <v>10706.07</v>
      </c>
      <c r="T631" s="1">
        <f t="shared" si="48"/>
        <v>10706.073</v>
      </c>
      <c r="U631" s="1">
        <v>5927.1</v>
      </c>
      <c r="V631" s="3">
        <f>IF(T631=0,"",X631/T631)</f>
        <v>0.44637963892082555</v>
      </c>
      <c r="W631" s="1">
        <v>4778.97</v>
      </c>
      <c r="X631" s="1">
        <f>T631-U631</f>
        <v>4778.973</v>
      </c>
      <c r="Y631" s="1" t="s">
        <v>40</v>
      </c>
      <c r="Z631" s="1" t="s">
        <v>41</v>
      </c>
      <c r="AA631" s="1">
        <f t="shared" si="45"/>
        <v>4</v>
      </c>
      <c r="AB631" s="2" t="str">
        <f t="shared" si="49"/>
        <v>Clean</v>
      </c>
      <c r="AC631" s="2"/>
    </row>
    <row r="632" spans="1:29">
      <c r="A632" s="1" t="s">
        <v>1976</v>
      </c>
      <c r="B632" s="2">
        <v>45539</v>
      </c>
      <c r="C632" s="2" t="str">
        <f t="shared" si="46"/>
        <v>September</v>
      </c>
      <c r="D632" s="1">
        <f t="shared" si="47"/>
        <v>2024</v>
      </c>
      <c r="E632" s="2">
        <v>45569</v>
      </c>
      <c r="F632" s="1" t="s">
        <v>1977</v>
      </c>
      <c r="G632" s="1" t="s">
        <v>122</v>
      </c>
      <c r="H632" s="1" t="s">
        <v>98</v>
      </c>
      <c r="I632" s="1" t="s">
        <v>46</v>
      </c>
      <c r="J632" s="1" t="s">
        <v>174</v>
      </c>
      <c r="K632" s="1" t="s">
        <v>175</v>
      </c>
      <c r="L632" s="1" t="s">
        <v>36</v>
      </c>
      <c r="M632" s="1" t="s">
        <v>37</v>
      </c>
      <c r="N632" s="1" t="s">
        <v>1978</v>
      </c>
      <c r="O632" s="1" t="s">
        <v>67</v>
      </c>
      <c r="P632" s="1">
        <v>4</v>
      </c>
      <c r="Q632" s="1">
        <v>3047.05</v>
      </c>
      <c r="R632" s="1">
        <v>0.1</v>
      </c>
      <c r="S632" s="1">
        <v>10969.38</v>
      </c>
      <c r="T632" s="1">
        <f t="shared" si="48"/>
        <v>10969.380000000001</v>
      </c>
      <c r="U632" s="1">
        <v>9254.4599999999991</v>
      </c>
      <c r="V632" s="3">
        <f>IF(T632=0,"",X632/T632)</f>
        <v>0.15633700354988173</v>
      </c>
      <c r="W632" s="1">
        <v>1714.92</v>
      </c>
      <c r="X632" s="1">
        <f>T632-U632</f>
        <v>1714.9200000000019</v>
      </c>
      <c r="Y632" s="1" t="s">
        <v>40</v>
      </c>
      <c r="Z632" s="1" t="s">
        <v>41</v>
      </c>
      <c r="AA632" s="1">
        <f t="shared" si="45"/>
        <v>30</v>
      </c>
      <c r="AB632" s="2" t="str">
        <f t="shared" si="49"/>
        <v>Clean</v>
      </c>
      <c r="AC632" s="2"/>
    </row>
    <row r="633" spans="1:29">
      <c r="A633" s="1" t="s">
        <v>1979</v>
      </c>
      <c r="B633" s="2">
        <v>45569</v>
      </c>
      <c r="C633" s="2" t="str">
        <f t="shared" si="46"/>
        <v>October</v>
      </c>
      <c r="D633" s="1">
        <f t="shared" si="47"/>
        <v>2024</v>
      </c>
      <c r="E633" s="2">
        <v>45397</v>
      </c>
      <c r="F633" s="1" t="s">
        <v>1980</v>
      </c>
      <c r="G633" s="1" t="s">
        <v>136</v>
      </c>
      <c r="H633" s="1" t="s">
        <v>103</v>
      </c>
      <c r="I633" s="1" t="s">
        <v>71</v>
      </c>
      <c r="J633" s="1" t="s">
        <v>34</v>
      </c>
      <c r="K633" s="1" t="s">
        <v>117</v>
      </c>
      <c r="L633" s="1" t="s">
        <v>49</v>
      </c>
      <c r="M633" s="1" t="s">
        <v>74</v>
      </c>
      <c r="N633" s="1" t="s">
        <v>1981</v>
      </c>
      <c r="O633" s="1" t="s">
        <v>67</v>
      </c>
      <c r="P633" s="1">
        <v>8</v>
      </c>
      <c r="Q633" s="1">
        <v>4362.4799999999996</v>
      </c>
      <c r="R633" s="1">
        <v>0.1</v>
      </c>
      <c r="S633" s="1">
        <v>31409.86</v>
      </c>
      <c r="T633" s="1">
        <f t="shared" si="48"/>
        <v>31409.855999999996</v>
      </c>
      <c r="U633" s="1">
        <v>22523.54</v>
      </c>
      <c r="V633" s="3">
        <f>IF(T633=0,"",X633/T633)</f>
        <v>0.2829148914277097</v>
      </c>
      <c r="W633" s="1">
        <v>8886.32</v>
      </c>
      <c r="X633" s="1">
        <f>T633-U633</f>
        <v>8886.3159999999953</v>
      </c>
      <c r="Y633" s="1" t="s">
        <v>40</v>
      </c>
      <c r="Z633" s="1" t="s">
        <v>41</v>
      </c>
      <c r="AA633" s="4">
        <f t="shared" si="45"/>
        <v>-172</v>
      </c>
      <c r="AB633" s="2" t="str">
        <f t="shared" si="49"/>
        <v>Invalid</v>
      </c>
      <c r="AC633" s="2"/>
    </row>
    <row r="634" spans="1:29">
      <c r="A634" s="1" t="s">
        <v>1982</v>
      </c>
      <c r="B634" s="2">
        <v>45762</v>
      </c>
      <c r="C634" s="2" t="str">
        <f t="shared" si="46"/>
        <v>April</v>
      </c>
      <c r="D634" s="1">
        <f t="shared" si="47"/>
        <v>2025</v>
      </c>
      <c r="E634" s="2">
        <v>45763</v>
      </c>
      <c r="F634" s="1" t="s">
        <v>1983</v>
      </c>
      <c r="G634" s="1" t="s">
        <v>140</v>
      </c>
      <c r="H634" s="1" t="s">
        <v>45</v>
      </c>
      <c r="I634" s="1" t="s">
        <v>62</v>
      </c>
      <c r="J634" s="1" t="s">
        <v>183</v>
      </c>
      <c r="K634" s="1" t="s">
        <v>184</v>
      </c>
      <c r="L634" s="1" t="s">
        <v>49</v>
      </c>
      <c r="M634" s="1" t="s">
        <v>65</v>
      </c>
      <c r="N634" s="1" t="s">
        <v>1984</v>
      </c>
      <c r="O634" s="1" t="s">
        <v>58</v>
      </c>
      <c r="P634" s="1">
        <v>5</v>
      </c>
      <c r="Q634" s="1">
        <v>2850.53</v>
      </c>
      <c r="R634" s="1">
        <v>0</v>
      </c>
      <c r="S634" s="1">
        <v>14252.65</v>
      </c>
      <c r="T634" s="1">
        <f t="shared" si="48"/>
        <v>14252.650000000001</v>
      </c>
      <c r="U634" s="1">
        <v>11558.31</v>
      </c>
      <c r="V634" s="3">
        <f>IF(T634=0,"",X634/T634)</f>
        <v>0.18904133617257154</v>
      </c>
      <c r="W634" s="1">
        <v>2694.34</v>
      </c>
      <c r="X634" s="1">
        <f>T634-U634</f>
        <v>2694.340000000002</v>
      </c>
      <c r="Y634" s="1" t="s">
        <v>40</v>
      </c>
      <c r="Z634" s="1" t="s">
        <v>41</v>
      </c>
      <c r="AA634" s="1">
        <f t="shared" si="45"/>
        <v>1</v>
      </c>
      <c r="AB634" s="2" t="str">
        <f t="shared" si="49"/>
        <v>Clean</v>
      </c>
      <c r="AC634" s="2"/>
    </row>
    <row r="635" spans="1:29">
      <c r="A635" s="1" t="s">
        <v>1985</v>
      </c>
      <c r="B635" s="2">
        <v>45765</v>
      </c>
      <c r="C635" s="2" t="str">
        <f t="shared" si="46"/>
        <v>April</v>
      </c>
      <c r="D635" s="1">
        <f t="shared" si="47"/>
        <v>2025</v>
      </c>
      <c r="E635" s="2">
        <v>45767</v>
      </c>
      <c r="F635" s="1" t="s">
        <v>1986</v>
      </c>
      <c r="G635" s="1" t="s">
        <v>136</v>
      </c>
      <c r="H635" s="1" t="s">
        <v>45</v>
      </c>
      <c r="I635" s="1" t="s">
        <v>62</v>
      </c>
      <c r="J635" s="1" t="s">
        <v>256</v>
      </c>
      <c r="K635" s="1" t="s">
        <v>257</v>
      </c>
      <c r="L635" s="1" t="s">
        <v>82</v>
      </c>
      <c r="M635" s="1" t="s">
        <v>83</v>
      </c>
      <c r="N635" s="1" t="s">
        <v>1987</v>
      </c>
      <c r="O635" s="1" t="s">
        <v>39</v>
      </c>
      <c r="P635" s="1">
        <v>1</v>
      </c>
      <c r="Q635" s="1">
        <v>1626.08</v>
      </c>
      <c r="R635" s="1">
        <v>0.15</v>
      </c>
      <c r="S635" s="1">
        <v>1382.17</v>
      </c>
      <c r="T635" s="1">
        <f t="shared" si="48"/>
        <v>1382.1679999999999</v>
      </c>
      <c r="U635" s="1">
        <v>810.03</v>
      </c>
      <c r="V635" s="3">
        <f>IF(T635=0,"",X635/T635)</f>
        <v>0.4139424440444287</v>
      </c>
      <c r="W635" s="1">
        <v>572.14</v>
      </c>
      <c r="X635" s="1">
        <f>T635-U635</f>
        <v>572.13799999999992</v>
      </c>
      <c r="Y635" s="1" t="s">
        <v>40</v>
      </c>
      <c r="Z635" s="1" t="s">
        <v>41</v>
      </c>
      <c r="AA635" s="1">
        <f t="shared" si="45"/>
        <v>2</v>
      </c>
      <c r="AB635" s="2" t="str">
        <f t="shared" si="49"/>
        <v>Clean</v>
      </c>
      <c r="AC635" s="2"/>
    </row>
    <row r="636" spans="1:29">
      <c r="A636" s="1" t="s">
        <v>1988</v>
      </c>
      <c r="B636" s="2">
        <v>45668</v>
      </c>
      <c r="C636" s="2" t="str">
        <f t="shared" si="46"/>
        <v>January</v>
      </c>
      <c r="D636" s="1">
        <f t="shared" si="47"/>
        <v>2025</v>
      </c>
      <c r="E636" s="2">
        <v>45992</v>
      </c>
      <c r="F636" s="1" t="s">
        <v>1989</v>
      </c>
      <c r="G636" s="1" t="s">
        <v>97</v>
      </c>
      <c r="H636" s="1" t="s">
        <v>32</v>
      </c>
      <c r="I636" s="1" t="s">
        <v>62</v>
      </c>
      <c r="J636" s="1" t="s">
        <v>63</v>
      </c>
      <c r="K636" s="1" t="s">
        <v>64</v>
      </c>
      <c r="L636" s="1" t="s">
        <v>49</v>
      </c>
      <c r="M636" s="1" t="s">
        <v>74</v>
      </c>
      <c r="N636" s="1" t="s">
        <v>1990</v>
      </c>
      <c r="O636" s="1" t="s">
        <v>39</v>
      </c>
      <c r="P636" s="1">
        <v>4</v>
      </c>
      <c r="Q636" s="1">
        <v>2427.15</v>
      </c>
      <c r="R636" s="1">
        <v>0.05</v>
      </c>
      <c r="S636" s="1">
        <v>9223.17</v>
      </c>
      <c r="T636" s="1">
        <f t="shared" si="48"/>
        <v>9223.17</v>
      </c>
      <c r="U636" s="1">
        <v>5103.7</v>
      </c>
      <c r="V636" s="3">
        <f>IF(T636=0,"",X636/T636)</f>
        <v>0.44664361602355807</v>
      </c>
      <c r="W636" s="1">
        <v>4119.47</v>
      </c>
      <c r="X636" s="1">
        <f>T636-U636</f>
        <v>4119.47</v>
      </c>
      <c r="Y636" s="1" t="s">
        <v>40</v>
      </c>
      <c r="Z636" s="1" t="s">
        <v>41</v>
      </c>
      <c r="AA636" s="1">
        <f t="shared" si="45"/>
        <v>324</v>
      </c>
      <c r="AB636" s="2" t="str">
        <f t="shared" si="49"/>
        <v>Clean</v>
      </c>
      <c r="AC636" s="2"/>
    </row>
    <row r="637" spans="1:29">
      <c r="A637" s="1" t="s">
        <v>1991</v>
      </c>
      <c r="B637" s="2">
        <v>45432</v>
      </c>
      <c r="C637" s="2" t="str">
        <f t="shared" si="46"/>
        <v>May</v>
      </c>
      <c r="D637" s="1">
        <f t="shared" si="47"/>
        <v>2024</v>
      </c>
      <c r="E637" s="2">
        <v>45437</v>
      </c>
      <c r="F637" s="1" t="s">
        <v>1992</v>
      </c>
      <c r="G637" s="1" t="s">
        <v>44</v>
      </c>
      <c r="H637" s="1" t="s">
        <v>98</v>
      </c>
      <c r="I637" s="1" t="s">
        <v>62</v>
      </c>
      <c r="J637" s="1" t="s">
        <v>92</v>
      </c>
      <c r="K637" s="1" t="s">
        <v>93</v>
      </c>
      <c r="L637" s="1" t="s">
        <v>49</v>
      </c>
      <c r="M637" s="1" t="s">
        <v>74</v>
      </c>
      <c r="N637" s="1" t="s">
        <v>1993</v>
      </c>
      <c r="O637" s="1" t="s">
        <v>52</v>
      </c>
      <c r="P637" s="1">
        <v>7</v>
      </c>
      <c r="Q637" s="1">
        <v>3122.85</v>
      </c>
      <c r="R637" s="1">
        <v>0.25</v>
      </c>
      <c r="S637" s="1">
        <v>16394.96</v>
      </c>
      <c r="T637" s="1">
        <f t="shared" si="48"/>
        <v>16394.962500000001</v>
      </c>
      <c r="U637" s="1">
        <v>10404.17</v>
      </c>
      <c r="V637" s="3">
        <f>IF(T637=0,"",X637/T637)</f>
        <v>0.36540446493854445</v>
      </c>
      <c r="W637" s="1">
        <v>5990.79</v>
      </c>
      <c r="X637" s="1">
        <f>T637-U637</f>
        <v>5990.7925000000014</v>
      </c>
      <c r="Y637" s="1" t="s">
        <v>40</v>
      </c>
      <c r="Z637" s="1" t="s">
        <v>41</v>
      </c>
      <c r="AA637" s="1">
        <f t="shared" si="45"/>
        <v>5</v>
      </c>
      <c r="AB637" s="2" t="str">
        <f t="shared" si="49"/>
        <v>Clean</v>
      </c>
      <c r="AC637" s="2"/>
    </row>
    <row r="638" spans="1:29">
      <c r="A638" s="1" t="s">
        <v>1994</v>
      </c>
      <c r="B638" s="2">
        <v>45332</v>
      </c>
      <c r="C638" s="2" t="str">
        <f t="shared" si="46"/>
        <v>February</v>
      </c>
      <c r="D638" s="1">
        <f t="shared" si="47"/>
        <v>2024</v>
      </c>
      <c r="E638" s="2">
        <v>45545</v>
      </c>
      <c r="F638" s="1" t="s">
        <v>1995</v>
      </c>
      <c r="G638" s="1" t="s">
        <v>70</v>
      </c>
      <c r="H638" s="1" t="s">
        <v>32</v>
      </c>
      <c r="I638" s="1" t="s">
        <v>62</v>
      </c>
      <c r="J638" s="1" t="s">
        <v>256</v>
      </c>
      <c r="K638" s="1" t="s">
        <v>257</v>
      </c>
      <c r="L638" s="1" t="s">
        <v>36</v>
      </c>
      <c r="M638" s="1" t="s">
        <v>37</v>
      </c>
      <c r="N638" s="1" t="s">
        <v>1996</v>
      </c>
      <c r="O638" s="1" t="s">
        <v>67</v>
      </c>
      <c r="P638" s="1">
        <v>8</v>
      </c>
      <c r="Q638" s="1">
        <v>1910.31</v>
      </c>
      <c r="R638" s="1">
        <v>0.15</v>
      </c>
      <c r="S638" s="1">
        <v>12990.11</v>
      </c>
      <c r="T638" s="1">
        <f t="shared" si="48"/>
        <v>12990.108</v>
      </c>
      <c r="U638" s="1">
        <v>10200.799999999999</v>
      </c>
      <c r="V638" s="3">
        <f>IF(T638=0,"",X638/T638)</f>
        <v>0.2147255434673831</v>
      </c>
      <c r="W638" s="1">
        <v>2789.31</v>
      </c>
      <c r="X638" s="1">
        <f>T638-U638</f>
        <v>2789.3080000000009</v>
      </c>
      <c r="Y638" s="1" t="s">
        <v>40</v>
      </c>
      <c r="Z638" s="1" t="s">
        <v>41</v>
      </c>
      <c r="AA638" s="1">
        <f t="shared" si="45"/>
        <v>213</v>
      </c>
      <c r="AB638" s="2" t="str">
        <f t="shared" si="49"/>
        <v>Clean</v>
      </c>
      <c r="AC638" s="2"/>
    </row>
    <row r="639" spans="1:29">
      <c r="A639" s="1" t="s">
        <v>1997</v>
      </c>
      <c r="B639" s="2">
        <v>45438</v>
      </c>
      <c r="C639" s="2" t="str">
        <f t="shared" si="46"/>
        <v>May</v>
      </c>
      <c r="D639" s="1">
        <f t="shared" si="47"/>
        <v>2024</v>
      </c>
      <c r="E639" s="2">
        <v>45438</v>
      </c>
      <c r="F639" s="1" t="s">
        <v>1998</v>
      </c>
      <c r="G639" s="1" t="s">
        <v>126</v>
      </c>
      <c r="H639" s="1" t="s">
        <v>45</v>
      </c>
      <c r="I639" s="1" t="s">
        <v>71</v>
      </c>
      <c r="J639" s="1" t="s">
        <v>198</v>
      </c>
      <c r="K639" s="1" t="s">
        <v>199</v>
      </c>
      <c r="L639" s="1" t="s">
        <v>82</v>
      </c>
      <c r="M639" s="1" t="s">
        <v>88</v>
      </c>
      <c r="N639" s="1" t="s">
        <v>1999</v>
      </c>
      <c r="O639" s="1" t="s">
        <v>58</v>
      </c>
      <c r="P639" s="1">
        <v>2</v>
      </c>
      <c r="Q639" s="1">
        <v>3192.47</v>
      </c>
      <c r="R639" s="1">
        <v>0.2</v>
      </c>
      <c r="S639" s="1">
        <v>5107.95</v>
      </c>
      <c r="T639" s="1">
        <f t="shared" si="48"/>
        <v>5107.9520000000002</v>
      </c>
      <c r="U639" s="1">
        <v>3133.08</v>
      </c>
      <c r="V639" s="3">
        <f>IF(T639=0,"",X639/T639)</f>
        <v>0.38662696908663202</v>
      </c>
      <c r="W639" s="1">
        <v>1974.87</v>
      </c>
      <c r="X639" s="1">
        <f>T639-U639</f>
        <v>1974.8720000000003</v>
      </c>
      <c r="Y639" s="1" t="s">
        <v>40</v>
      </c>
      <c r="Z639" s="1" t="s">
        <v>41</v>
      </c>
      <c r="AA639" s="1">
        <f t="shared" si="45"/>
        <v>0</v>
      </c>
      <c r="AB639" s="2" t="str">
        <f t="shared" si="49"/>
        <v>Clean</v>
      </c>
      <c r="AC639" s="2"/>
    </row>
    <row r="640" spans="1:29">
      <c r="A640" s="1" t="s">
        <v>2000</v>
      </c>
      <c r="B640" s="2">
        <v>45317</v>
      </c>
      <c r="C640" s="2" t="str">
        <f t="shared" si="46"/>
        <v>January</v>
      </c>
      <c r="D640" s="1">
        <f t="shared" si="47"/>
        <v>2024</v>
      </c>
      <c r="E640" s="2">
        <v>45322</v>
      </c>
      <c r="F640" s="1" t="s">
        <v>2001</v>
      </c>
      <c r="G640" s="1" t="s">
        <v>31</v>
      </c>
      <c r="H640" s="1" t="s">
        <v>98</v>
      </c>
      <c r="I640" s="1" t="s">
        <v>62</v>
      </c>
      <c r="J640" s="1" t="s">
        <v>193</v>
      </c>
      <c r="K640" s="1" t="s">
        <v>194</v>
      </c>
      <c r="L640" s="1" t="s">
        <v>36</v>
      </c>
      <c r="M640" s="1" t="s">
        <v>132</v>
      </c>
      <c r="N640" s="1" t="s">
        <v>2002</v>
      </c>
      <c r="O640" s="1" t="s">
        <v>39</v>
      </c>
      <c r="P640" s="1">
        <v>3</v>
      </c>
      <c r="Q640" s="1">
        <v>3224.32</v>
      </c>
      <c r="R640" s="1">
        <v>0.2</v>
      </c>
      <c r="S640" s="1">
        <v>7738.37</v>
      </c>
      <c r="T640" s="1">
        <f t="shared" si="48"/>
        <v>7738.3680000000013</v>
      </c>
      <c r="U640" s="1">
        <v>4626.8500000000004</v>
      </c>
      <c r="V640" s="3">
        <f>IF(T640=0,"",X640/T640)</f>
        <v>0.40208969126306743</v>
      </c>
      <c r="W640" s="1">
        <v>3111.52</v>
      </c>
      <c r="X640" s="1">
        <f>T640-U640</f>
        <v>3111.5180000000009</v>
      </c>
      <c r="Y640" s="1" t="s">
        <v>163</v>
      </c>
      <c r="Z640" s="1" t="s">
        <v>111</v>
      </c>
      <c r="AA640" s="1">
        <f t="shared" si="45"/>
        <v>5</v>
      </c>
      <c r="AB640" s="2" t="str">
        <f t="shared" si="49"/>
        <v>Clean</v>
      </c>
      <c r="AC640" s="2"/>
    </row>
    <row r="641" spans="1:29">
      <c r="A641" s="1" t="s">
        <v>2003</v>
      </c>
      <c r="B641" s="2">
        <v>45653</v>
      </c>
      <c r="C641" s="2" t="str">
        <f t="shared" si="46"/>
        <v>December</v>
      </c>
      <c r="D641" s="1">
        <f t="shared" si="47"/>
        <v>2024</v>
      </c>
      <c r="E641" s="2">
        <v>45657</v>
      </c>
      <c r="F641" s="1" t="s">
        <v>2004</v>
      </c>
      <c r="G641" s="1" t="s">
        <v>55</v>
      </c>
      <c r="H641" s="1" t="s">
        <v>45</v>
      </c>
      <c r="I641" s="1" t="s">
        <v>46</v>
      </c>
      <c r="J641" s="1" t="s">
        <v>47</v>
      </c>
      <c r="K641" s="1" t="s">
        <v>48</v>
      </c>
      <c r="L641" s="1" t="s">
        <v>49</v>
      </c>
      <c r="M641" s="1" t="s">
        <v>74</v>
      </c>
      <c r="N641" s="1" t="s">
        <v>2005</v>
      </c>
      <c r="O641" s="1" t="s">
        <v>39</v>
      </c>
      <c r="P641" s="1">
        <v>1</v>
      </c>
      <c r="Q641" s="1">
        <v>1594.7</v>
      </c>
      <c r="R641" s="1">
        <v>0.05</v>
      </c>
      <c r="S641" s="1">
        <v>1514.96</v>
      </c>
      <c r="T641" s="1">
        <f t="shared" si="48"/>
        <v>1514.9649999999999</v>
      </c>
      <c r="U641" s="1">
        <v>1046.17</v>
      </c>
      <c r="V641" s="3">
        <f>IF(T641=0,"",X641/T641)</f>
        <v>0.3094427924077453</v>
      </c>
      <c r="W641" s="1">
        <v>468.79</v>
      </c>
      <c r="X641" s="1">
        <f>T641-U641</f>
        <v>468.79499999999985</v>
      </c>
      <c r="Y641" s="1" t="s">
        <v>40</v>
      </c>
      <c r="Z641" s="1" t="s">
        <v>41</v>
      </c>
      <c r="AA641" s="1">
        <f t="shared" si="45"/>
        <v>4</v>
      </c>
      <c r="AB641" s="2" t="str">
        <f t="shared" si="49"/>
        <v>Clean</v>
      </c>
      <c r="AC641" s="2"/>
    </row>
    <row r="642" spans="1:29">
      <c r="A642" s="1" t="s">
        <v>2006</v>
      </c>
      <c r="B642" s="2">
        <v>45671</v>
      </c>
      <c r="C642" s="2" t="str">
        <f t="shared" si="46"/>
        <v>January</v>
      </c>
      <c r="D642" s="1">
        <f t="shared" si="47"/>
        <v>2025</v>
      </c>
      <c r="E642" s="2">
        <v>45674</v>
      </c>
      <c r="F642" s="1" t="s">
        <v>2007</v>
      </c>
      <c r="G642" s="1" t="s">
        <v>79</v>
      </c>
      <c r="H642" s="1" t="s">
        <v>32</v>
      </c>
      <c r="I642" s="1" t="s">
        <v>71</v>
      </c>
      <c r="J642" s="1" t="s">
        <v>198</v>
      </c>
      <c r="K642" s="1" t="s">
        <v>199</v>
      </c>
      <c r="L642" s="1" t="s">
        <v>36</v>
      </c>
      <c r="M642" s="1" t="s">
        <v>132</v>
      </c>
      <c r="N642" s="1" t="s">
        <v>2008</v>
      </c>
      <c r="O642" s="1" t="s">
        <v>58</v>
      </c>
      <c r="P642" s="1">
        <v>1</v>
      </c>
      <c r="Q642" s="1">
        <v>1584.12</v>
      </c>
      <c r="R642" s="1">
        <v>0.2</v>
      </c>
      <c r="S642" s="1">
        <v>1267.3</v>
      </c>
      <c r="T642" s="1">
        <f t="shared" si="48"/>
        <v>1267.296</v>
      </c>
      <c r="U642" s="1">
        <v>923.53</v>
      </c>
      <c r="V642" s="3">
        <f>IF(T642=0,"",X642/T642)</f>
        <v>0.27125943741635739</v>
      </c>
      <c r="W642" s="1">
        <v>343.77</v>
      </c>
      <c r="X642" s="1">
        <f>T642-U642</f>
        <v>343.76600000000008</v>
      </c>
      <c r="Y642" s="1" t="s">
        <v>40</v>
      </c>
      <c r="Z642" s="1" t="s">
        <v>41</v>
      </c>
      <c r="AA642" s="1">
        <f t="shared" ref="AA642:AA705" si="50">E642-B642</f>
        <v>3</v>
      </c>
      <c r="AB642" s="2" t="str">
        <f t="shared" si="49"/>
        <v>Clean</v>
      </c>
      <c r="AC642" s="2"/>
    </row>
    <row r="643" spans="1:29">
      <c r="A643" s="1" t="s">
        <v>2009</v>
      </c>
      <c r="B643" s="2">
        <v>45904</v>
      </c>
      <c r="C643" s="2" t="str">
        <f t="shared" ref="C643:C706" si="51">TEXT(B643,"mmmm")</f>
        <v>September</v>
      </c>
      <c r="D643" s="1">
        <f t="shared" ref="D643:D706" si="52">YEAR(B643)</f>
        <v>2025</v>
      </c>
      <c r="E643" s="2">
        <v>45761</v>
      </c>
      <c r="F643" s="1" t="s">
        <v>2010</v>
      </c>
      <c r="G643" s="1" t="s">
        <v>31</v>
      </c>
      <c r="H643" s="1" t="s">
        <v>32</v>
      </c>
      <c r="I643" s="1" t="s">
        <v>33</v>
      </c>
      <c r="J643" s="1" t="s">
        <v>359</v>
      </c>
      <c r="K643" s="1" t="s">
        <v>360</v>
      </c>
      <c r="L643" s="1" t="s">
        <v>49</v>
      </c>
      <c r="M643" s="1" t="s">
        <v>65</v>
      </c>
      <c r="N643" s="1" t="s">
        <v>2011</v>
      </c>
      <c r="O643" s="1" t="s">
        <v>52</v>
      </c>
      <c r="P643" s="1">
        <v>2</v>
      </c>
      <c r="Q643" s="1">
        <v>3202.87</v>
      </c>
      <c r="R643" s="1">
        <v>0</v>
      </c>
      <c r="S643" s="1">
        <v>6405.74</v>
      </c>
      <c r="T643" s="1">
        <f t="shared" ref="T643:T706" si="53">P643*Q643*(1-R643)</f>
        <v>6405.74</v>
      </c>
      <c r="U643" s="1">
        <v>3561.87</v>
      </c>
      <c r="V643" s="3">
        <f>IF(T643=0,"",X643/T643)</f>
        <v>0.44395651400150488</v>
      </c>
      <c r="W643" s="1">
        <v>2843.87</v>
      </c>
      <c r="X643" s="1">
        <f>T643-U643</f>
        <v>2843.87</v>
      </c>
      <c r="Y643" s="1" t="s">
        <v>40</v>
      </c>
      <c r="Z643" s="1" t="s">
        <v>41</v>
      </c>
      <c r="AA643" s="4">
        <f t="shared" si="50"/>
        <v>-143</v>
      </c>
      <c r="AB643" s="2" t="str">
        <f t="shared" ref="AB643:AB706" si="54">IF(OR(AA643&lt;0,R643&lt;0),"Invalid",IF(OR(I643="Unknown",O643="Unknown"),"Warning","Clean"))</f>
        <v>Invalid</v>
      </c>
      <c r="AC643" s="2"/>
    </row>
    <row r="644" spans="1:29">
      <c r="A644" s="1" t="s">
        <v>2012</v>
      </c>
      <c r="B644" s="2">
        <v>45533</v>
      </c>
      <c r="C644" s="2" t="str">
        <f t="shared" si="51"/>
        <v>August</v>
      </c>
      <c r="D644" s="1">
        <f t="shared" si="52"/>
        <v>2024</v>
      </c>
      <c r="E644" s="2">
        <v>45535</v>
      </c>
      <c r="F644" s="1" t="s">
        <v>2013</v>
      </c>
      <c r="G644" s="1" t="s">
        <v>55</v>
      </c>
      <c r="H644" s="1" t="s">
        <v>103</v>
      </c>
      <c r="I644" s="1" t="s">
        <v>46</v>
      </c>
      <c r="J644" s="1" t="s">
        <v>174</v>
      </c>
      <c r="K644" s="1" t="s">
        <v>175</v>
      </c>
      <c r="L644" s="1" t="s">
        <v>36</v>
      </c>
      <c r="M644" s="1" t="s">
        <v>161</v>
      </c>
      <c r="N644" s="1" t="s">
        <v>2014</v>
      </c>
      <c r="O644" s="1" t="s">
        <v>39</v>
      </c>
      <c r="P644" s="1">
        <v>9</v>
      </c>
      <c r="Q644" s="1">
        <v>1275.21</v>
      </c>
      <c r="R644" s="1">
        <v>0.25</v>
      </c>
      <c r="S644" s="1">
        <v>8607.67</v>
      </c>
      <c r="T644" s="1">
        <f t="shared" si="53"/>
        <v>8607.6674999999996</v>
      </c>
      <c r="U644" s="1">
        <v>5337.64</v>
      </c>
      <c r="V644" s="3">
        <f>IF(T644=0,"",X644/T644)</f>
        <v>0.37989705108846261</v>
      </c>
      <c r="W644" s="1">
        <v>3270.03</v>
      </c>
      <c r="X644" s="1">
        <f>T644-U644</f>
        <v>3270.0274999999992</v>
      </c>
      <c r="Y644" s="1" t="s">
        <v>163</v>
      </c>
      <c r="Z644" s="1" t="s">
        <v>111</v>
      </c>
      <c r="AA644" s="1">
        <f t="shared" si="50"/>
        <v>2</v>
      </c>
      <c r="AB644" s="2" t="str">
        <f t="shared" si="54"/>
        <v>Clean</v>
      </c>
      <c r="AC644" s="2"/>
    </row>
    <row r="645" spans="1:29">
      <c r="A645" s="1" t="s">
        <v>2015</v>
      </c>
      <c r="B645" s="2">
        <v>45414</v>
      </c>
      <c r="C645" s="2" t="str">
        <f t="shared" si="51"/>
        <v>May</v>
      </c>
      <c r="D645" s="1">
        <f t="shared" si="52"/>
        <v>2024</v>
      </c>
      <c r="E645" s="2">
        <v>45335</v>
      </c>
      <c r="F645" s="1" t="s">
        <v>725</v>
      </c>
      <c r="G645" s="1" t="s">
        <v>136</v>
      </c>
      <c r="H645" s="1" t="s">
        <v>103</v>
      </c>
      <c r="I645" s="1" t="s">
        <v>33</v>
      </c>
      <c r="J645" s="1" t="s">
        <v>144</v>
      </c>
      <c r="K645" s="1" t="s">
        <v>145</v>
      </c>
      <c r="L645" s="1" t="s">
        <v>36</v>
      </c>
      <c r="M645" s="1" t="s">
        <v>99</v>
      </c>
      <c r="N645" s="1" t="s">
        <v>2016</v>
      </c>
      <c r="O645" s="1" t="s">
        <v>67</v>
      </c>
      <c r="P645" s="1">
        <v>8</v>
      </c>
      <c r="Q645" s="1">
        <v>3871.18</v>
      </c>
      <c r="R645" s="1">
        <v>0.15</v>
      </c>
      <c r="S645" s="1">
        <v>26324.02</v>
      </c>
      <c r="T645" s="1">
        <f t="shared" si="53"/>
        <v>26324.023999999998</v>
      </c>
      <c r="U645" s="1">
        <v>16277.96</v>
      </c>
      <c r="V645" s="3">
        <f>IF(T645=0,"",X645/T645)</f>
        <v>0.3816310150758106</v>
      </c>
      <c r="W645" s="1">
        <v>10046.06</v>
      </c>
      <c r="X645" s="1">
        <f>T645-U645</f>
        <v>10046.063999999998</v>
      </c>
      <c r="Y645" s="1" t="s">
        <v>163</v>
      </c>
      <c r="Z645" s="1" t="s">
        <v>111</v>
      </c>
      <c r="AA645" s="4">
        <f t="shared" si="50"/>
        <v>-79</v>
      </c>
      <c r="AB645" s="2" t="str">
        <f t="shared" si="54"/>
        <v>Invalid</v>
      </c>
      <c r="AC645" s="2"/>
    </row>
    <row r="646" spans="1:29">
      <c r="A646" s="1" t="s">
        <v>2017</v>
      </c>
      <c r="B646" s="2">
        <v>45934</v>
      </c>
      <c r="C646" s="2" t="str">
        <f t="shared" si="51"/>
        <v>October</v>
      </c>
      <c r="D646" s="1">
        <f t="shared" si="52"/>
        <v>2025</v>
      </c>
      <c r="E646" s="2">
        <v>45764</v>
      </c>
      <c r="F646" s="1" t="s">
        <v>2018</v>
      </c>
      <c r="G646" s="1" t="s">
        <v>79</v>
      </c>
      <c r="H646" s="1" t="s">
        <v>32</v>
      </c>
      <c r="I646" s="1" t="s">
        <v>46</v>
      </c>
      <c r="J646" s="1" t="s">
        <v>107</v>
      </c>
      <c r="K646" s="1" t="s">
        <v>108</v>
      </c>
      <c r="L646" s="1" t="s">
        <v>49</v>
      </c>
      <c r="M646" s="1" t="s">
        <v>74</v>
      </c>
      <c r="N646" s="1" t="s">
        <v>2019</v>
      </c>
      <c r="O646" s="1" t="s">
        <v>67</v>
      </c>
      <c r="P646" s="1">
        <v>4</v>
      </c>
      <c r="Q646" s="1">
        <v>3750.02</v>
      </c>
      <c r="R646" s="1">
        <v>0.05</v>
      </c>
      <c r="S646" s="1">
        <v>14250.08</v>
      </c>
      <c r="T646" s="1">
        <f t="shared" si="53"/>
        <v>14250.075999999999</v>
      </c>
      <c r="U646" s="1">
        <v>10914.92</v>
      </c>
      <c r="V646" s="3">
        <f>IF(T646=0,"",X646/T646)</f>
        <v>0.23404478684885605</v>
      </c>
      <c r="W646" s="1">
        <v>3335.16</v>
      </c>
      <c r="X646" s="1">
        <f>T646-U646</f>
        <v>3335.155999999999</v>
      </c>
      <c r="Y646" s="1" t="s">
        <v>40</v>
      </c>
      <c r="Z646" s="1" t="s">
        <v>41</v>
      </c>
      <c r="AA646" s="4">
        <f t="shared" si="50"/>
        <v>-170</v>
      </c>
      <c r="AB646" s="2" t="str">
        <f t="shared" si="54"/>
        <v>Invalid</v>
      </c>
      <c r="AC646" s="2"/>
    </row>
    <row r="647" spans="1:29">
      <c r="A647" s="1" t="s">
        <v>2020</v>
      </c>
      <c r="B647" s="2">
        <v>45383</v>
      </c>
      <c r="C647" s="2" t="str">
        <f t="shared" si="51"/>
        <v>April</v>
      </c>
      <c r="D647" s="1">
        <f t="shared" si="52"/>
        <v>2024</v>
      </c>
      <c r="E647" s="2">
        <v>45536</v>
      </c>
      <c r="F647" s="1" t="s">
        <v>2021</v>
      </c>
      <c r="G647" s="1" t="s">
        <v>273</v>
      </c>
      <c r="H647" s="1" t="s">
        <v>32</v>
      </c>
      <c r="I647" s="1" t="s">
        <v>46</v>
      </c>
      <c r="J647" s="1" t="s">
        <v>153</v>
      </c>
      <c r="K647" s="1" t="s">
        <v>154</v>
      </c>
      <c r="L647" s="1" t="s">
        <v>49</v>
      </c>
      <c r="M647" s="1" t="s">
        <v>74</v>
      </c>
      <c r="N647" s="1" t="s">
        <v>2022</v>
      </c>
      <c r="O647" s="1" t="s">
        <v>39</v>
      </c>
      <c r="P647" s="1">
        <v>6</v>
      </c>
      <c r="Q647" s="1">
        <v>2423.61</v>
      </c>
      <c r="R647" s="1">
        <v>0.1</v>
      </c>
      <c r="S647" s="1">
        <v>13087.49</v>
      </c>
      <c r="T647" s="1">
        <f t="shared" si="53"/>
        <v>13087.494000000001</v>
      </c>
      <c r="U647" s="1">
        <v>7608.89</v>
      </c>
      <c r="V647" s="3">
        <f>IF(T647=0,"",X647/T647)</f>
        <v>0.41861367806548755</v>
      </c>
      <c r="W647" s="1">
        <v>5133.22</v>
      </c>
      <c r="X647" s="1">
        <f>T647-U647</f>
        <v>5478.6040000000003</v>
      </c>
      <c r="Y647" s="1" t="s">
        <v>40</v>
      </c>
      <c r="Z647" s="1" t="s">
        <v>41</v>
      </c>
      <c r="AA647" s="1">
        <f t="shared" si="50"/>
        <v>153</v>
      </c>
      <c r="AB647" s="2" t="str">
        <f t="shared" si="54"/>
        <v>Clean</v>
      </c>
      <c r="AC647" s="2"/>
    </row>
    <row r="648" spans="1:29">
      <c r="A648" s="1" t="s">
        <v>2023</v>
      </c>
      <c r="B648" s="2">
        <v>45553</v>
      </c>
      <c r="C648" s="2" t="str">
        <f t="shared" si="51"/>
        <v>September</v>
      </c>
      <c r="D648" s="1">
        <f t="shared" si="52"/>
        <v>2024</v>
      </c>
      <c r="E648" s="2">
        <v>45559</v>
      </c>
      <c r="F648" s="1" t="s">
        <v>2024</v>
      </c>
      <c r="G648" s="1" t="s">
        <v>79</v>
      </c>
      <c r="H648" s="1" t="s">
        <v>45</v>
      </c>
      <c r="I648" s="1" t="s">
        <v>46</v>
      </c>
      <c r="J648" s="1" t="s">
        <v>237</v>
      </c>
      <c r="K648" s="1" t="s">
        <v>238</v>
      </c>
      <c r="L648" s="1" t="s">
        <v>82</v>
      </c>
      <c r="M648" s="1" t="s">
        <v>283</v>
      </c>
      <c r="N648" s="1" t="s">
        <v>2025</v>
      </c>
      <c r="O648" s="1" t="s">
        <v>58</v>
      </c>
      <c r="P648" s="1">
        <v>3</v>
      </c>
      <c r="Q648" s="1">
        <v>729.14</v>
      </c>
      <c r="R648" s="1">
        <v>0.25</v>
      </c>
      <c r="S648" s="1">
        <v>1640.57</v>
      </c>
      <c r="T648" s="1">
        <f t="shared" si="53"/>
        <v>1640.5650000000001</v>
      </c>
      <c r="U648" s="1">
        <v>1136.98</v>
      </c>
      <c r="V648" s="3">
        <f>IF(T648=0,"",X648/T648)</f>
        <v>0.30695827352162214</v>
      </c>
      <c r="W648" s="1">
        <v>503.59</v>
      </c>
      <c r="X648" s="1">
        <f>T648-U648</f>
        <v>503.58500000000004</v>
      </c>
      <c r="Y648" s="1" t="s">
        <v>40</v>
      </c>
      <c r="Z648" s="1" t="s">
        <v>41</v>
      </c>
      <c r="AA648" s="1">
        <f t="shared" si="50"/>
        <v>6</v>
      </c>
      <c r="AB648" s="2" t="str">
        <f t="shared" si="54"/>
        <v>Clean</v>
      </c>
      <c r="AC648" s="2"/>
    </row>
    <row r="649" spans="1:29">
      <c r="A649" s="1" t="s">
        <v>2026</v>
      </c>
      <c r="B649" s="2">
        <v>45658</v>
      </c>
      <c r="C649" s="2" t="str">
        <f t="shared" si="51"/>
        <v>January</v>
      </c>
      <c r="D649" s="1">
        <f t="shared" si="52"/>
        <v>2025</v>
      </c>
      <c r="E649" s="2">
        <v>45901</v>
      </c>
      <c r="F649" s="1" t="s">
        <v>2027</v>
      </c>
      <c r="G649" s="1" t="s">
        <v>149</v>
      </c>
      <c r="H649" s="1" t="s">
        <v>45</v>
      </c>
      <c r="I649" s="1" t="s">
        <v>33</v>
      </c>
      <c r="J649" s="1" t="s">
        <v>130</v>
      </c>
      <c r="K649" s="1" t="s">
        <v>131</v>
      </c>
      <c r="L649" s="1" t="s">
        <v>36</v>
      </c>
      <c r="M649" s="1" t="s">
        <v>56</v>
      </c>
      <c r="N649" s="1" t="s">
        <v>2028</v>
      </c>
      <c r="O649" s="1" t="s">
        <v>58</v>
      </c>
      <c r="P649" s="1">
        <v>8</v>
      </c>
      <c r="Q649" s="1">
        <v>2123.81</v>
      </c>
      <c r="R649" s="1">
        <v>0.15</v>
      </c>
      <c r="S649" s="1">
        <v>14441.91</v>
      </c>
      <c r="T649" s="1">
        <f t="shared" si="53"/>
        <v>14441.907999999999</v>
      </c>
      <c r="U649" s="1">
        <v>10872.89</v>
      </c>
      <c r="V649" s="3">
        <f>IF(T649=0,"",X649/T649)</f>
        <v>0.24712925743606731</v>
      </c>
      <c r="W649" s="1">
        <v>3569.02</v>
      </c>
      <c r="X649" s="1">
        <f>T649-U649</f>
        <v>3569.018</v>
      </c>
      <c r="Y649" s="1" t="s">
        <v>40</v>
      </c>
      <c r="Z649" s="1" t="s">
        <v>41</v>
      </c>
      <c r="AA649" s="1">
        <f t="shared" si="50"/>
        <v>243</v>
      </c>
      <c r="AB649" s="2" t="str">
        <f t="shared" si="54"/>
        <v>Clean</v>
      </c>
      <c r="AC649" s="2"/>
    </row>
    <row r="650" spans="1:29">
      <c r="A650" s="1" t="s">
        <v>2029</v>
      </c>
      <c r="B650" s="2">
        <v>45403</v>
      </c>
      <c r="C650" s="2" t="str">
        <f t="shared" si="51"/>
        <v>April</v>
      </c>
      <c r="D650" s="1">
        <f t="shared" si="52"/>
        <v>2024</v>
      </c>
      <c r="E650" s="2">
        <v>45406</v>
      </c>
      <c r="F650" s="1" t="s">
        <v>2030</v>
      </c>
      <c r="G650" s="1" t="s">
        <v>87</v>
      </c>
      <c r="H650" s="1" t="s">
        <v>45</v>
      </c>
      <c r="I650" s="1" t="s">
        <v>62</v>
      </c>
      <c r="J650" s="1" t="s">
        <v>92</v>
      </c>
      <c r="K650" s="1" t="s">
        <v>93</v>
      </c>
      <c r="L650" s="1" t="s">
        <v>36</v>
      </c>
      <c r="M650" s="1" t="s">
        <v>56</v>
      </c>
      <c r="N650" s="1" t="s">
        <v>2031</v>
      </c>
      <c r="O650" s="1" t="s">
        <v>52</v>
      </c>
      <c r="P650" s="1">
        <v>9</v>
      </c>
      <c r="Q650" s="1">
        <v>703.59</v>
      </c>
      <c r="R650" s="1">
        <v>0.2</v>
      </c>
      <c r="S650" s="1">
        <v>5065.8500000000004</v>
      </c>
      <c r="T650" s="1">
        <f t="shared" si="53"/>
        <v>5065.8480000000009</v>
      </c>
      <c r="U650" s="1">
        <v>3517.23</v>
      </c>
      <c r="V650" s="3">
        <f>IF(T650=0,"",X650/T650)</f>
        <v>0.30569768378364304</v>
      </c>
      <c r="W650" s="1">
        <v>1548.62</v>
      </c>
      <c r="X650" s="1">
        <f>T650-U650</f>
        <v>1548.6180000000008</v>
      </c>
      <c r="Y650" s="1" t="s">
        <v>163</v>
      </c>
      <c r="Z650" s="1" t="s">
        <v>111</v>
      </c>
      <c r="AA650" s="1">
        <f t="shared" si="50"/>
        <v>3</v>
      </c>
      <c r="AB650" s="2" t="str">
        <f t="shared" si="54"/>
        <v>Clean</v>
      </c>
      <c r="AC650" s="2"/>
    </row>
    <row r="651" spans="1:29">
      <c r="A651" s="1" t="s">
        <v>2032</v>
      </c>
      <c r="B651" s="2">
        <v>45969</v>
      </c>
      <c r="C651" s="2" t="str">
        <f t="shared" si="51"/>
        <v>November</v>
      </c>
      <c r="D651" s="1">
        <f t="shared" si="52"/>
        <v>2025</v>
      </c>
      <c r="E651" s="2">
        <v>45888</v>
      </c>
      <c r="F651" s="1" t="s">
        <v>2033</v>
      </c>
      <c r="G651" s="1" t="s">
        <v>273</v>
      </c>
      <c r="H651" s="1" t="s">
        <v>45</v>
      </c>
      <c r="I651" s="1" t="s">
        <v>62</v>
      </c>
      <c r="J651" s="1" t="s">
        <v>193</v>
      </c>
      <c r="K651" s="1" t="s">
        <v>194</v>
      </c>
      <c r="L651" s="1" t="s">
        <v>82</v>
      </c>
      <c r="M651" s="1" t="s">
        <v>83</v>
      </c>
      <c r="N651" s="1" t="s">
        <v>2034</v>
      </c>
      <c r="O651" s="1" t="s">
        <v>67</v>
      </c>
      <c r="P651" s="1">
        <v>4</v>
      </c>
      <c r="Q651" s="1">
        <v>2258.96</v>
      </c>
      <c r="R651" s="1">
        <v>0.25</v>
      </c>
      <c r="S651" s="1">
        <v>6776.88</v>
      </c>
      <c r="T651" s="1">
        <f t="shared" si="53"/>
        <v>6776.88</v>
      </c>
      <c r="U651" s="1">
        <v>3836.24</v>
      </c>
      <c r="V651" s="3">
        <f>IF(T651=0,"",X651/T651)</f>
        <v>0.43392239496641527</v>
      </c>
      <c r="W651" s="1">
        <v>2940.64</v>
      </c>
      <c r="X651" s="1">
        <f>T651-U651</f>
        <v>2940.6400000000003</v>
      </c>
      <c r="Y651" s="1" t="s">
        <v>40</v>
      </c>
      <c r="Z651" s="1" t="s">
        <v>41</v>
      </c>
      <c r="AA651" s="4">
        <f t="shared" si="50"/>
        <v>-81</v>
      </c>
      <c r="AB651" s="2" t="str">
        <f t="shared" si="54"/>
        <v>Invalid</v>
      </c>
      <c r="AC651" s="2"/>
    </row>
    <row r="652" spans="1:29">
      <c r="A652" s="1" t="s">
        <v>2035</v>
      </c>
      <c r="B652" s="2">
        <v>45395</v>
      </c>
      <c r="C652" s="2" t="str">
        <f t="shared" si="51"/>
        <v>April</v>
      </c>
      <c r="D652" s="1">
        <f t="shared" si="52"/>
        <v>2024</v>
      </c>
      <c r="E652" s="2">
        <v>45403</v>
      </c>
      <c r="F652" s="1" t="s">
        <v>387</v>
      </c>
      <c r="G652" s="1" t="s">
        <v>136</v>
      </c>
      <c r="H652" s="1" t="s">
        <v>103</v>
      </c>
      <c r="I652" s="1" t="s">
        <v>46</v>
      </c>
      <c r="J652" s="1" t="s">
        <v>153</v>
      </c>
      <c r="K652" s="1" t="s">
        <v>154</v>
      </c>
      <c r="L652" s="1" t="s">
        <v>82</v>
      </c>
      <c r="M652" s="1" t="s">
        <v>83</v>
      </c>
      <c r="N652" s="1" t="s">
        <v>2036</v>
      </c>
      <c r="O652" s="1" t="s">
        <v>52</v>
      </c>
      <c r="P652" s="1">
        <v>7</v>
      </c>
      <c r="Q652" s="1">
        <v>2648.76</v>
      </c>
      <c r="R652" s="1">
        <v>0.15</v>
      </c>
      <c r="S652" s="1">
        <v>15760.12</v>
      </c>
      <c r="T652" s="1">
        <f t="shared" si="53"/>
        <v>15760.121999999999</v>
      </c>
      <c r="U652" s="1">
        <v>9931.5300000000007</v>
      </c>
      <c r="V652" s="3">
        <f>IF(T652=0,"",X652/T652)</f>
        <v>0.36983165485647884</v>
      </c>
      <c r="W652" s="1">
        <v>5828.59</v>
      </c>
      <c r="X652" s="1">
        <f>T652-U652</f>
        <v>5828.5919999999987</v>
      </c>
      <c r="Y652" s="1" t="s">
        <v>163</v>
      </c>
      <c r="Z652" s="1" t="s">
        <v>111</v>
      </c>
      <c r="AA652" s="1">
        <f t="shared" si="50"/>
        <v>8</v>
      </c>
      <c r="AB652" s="2" t="str">
        <f t="shared" si="54"/>
        <v>Clean</v>
      </c>
      <c r="AC652" s="2"/>
    </row>
    <row r="653" spans="1:29">
      <c r="A653" s="1" t="s">
        <v>2037</v>
      </c>
      <c r="B653" s="2">
        <v>45816</v>
      </c>
      <c r="C653" s="2" t="str">
        <f t="shared" si="51"/>
        <v>June</v>
      </c>
      <c r="D653" s="1">
        <f t="shared" si="52"/>
        <v>2025</v>
      </c>
      <c r="E653" s="2">
        <v>45908</v>
      </c>
      <c r="F653" s="1" t="s">
        <v>2038</v>
      </c>
      <c r="G653" s="1" t="s">
        <v>44</v>
      </c>
      <c r="H653" s="1" t="s">
        <v>45</v>
      </c>
      <c r="I653" s="1" t="s">
        <v>62</v>
      </c>
      <c r="J653" s="1" t="s">
        <v>92</v>
      </c>
      <c r="K653" s="1" t="s">
        <v>93</v>
      </c>
      <c r="L653" s="1" t="s">
        <v>36</v>
      </c>
      <c r="M653" s="1" t="s">
        <v>37</v>
      </c>
      <c r="N653" s="1" t="s">
        <v>2039</v>
      </c>
      <c r="O653" s="1" t="s">
        <v>39</v>
      </c>
      <c r="P653" s="1">
        <v>3</v>
      </c>
      <c r="Q653" s="1">
        <v>598.54999999999995</v>
      </c>
      <c r="R653" s="1">
        <v>0</v>
      </c>
      <c r="S653" s="1">
        <v>1795.65</v>
      </c>
      <c r="T653" s="1">
        <f t="shared" si="53"/>
        <v>1795.6499999999999</v>
      </c>
      <c r="U653" s="1">
        <v>996.72</v>
      </c>
      <c r="V653" s="3">
        <f>IF(T653=0,"",X653/T653)</f>
        <v>0.44492523598696843</v>
      </c>
      <c r="W653" s="1">
        <v>798.93</v>
      </c>
      <c r="X653" s="1">
        <f>T653-U653</f>
        <v>798.92999999999984</v>
      </c>
      <c r="Y653" s="1" t="s">
        <v>40</v>
      </c>
      <c r="Z653" s="1" t="s">
        <v>41</v>
      </c>
      <c r="AA653" s="1">
        <f t="shared" si="50"/>
        <v>92</v>
      </c>
      <c r="AB653" s="2" t="str">
        <f t="shared" si="54"/>
        <v>Clean</v>
      </c>
      <c r="AC653" s="2"/>
    </row>
    <row r="654" spans="1:29">
      <c r="A654" s="1" t="s">
        <v>2040</v>
      </c>
      <c r="B654" s="2">
        <v>45733</v>
      </c>
      <c r="C654" s="2" t="str">
        <f t="shared" si="51"/>
        <v>March</v>
      </c>
      <c r="D654" s="1">
        <f t="shared" si="52"/>
        <v>2025</v>
      </c>
      <c r="E654" s="2">
        <v>45737</v>
      </c>
      <c r="F654" s="1" t="s">
        <v>1686</v>
      </c>
      <c r="G654" s="1" t="s">
        <v>140</v>
      </c>
      <c r="H654" s="1" t="s">
        <v>32</v>
      </c>
      <c r="I654" s="1" t="s">
        <v>33</v>
      </c>
      <c r="J654" s="1" t="s">
        <v>144</v>
      </c>
      <c r="K654" s="1" t="s">
        <v>145</v>
      </c>
      <c r="L654" s="1" t="s">
        <v>36</v>
      </c>
      <c r="M654" s="1" t="s">
        <v>161</v>
      </c>
      <c r="N654" s="1" t="s">
        <v>2041</v>
      </c>
      <c r="O654" s="1" t="s">
        <v>67</v>
      </c>
      <c r="P654" s="1">
        <v>5</v>
      </c>
      <c r="Q654" s="1">
        <v>4320.59</v>
      </c>
      <c r="R654" s="1">
        <v>0.15</v>
      </c>
      <c r="S654" s="1">
        <v>18362.509999999998</v>
      </c>
      <c r="T654" s="1">
        <f t="shared" si="53"/>
        <v>18362.5075</v>
      </c>
      <c r="U654" s="1">
        <v>11133.97</v>
      </c>
      <c r="V654" s="3">
        <f>IF(T654=0,"",X654/T654)</f>
        <v>0.39365742941153326</v>
      </c>
      <c r="W654" s="1">
        <v>7228.54</v>
      </c>
      <c r="X654" s="1">
        <f>T654-U654</f>
        <v>7228.5375000000004</v>
      </c>
      <c r="Y654" s="1" t="s">
        <v>40</v>
      </c>
      <c r="Z654" s="1" t="s">
        <v>41</v>
      </c>
      <c r="AA654" s="1">
        <f t="shared" si="50"/>
        <v>4</v>
      </c>
      <c r="AB654" s="2" t="str">
        <f t="shared" si="54"/>
        <v>Clean</v>
      </c>
      <c r="AC654" s="2"/>
    </row>
    <row r="655" spans="1:29">
      <c r="A655" s="1" t="s">
        <v>2042</v>
      </c>
      <c r="B655" s="2">
        <v>45751</v>
      </c>
      <c r="C655" s="2" t="str">
        <f t="shared" si="51"/>
        <v>April</v>
      </c>
      <c r="D655" s="1">
        <f t="shared" si="52"/>
        <v>2025</v>
      </c>
      <c r="E655" s="2">
        <v>45754</v>
      </c>
      <c r="F655" s="1" t="s">
        <v>2043</v>
      </c>
      <c r="G655" s="1" t="s">
        <v>122</v>
      </c>
      <c r="H655" s="1" t="s">
        <v>45</v>
      </c>
      <c r="I655" s="1" t="s">
        <v>62</v>
      </c>
      <c r="J655" s="1" t="s">
        <v>256</v>
      </c>
      <c r="K655" s="1" t="s">
        <v>257</v>
      </c>
      <c r="L655" s="1" t="s">
        <v>82</v>
      </c>
      <c r="M655" s="1" t="s">
        <v>88</v>
      </c>
      <c r="N655" s="1" t="s">
        <v>2044</v>
      </c>
      <c r="O655" s="1" t="s">
        <v>39</v>
      </c>
      <c r="P655" s="1">
        <v>7</v>
      </c>
      <c r="Q655" s="1">
        <v>4457.93</v>
      </c>
      <c r="R655" s="1">
        <v>0.15</v>
      </c>
      <c r="S655" s="1">
        <v>26524.68</v>
      </c>
      <c r="T655" s="1">
        <f t="shared" si="53"/>
        <v>26524.683500000003</v>
      </c>
      <c r="U655" s="1">
        <v>20574.3</v>
      </c>
      <c r="V655" s="3">
        <f>IF(T655=0,"",X655/T655)</f>
        <v>0.22433381721595294</v>
      </c>
      <c r="W655" s="1">
        <v>5950.38</v>
      </c>
      <c r="X655" s="1">
        <f>T655-U655</f>
        <v>5950.3835000000036</v>
      </c>
      <c r="Y655" s="1" t="s">
        <v>40</v>
      </c>
      <c r="Z655" s="1" t="s">
        <v>41</v>
      </c>
      <c r="AA655" s="1">
        <f t="shared" si="50"/>
        <v>3</v>
      </c>
      <c r="AB655" s="2" t="str">
        <f t="shared" si="54"/>
        <v>Clean</v>
      </c>
      <c r="AC655" s="2"/>
    </row>
    <row r="656" spans="1:29">
      <c r="A656" s="1" t="s">
        <v>2045</v>
      </c>
      <c r="B656" s="2">
        <v>45942</v>
      </c>
      <c r="C656" s="2" t="str">
        <f t="shared" si="51"/>
        <v>October</v>
      </c>
      <c r="D656" s="1">
        <f t="shared" si="52"/>
        <v>2025</v>
      </c>
      <c r="E656" s="2">
        <v>45946</v>
      </c>
      <c r="F656" s="1" t="s">
        <v>928</v>
      </c>
      <c r="G656" s="1" t="s">
        <v>170</v>
      </c>
      <c r="H656" s="1" t="s">
        <v>98</v>
      </c>
      <c r="I656" s="1" t="s">
        <v>46</v>
      </c>
      <c r="J656" s="1" t="s">
        <v>153</v>
      </c>
      <c r="K656" s="1" t="s">
        <v>154</v>
      </c>
      <c r="L656" s="1" t="s">
        <v>82</v>
      </c>
      <c r="M656" s="1" t="s">
        <v>283</v>
      </c>
      <c r="N656" s="1" t="s">
        <v>2046</v>
      </c>
      <c r="O656" s="1" t="s">
        <v>52</v>
      </c>
      <c r="P656" s="1">
        <v>1</v>
      </c>
      <c r="Q656" s="1">
        <v>2570.06</v>
      </c>
      <c r="R656" s="1">
        <v>0.2</v>
      </c>
      <c r="S656" s="1">
        <v>2056.0500000000002</v>
      </c>
      <c r="T656" s="1">
        <f t="shared" si="53"/>
        <v>2056.0480000000002</v>
      </c>
      <c r="U656" s="1">
        <v>1662.39</v>
      </c>
      <c r="V656" s="3">
        <f>IF(T656=0,"",X656/T656)</f>
        <v>0.19146342886936496</v>
      </c>
      <c r="W656" s="1">
        <v>393.66</v>
      </c>
      <c r="X656" s="1">
        <f>T656-U656</f>
        <v>393.65800000000013</v>
      </c>
      <c r="Y656" s="1" t="s">
        <v>40</v>
      </c>
      <c r="Z656" s="1" t="s">
        <v>41</v>
      </c>
      <c r="AA656" s="1">
        <f t="shared" si="50"/>
        <v>4</v>
      </c>
      <c r="AB656" s="2" t="str">
        <f t="shared" si="54"/>
        <v>Clean</v>
      </c>
      <c r="AC656" s="2"/>
    </row>
    <row r="657" spans="1:29">
      <c r="A657" s="1" t="s">
        <v>2047</v>
      </c>
      <c r="B657" s="2">
        <v>45895</v>
      </c>
      <c r="C657" s="2" t="str">
        <f t="shared" si="51"/>
        <v>August</v>
      </c>
      <c r="D657" s="1">
        <f t="shared" si="52"/>
        <v>2025</v>
      </c>
      <c r="E657" s="2">
        <v>45895</v>
      </c>
      <c r="F657" s="1" t="s">
        <v>2048</v>
      </c>
      <c r="G657" s="1" t="s">
        <v>87</v>
      </c>
      <c r="H657" s="1" t="s">
        <v>103</v>
      </c>
      <c r="I657" s="1" t="s">
        <v>46</v>
      </c>
      <c r="J657" s="1" t="s">
        <v>107</v>
      </c>
      <c r="K657" s="1" t="s">
        <v>108</v>
      </c>
      <c r="L657" s="1" t="s">
        <v>49</v>
      </c>
      <c r="M657" s="1" t="s">
        <v>65</v>
      </c>
      <c r="N657" s="1" t="s">
        <v>2049</v>
      </c>
      <c r="O657" s="1" t="s">
        <v>67</v>
      </c>
      <c r="P657" s="1">
        <v>4</v>
      </c>
      <c r="Q657" s="1">
        <v>2151.8200000000002</v>
      </c>
      <c r="R657" s="1">
        <v>0</v>
      </c>
      <c r="S657" s="1">
        <v>8607.2800000000007</v>
      </c>
      <c r="T657" s="1">
        <f t="shared" si="53"/>
        <v>8607.2800000000007</v>
      </c>
      <c r="U657" s="1">
        <v>5124.01</v>
      </c>
      <c r="V657" s="3">
        <f>IF(T657=0,"",X657/T657)</f>
        <v>0.40468882155570635</v>
      </c>
      <c r="W657" s="1">
        <v>3483.27</v>
      </c>
      <c r="X657" s="1">
        <f>T657-U657</f>
        <v>3483.2700000000004</v>
      </c>
      <c r="Y657" s="1" t="s">
        <v>40</v>
      </c>
      <c r="Z657" s="1" t="s">
        <v>41</v>
      </c>
      <c r="AA657" s="1">
        <f t="shared" si="50"/>
        <v>0</v>
      </c>
      <c r="AB657" s="2" t="str">
        <f t="shared" si="54"/>
        <v>Clean</v>
      </c>
      <c r="AC657" s="2"/>
    </row>
    <row r="658" spans="1:29">
      <c r="A658" s="1" t="s">
        <v>2050</v>
      </c>
      <c r="B658" s="2">
        <v>45478</v>
      </c>
      <c r="C658" s="2" t="str">
        <f t="shared" si="51"/>
        <v>July</v>
      </c>
      <c r="D658" s="1">
        <f t="shared" si="52"/>
        <v>2024</v>
      </c>
      <c r="E658" s="2">
        <v>45426</v>
      </c>
      <c r="F658" s="1" t="s">
        <v>2051</v>
      </c>
      <c r="G658" s="1" t="s">
        <v>87</v>
      </c>
      <c r="H658" s="1" t="s">
        <v>45</v>
      </c>
      <c r="I658" s="1" t="s">
        <v>33</v>
      </c>
      <c r="J658" s="1" t="s">
        <v>245</v>
      </c>
      <c r="K658" s="1" t="s">
        <v>246</v>
      </c>
      <c r="L658" s="1" t="s">
        <v>82</v>
      </c>
      <c r="M658" s="1" t="s">
        <v>283</v>
      </c>
      <c r="N658" s="1" t="s">
        <v>2052</v>
      </c>
      <c r="O658" s="1" t="s">
        <v>52</v>
      </c>
      <c r="P658" s="1">
        <v>4</v>
      </c>
      <c r="Q658" s="1">
        <v>2751.1</v>
      </c>
      <c r="R658" s="4">
        <v>-0.05</v>
      </c>
      <c r="S658" s="1">
        <v>9903.9599999999991</v>
      </c>
      <c r="T658" s="4">
        <f t="shared" si="53"/>
        <v>11554.62</v>
      </c>
      <c r="U658" s="1">
        <v>7696.28</v>
      </c>
      <c r="V658" s="3"/>
      <c r="W658" s="1">
        <v>2207.6799999999998</v>
      </c>
      <c r="X658" s="1"/>
      <c r="Y658" s="1" t="s">
        <v>40</v>
      </c>
      <c r="Z658" s="1" t="s">
        <v>41</v>
      </c>
      <c r="AA658" s="4">
        <f t="shared" si="50"/>
        <v>-52</v>
      </c>
      <c r="AB658" s="2" t="str">
        <f t="shared" si="54"/>
        <v>Invalid</v>
      </c>
      <c r="AC658" s="2"/>
    </row>
    <row r="659" spans="1:29">
      <c r="A659" s="1" t="s">
        <v>2053</v>
      </c>
      <c r="B659" s="2">
        <v>45876</v>
      </c>
      <c r="C659" s="2" t="str">
        <f t="shared" si="51"/>
        <v>August</v>
      </c>
      <c r="D659" s="1">
        <f t="shared" si="52"/>
        <v>2025</v>
      </c>
      <c r="E659" s="2">
        <v>45938</v>
      </c>
      <c r="F659" s="1" t="s">
        <v>2054</v>
      </c>
      <c r="G659" s="1" t="s">
        <v>97</v>
      </c>
      <c r="H659" s="1" t="s">
        <v>103</v>
      </c>
      <c r="I659" s="1" t="s">
        <v>46</v>
      </c>
      <c r="J659" s="1" t="s">
        <v>153</v>
      </c>
      <c r="K659" s="1" t="s">
        <v>154</v>
      </c>
      <c r="L659" s="1" t="s">
        <v>36</v>
      </c>
      <c r="M659" s="1" t="s">
        <v>132</v>
      </c>
      <c r="N659" s="1" t="s">
        <v>2055</v>
      </c>
      <c r="O659" s="1" t="s">
        <v>39</v>
      </c>
      <c r="P659" s="1">
        <v>1</v>
      </c>
      <c r="Q659" s="1">
        <v>2541.25</v>
      </c>
      <c r="R659" s="1">
        <v>0.2</v>
      </c>
      <c r="S659" s="1">
        <v>2033</v>
      </c>
      <c r="T659" s="1">
        <f t="shared" si="53"/>
        <v>2033</v>
      </c>
      <c r="U659" s="1">
        <v>1291.4100000000001</v>
      </c>
      <c r="V659" s="3">
        <f>IF(T659=0,"",X659/T659)</f>
        <v>0.36477619281849477</v>
      </c>
      <c r="W659" s="1">
        <v>741.59</v>
      </c>
      <c r="X659" s="1">
        <f>T659-U659</f>
        <v>741.58999999999992</v>
      </c>
      <c r="Y659" s="1" t="s">
        <v>40</v>
      </c>
      <c r="Z659" s="1" t="s">
        <v>41</v>
      </c>
      <c r="AA659" s="1">
        <f t="shared" si="50"/>
        <v>62</v>
      </c>
      <c r="AB659" s="2" t="str">
        <f t="shared" si="54"/>
        <v>Clean</v>
      </c>
      <c r="AC659" s="2"/>
    </row>
    <row r="660" spans="1:29">
      <c r="A660" s="1" t="s">
        <v>2056</v>
      </c>
      <c r="B660" s="2">
        <v>45906</v>
      </c>
      <c r="C660" s="2" t="str">
        <f t="shared" si="51"/>
        <v>September</v>
      </c>
      <c r="D660" s="1">
        <f t="shared" si="52"/>
        <v>2025</v>
      </c>
      <c r="E660" s="2">
        <v>45820</v>
      </c>
      <c r="F660" s="1" t="s">
        <v>2057</v>
      </c>
      <c r="G660" s="1" t="s">
        <v>140</v>
      </c>
      <c r="H660" s="1" t="s">
        <v>32</v>
      </c>
      <c r="I660" s="1" t="s">
        <v>213</v>
      </c>
      <c r="J660" s="1" t="s">
        <v>153</v>
      </c>
      <c r="K660" s="1" t="s">
        <v>154</v>
      </c>
      <c r="L660" s="1" t="s">
        <v>36</v>
      </c>
      <c r="M660" s="1" t="s">
        <v>56</v>
      </c>
      <c r="N660" s="1" t="s">
        <v>2058</v>
      </c>
      <c r="O660" s="1" t="s">
        <v>58</v>
      </c>
      <c r="P660" s="1">
        <v>7</v>
      </c>
      <c r="Q660" s="1">
        <v>2852.42</v>
      </c>
      <c r="R660" s="1">
        <v>0</v>
      </c>
      <c r="S660" s="1">
        <v>19966.939999999999</v>
      </c>
      <c r="T660" s="1">
        <f t="shared" si="53"/>
        <v>19966.940000000002</v>
      </c>
      <c r="U660" s="1">
        <v>12690.83</v>
      </c>
      <c r="V660" s="3">
        <f>IF(T660=0,"",X660/T660)</f>
        <v>0.36440786620283339</v>
      </c>
      <c r="W660" s="1">
        <v>7276.11</v>
      </c>
      <c r="X660" s="1">
        <f>T660-U660</f>
        <v>7276.1100000000024</v>
      </c>
      <c r="Y660" s="1" t="s">
        <v>110</v>
      </c>
      <c r="Z660" s="1" t="s">
        <v>76</v>
      </c>
      <c r="AA660" s="4">
        <f t="shared" si="50"/>
        <v>-86</v>
      </c>
      <c r="AB660" s="2" t="s">
        <v>459</v>
      </c>
      <c r="AC660" s="2"/>
    </row>
    <row r="661" spans="1:29">
      <c r="A661" s="1" t="s">
        <v>2059</v>
      </c>
      <c r="B661" s="2">
        <v>45678</v>
      </c>
      <c r="C661" s="2" t="str">
        <f t="shared" si="51"/>
        <v>January</v>
      </c>
      <c r="D661" s="1">
        <f t="shared" si="52"/>
        <v>2025</v>
      </c>
      <c r="E661" s="2">
        <v>45679</v>
      </c>
      <c r="F661" s="1" t="s">
        <v>2060</v>
      </c>
      <c r="G661" s="1" t="s">
        <v>170</v>
      </c>
      <c r="H661" s="1" t="s">
        <v>98</v>
      </c>
      <c r="I661" s="1" t="s">
        <v>62</v>
      </c>
      <c r="J661" s="1" t="s">
        <v>183</v>
      </c>
      <c r="K661" s="1" t="s">
        <v>184</v>
      </c>
      <c r="L661" s="1" t="s">
        <v>82</v>
      </c>
      <c r="M661" s="1" t="s">
        <v>179</v>
      </c>
      <c r="N661" s="1" t="s">
        <v>2061</v>
      </c>
      <c r="O661" s="1" t="s">
        <v>39</v>
      </c>
      <c r="P661" s="1">
        <v>2</v>
      </c>
      <c r="Q661" s="1">
        <v>444.31</v>
      </c>
      <c r="R661" s="1">
        <v>0.2</v>
      </c>
      <c r="S661" s="1">
        <v>710.9</v>
      </c>
      <c r="T661" s="1">
        <f t="shared" si="53"/>
        <v>710.89600000000007</v>
      </c>
      <c r="U661" s="1">
        <v>513.88</v>
      </c>
      <c r="V661" s="3">
        <f>IF(T661=0,"",X661/T661)</f>
        <v>0.27713758411919615</v>
      </c>
      <c r="W661" s="1">
        <v>197.02</v>
      </c>
      <c r="X661" s="1">
        <f>T661-U661</f>
        <v>197.01600000000008</v>
      </c>
      <c r="Y661" s="1" t="s">
        <v>110</v>
      </c>
      <c r="Z661" s="1" t="s">
        <v>76</v>
      </c>
      <c r="AA661" s="1">
        <f t="shared" si="50"/>
        <v>1</v>
      </c>
      <c r="AB661" s="2" t="str">
        <f t="shared" si="54"/>
        <v>Clean</v>
      </c>
      <c r="AC661" s="2"/>
    </row>
    <row r="662" spans="1:29">
      <c r="A662" s="1" t="s">
        <v>2062</v>
      </c>
      <c r="B662" s="2">
        <v>45853</v>
      </c>
      <c r="C662" s="2" t="str">
        <f t="shared" si="51"/>
        <v>July</v>
      </c>
      <c r="D662" s="1">
        <f t="shared" si="52"/>
        <v>2025</v>
      </c>
      <c r="E662" s="2">
        <v>45853</v>
      </c>
      <c r="F662" s="1" t="s">
        <v>2063</v>
      </c>
      <c r="G662" s="1" t="s">
        <v>61</v>
      </c>
      <c r="H662" s="1" t="s">
        <v>45</v>
      </c>
      <c r="I662" s="1" t="s">
        <v>46</v>
      </c>
      <c r="J662" s="1" t="s">
        <v>237</v>
      </c>
      <c r="K662" s="1" t="s">
        <v>238</v>
      </c>
      <c r="L662" s="1" t="s">
        <v>82</v>
      </c>
      <c r="M662" s="1" t="s">
        <v>179</v>
      </c>
      <c r="N662" s="1" t="s">
        <v>2064</v>
      </c>
      <c r="O662" s="1" t="s">
        <v>52</v>
      </c>
      <c r="P662" s="1">
        <v>4</v>
      </c>
      <c r="Q662" s="1">
        <v>4442.91</v>
      </c>
      <c r="R662" s="1">
        <v>0.1</v>
      </c>
      <c r="S662" s="1">
        <v>15994.48</v>
      </c>
      <c r="T662" s="1">
        <f t="shared" si="53"/>
        <v>15994.476000000001</v>
      </c>
      <c r="U662" s="1">
        <v>9224.2800000000007</v>
      </c>
      <c r="V662" s="3">
        <f>IF(T662=0,"",X662/T662)</f>
        <v>0.42328338858991066</v>
      </c>
      <c r="W662" s="1">
        <v>6770.2</v>
      </c>
      <c r="X662" s="1">
        <f>T662-U662</f>
        <v>6770.1959999999999</v>
      </c>
      <c r="Y662" s="1" t="s">
        <v>40</v>
      </c>
      <c r="Z662" s="1" t="s">
        <v>41</v>
      </c>
      <c r="AA662" s="1">
        <f t="shared" si="50"/>
        <v>0</v>
      </c>
      <c r="AB662" s="2" t="str">
        <f t="shared" si="54"/>
        <v>Clean</v>
      </c>
      <c r="AC662" s="2"/>
    </row>
    <row r="663" spans="1:29">
      <c r="A663" s="1" t="s">
        <v>2065</v>
      </c>
      <c r="B663" s="2">
        <v>45429</v>
      </c>
      <c r="C663" s="2" t="str">
        <f t="shared" si="51"/>
        <v>May</v>
      </c>
      <c r="D663" s="1">
        <f t="shared" si="52"/>
        <v>2024</v>
      </c>
      <c r="E663" s="2">
        <v>45434</v>
      </c>
      <c r="F663" s="1" t="s">
        <v>2066</v>
      </c>
      <c r="G663" s="1" t="s">
        <v>140</v>
      </c>
      <c r="H663" s="1" t="s">
        <v>32</v>
      </c>
      <c r="I663" s="1" t="s">
        <v>62</v>
      </c>
      <c r="J663" s="1" t="s">
        <v>92</v>
      </c>
      <c r="K663" s="1" t="s">
        <v>93</v>
      </c>
      <c r="L663" s="1" t="s">
        <v>82</v>
      </c>
      <c r="M663" s="1" t="s">
        <v>283</v>
      </c>
      <c r="N663" s="1" t="s">
        <v>2067</v>
      </c>
      <c r="O663" s="1" t="s">
        <v>39</v>
      </c>
      <c r="P663" s="1">
        <v>7</v>
      </c>
      <c r="Q663" s="1">
        <v>232.5</v>
      </c>
      <c r="R663" s="1">
        <v>0</v>
      </c>
      <c r="S663" s="1">
        <v>1627.5</v>
      </c>
      <c r="T663" s="1">
        <f t="shared" si="53"/>
        <v>1627.5</v>
      </c>
      <c r="U663" s="1">
        <v>939.9</v>
      </c>
      <c r="V663" s="3">
        <f>IF(T663=0,"",X663/T663)</f>
        <v>0.4224884792626728</v>
      </c>
      <c r="W663" s="1">
        <v>687.6</v>
      </c>
      <c r="X663" s="1">
        <f>T663-U663</f>
        <v>687.6</v>
      </c>
      <c r="Y663" s="1" t="s">
        <v>40</v>
      </c>
      <c r="Z663" s="1" t="s">
        <v>41</v>
      </c>
      <c r="AA663" s="1">
        <f t="shared" si="50"/>
        <v>5</v>
      </c>
      <c r="AB663" s="2" t="str">
        <f t="shared" si="54"/>
        <v>Clean</v>
      </c>
      <c r="AC663" s="2"/>
    </row>
    <row r="664" spans="1:29">
      <c r="A664" s="1" t="s">
        <v>2068</v>
      </c>
      <c r="B664" s="2">
        <v>45305</v>
      </c>
      <c r="C664" s="2" t="str">
        <f t="shared" si="51"/>
        <v>January</v>
      </c>
      <c r="D664" s="1">
        <f t="shared" si="52"/>
        <v>2024</v>
      </c>
      <c r="E664" s="2">
        <v>45309</v>
      </c>
      <c r="F664" s="1" t="s">
        <v>2069</v>
      </c>
      <c r="G664" s="1" t="s">
        <v>44</v>
      </c>
      <c r="H664" s="1" t="s">
        <v>103</v>
      </c>
      <c r="I664" s="1" t="s">
        <v>71</v>
      </c>
      <c r="J664" s="1" t="s">
        <v>34</v>
      </c>
      <c r="K664" s="1" t="s">
        <v>117</v>
      </c>
      <c r="L664" s="1" t="s">
        <v>82</v>
      </c>
      <c r="M664" s="1" t="s">
        <v>283</v>
      </c>
      <c r="N664" s="1" t="s">
        <v>2070</v>
      </c>
      <c r="O664" s="1" t="s">
        <v>52</v>
      </c>
      <c r="P664" s="1">
        <v>6</v>
      </c>
      <c r="Q664" s="1">
        <v>1784.8</v>
      </c>
      <c r="R664" s="1">
        <v>0.1</v>
      </c>
      <c r="S664" s="1">
        <v>9637.92</v>
      </c>
      <c r="T664" s="1">
        <f t="shared" si="53"/>
        <v>9637.92</v>
      </c>
      <c r="U664" s="1">
        <v>7329.29</v>
      </c>
      <c r="V664" s="3">
        <f>IF(T664=0,"",X664/T664)</f>
        <v>0.2395361239769577</v>
      </c>
      <c r="W664" s="1">
        <v>2308.63</v>
      </c>
      <c r="X664" s="1">
        <f>T664-U664</f>
        <v>2308.63</v>
      </c>
      <c r="Y664" s="1" t="s">
        <v>40</v>
      </c>
      <c r="Z664" s="1" t="s">
        <v>41</v>
      </c>
      <c r="AA664" s="1">
        <f t="shared" si="50"/>
        <v>4</v>
      </c>
      <c r="AB664" s="2" t="str">
        <f t="shared" si="54"/>
        <v>Clean</v>
      </c>
      <c r="AC664" s="2"/>
    </row>
    <row r="665" spans="1:29">
      <c r="A665" s="1" t="s">
        <v>2071</v>
      </c>
      <c r="B665" s="2">
        <v>45414</v>
      </c>
      <c r="C665" s="2" t="str">
        <f t="shared" si="51"/>
        <v>May</v>
      </c>
      <c r="D665" s="1">
        <f t="shared" si="52"/>
        <v>2024</v>
      </c>
      <c r="E665" s="2">
        <v>45509</v>
      </c>
      <c r="F665" s="1" t="s">
        <v>2072</v>
      </c>
      <c r="G665" s="1" t="s">
        <v>126</v>
      </c>
      <c r="H665" s="1" t="s">
        <v>103</v>
      </c>
      <c r="I665" s="1" t="s">
        <v>46</v>
      </c>
      <c r="J665" s="1" t="s">
        <v>237</v>
      </c>
      <c r="K665" s="1" t="s">
        <v>238</v>
      </c>
      <c r="L665" s="1" t="s">
        <v>82</v>
      </c>
      <c r="M665" s="1" t="s">
        <v>88</v>
      </c>
      <c r="N665" s="1" t="s">
        <v>2073</v>
      </c>
      <c r="O665" s="1" t="s">
        <v>39</v>
      </c>
      <c r="P665" s="1">
        <v>2</v>
      </c>
      <c r="Q665" s="1">
        <v>3185.01</v>
      </c>
      <c r="R665" s="4">
        <v>-0.24</v>
      </c>
      <c r="S665" s="1">
        <v>4777.5200000000004</v>
      </c>
      <c r="T665" s="4">
        <f t="shared" si="53"/>
        <v>7898.8248000000003</v>
      </c>
      <c r="U665" s="1">
        <v>3152.98</v>
      </c>
      <c r="V665" s="3"/>
      <c r="W665" s="1">
        <v>1624.54</v>
      </c>
      <c r="X665" s="1"/>
      <c r="Y665" s="1" t="s">
        <v>40</v>
      </c>
      <c r="Z665" s="1" t="s">
        <v>41</v>
      </c>
      <c r="AA665" s="1">
        <f t="shared" si="50"/>
        <v>95</v>
      </c>
      <c r="AB665" s="2" t="str">
        <f t="shared" si="54"/>
        <v>Invalid</v>
      </c>
      <c r="AC665" s="2"/>
    </row>
    <row r="666" spans="1:29">
      <c r="A666" s="1" t="s">
        <v>2074</v>
      </c>
      <c r="B666" s="2">
        <v>45485</v>
      </c>
      <c r="C666" s="2" t="str">
        <f t="shared" si="51"/>
        <v>July</v>
      </c>
      <c r="D666" s="1">
        <f t="shared" si="52"/>
        <v>2024</v>
      </c>
      <c r="E666" s="2">
        <v>45577</v>
      </c>
      <c r="F666" s="1" t="s">
        <v>2075</v>
      </c>
      <c r="G666" s="1" t="s">
        <v>44</v>
      </c>
      <c r="H666" s="1" t="s">
        <v>103</v>
      </c>
      <c r="I666" s="1" t="s">
        <v>62</v>
      </c>
      <c r="J666" s="1" t="s">
        <v>63</v>
      </c>
      <c r="K666" s="1" t="s">
        <v>64</v>
      </c>
      <c r="L666" s="1" t="s">
        <v>82</v>
      </c>
      <c r="M666" s="1" t="s">
        <v>83</v>
      </c>
      <c r="N666" s="1" t="s">
        <v>2076</v>
      </c>
      <c r="O666" s="1" t="s">
        <v>67</v>
      </c>
      <c r="P666" s="1">
        <v>1</v>
      </c>
      <c r="Q666" s="1">
        <v>1908.83</v>
      </c>
      <c r="R666" s="1">
        <v>0.2</v>
      </c>
      <c r="S666" s="1">
        <v>1527.06</v>
      </c>
      <c r="T666" s="1">
        <f t="shared" si="53"/>
        <v>1527.0640000000001</v>
      </c>
      <c r="U666" s="1">
        <v>1055.8900000000001</v>
      </c>
      <c r="V666" s="3">
        <f>IF(T666=0,"",X666/T666)</f>
        <v>0.30854895407134209</v>
      </c>
      <c r="W666" s="1">
        <v>471.17</v>
      </c>
      <c r="X666" s="1">
        <f>T666-U666</f>
        <v>471.17399999999998</v>
      </c>
      <c r="Y666" s="1" t="s">
        <v>40</v>
      </c>
      <c r="Z666" s="1" t="s">
        <v>41</v>
      </c>
      <c r="AA666" s="1">
        <f t="shared" si="50"/>
        <v>92</v>
      </c>
      <c r="AB666" s="2" t="str">
        <f t="shared" si="54"/>
        <v>Clean</v>
      </c>
      <c r="AC666" s="2"/>
    </row>
    <row r="667" spans="1:29">
      <c r="A667" s="1" t="s">
        <v>2077</v>
      </c>
      <c r="B667" s="2">
        <v>45670</v>
      </c>
      <c r="C667" s="2" t="str">
        <f t="shared" si="51"/>
        <v>January</v>
      </c>
      <c r="D667" s="1">
        <f t="shared" si="52"/>
        <v>2025</v>
      </c>
      <c r="E667" s="2">
        <v>45670</v>
      </c>
      <c r="F667" s="1" t="s">
        <v>2078</v>
      </c>
      <c r="G667" s="1" t="s">
        <v>126</v>
      </c>
      <c r="H667" s="1" t="s">
        <v>103</v>
      </c>
      <c r="I667" s="1" t="s">
        <v>71</v>
      </c>
      <c r="J667" s="1" t="s">
        <v>188</v>
      </c>
      <c r="K667" s="1" t="s">
        <v>189</v>
      </c>
      <c r="L667" s="1" t="s">
        <v>36</v>
      </c>
      <c r="M667" s="1" t="s">
        <v>56</v>
      </c>
      <c r="N667" s="1" t="s">
        <v>2079</v>
      </c>
      <c r="O667" s="1" t="s">
        <v>67</v>
      </c>
      <c r="P667" s="1">
        <v>3</v>
      </c>
      <c r="Q667" s="1">
        <v>2110.52</v>
      </c>
      <c r="R667" s="1">
        <v>0.1</v>
      </c>
      <c r="S667" s="1">
        <v>5698.4</v>
      </c>
      <c r="T667" s="1">
        <f t="shared" si="53"/>
        <v>5698.4039999999995</v>
      </c>
      <c r="U667" s="1">
        <v>3640.89</v>
      </c>
      <c r="V667" s="3">
        <f>IF(T667=0,"",X667/T667)</f>
        <v>0.36106846759197836</v>
      </c>
      <c r="W667" s="1">
        <v>2057.5100000000002</v>
      </c>
      <c r="X667" s="1">
        <f>T667-U667</f>
        <v>2057.5139999999997</v>
      </c>
      <c r="Y667" s="1" t="s">
        <v>163</v>
      </c>
      <c r="Z667" s="1" t="s">
        <v>76</v>
      </c>
      <c r="AA667" s="1">
        <f t="shared" si="50"/>
        <v>0</v>
      </c>
      <c r="AB667" s="2" t="str">
        <f t="shared" si="54"/>
        <v>Clean</v>
      </c>
      <c r="AC667" s="2"/>
    </row>
    <row r="668" spans="1:29">
      <c r="A668" s="1" t="s">
        <v>2080</v>
      </c>
      <c r="B668" s="2">
        <v>45464</v>
      </c>
      <c r="C668" s="2" t="str">
        <f t="shared" si="51"/>
        <v>June</v>
      </c>
      <c r="D668" s="1">
        <f t="shared" si="52"/>
        <v>2024</v>
      </c>
      <c r="E668" s="2">
        <v>45469</v>
      </c>
      <c r="F668" s="1" t="s">
        <v>2081</v>
      </c>
      <c r="G668" s="1" t="s">
        <v>149</v>
      </c>
      <c r="H668" s="1" t="s">
        <v>45</v>
      </c>
      <c r="I668" s="1" t="s">
        <v>33</v>
      </c>
      <c r="J668" s="1" t="s">
        <v>130</v>
      </c>
      <c r="K668" s="1" t="s">
        <v>131</v>
      </c>
      <c r="L668" s="1" t="s">
        <v>82</v>
      </c>
      <c r="M668" s="1" t="s">
        <v>88</v>
      </c>
      <c r="N668" s="1" t="s">
        <v>2082</v>
      </c>
      <c r="O668" s="1" t="s">
        <v>52</v>
      </c>
      <c r="P668" s="1">
        <v>1</v>
      </c>
      <c r="Q668" s="1">
        <v>279.83</v>
      </c>
      <c r="R668" s="1">
        <v>0.05</v>
      </c>
      <c r="S668" s="1">
        <v>265.83999999999997</v>
      </c>
      <c r="T668" s="1">
        <f t="shared" si="53"/>
        <v>265.83849999999995</v>
      </c>
      <c r="U668" s="1">
        <v>223.49</v>
      </c>
      <c r="V668" s="3">
        <f>IF(T668=0,"",X668/T668)</f>
        <v>0.15930160605028976</v>
      </c>
      <c r="W668" s="1">
        <v>42.35</v>
      </c>
      <c r="X668" s="1">
        <f>T668-U668</f>
        <v>42.348499999999945</v>
      </c>
      <c r="Y668" s="1" t="s">
        <v>40</v>
      </c>
      <c r="Z668" s="1" t="s">
        <v>41</v>
      </c>
      <c r="AA668" s="1">
        <f t="shared" si="50"/>
        <v>5</v>
      </c>
      <c r="AB668" s="2" t="str">
        <f t="shared" si="54"/>
        <v>Clean</v>
      </c>
      <c r="AC668" s="2"/>
    </row>
    <row r="669" spans="1:29">
      <c r="A669" s="1" t="s">
        <v>2083</v>
      </c>
      <c r="B669" s="2">
        <v>45797</v>
      </c>
      <c r="C669" s="2" t="str">
        <f t="shared" si="51"/>
        <v>May</v>
      </c>
      <c r="D669" s="1">
        <f t="shared" si="52"/>
        <v>2025</v>
      </c>
      <c r="E669" s="2">
        <v>45804</v>
      </c>
      <c r="F669" s="1" t="s">
        <v>2084</v>
      </c>
      <c r="G669" s="1" t="s">
        <v>170</v>
      </c>
      <c r="H669" s="1" t="s">
        <v>45</v>
      </c>
      <c r="I669" s="1" t="s">
        <v>46</v>
      </c>
      <c r="J669" s="1" t="s">
        <v>153</v>
      </c>
      <c r="K669" s="1" t="s">
        <v>154</v>
      </c>
      <c r="L669" s="1" t="s">
        <v>82</v>
      </c>
      <c r="M669" s="1" t="s">
        <v>283</v>
      </c>
      <c r="N669" s="1" t="s">
        <v>2085</v>
      </c>
      <c r="O669" s="1" t="s">
        <v>67</v>
      </c>
      <c r="P669" s="1">
        <v>1</v>
      </c>
      <c r="Q669" s="1">
        <v>3959.14</v>
      </c>
      <c r="R669" s="1">
        <v>0</v>
      </c>
      <c r="S669" s="1">
        <v>3959.14</v>
      </c>
      <c r="T669" s="1">
        <f t="shared" si="53"/>
        <v>3959.14</v>
      </c>
      <c r="U669" s="1">
        <v>3239.53</v>
      </c>
      <c r="V669" s="3">
        <f>IF(T669=0,"",X669/T669)</f>
        <v>0.18175916992074029</v>
      </c>
      <c r="W669" s="1">
        <v>719.61</v>
      </c>
      <c r="X669" s="1">
        <f>T669-U669</f>
        <v>719.60999999999967</v>
      </c>
      <c r="Y669" s="1" t="s">
        <v>119</v>
      </c>
      <c r="Z669" s="1" t="s">
        <v>111</v>
      </c>
      <c r="AA669" s="1">
        <f t="shared" si="50"/>
        <v>7</v>
      </c>
      <c r="AB669" s="2" t="str">
        <f t="shared" si="54"/>
        <v>Clean</v>
      </c>
      <c r="AC669" s="2"/>
    </row>
    <row r="670" spans="1:29">
      <c r="A670" s="1" t="s">
        <v>2086</v>
      </c>
      <c r="B670" s="2">
        <v>45617</v>
      </c>
      <c r="C670" s="2" t="str">
        <f t="shared" si="51"/>
        <v>November</v>
      </c>
      <c r="D670" s="1">
        <f t="shared" si="52"/>
        <v>2024</v>
      </c>
      <c r="E670" s="2">
        <v>45619</v>
      </c>
      <c r="F670" s="1" t="s">
        <v>2087</v>
      </c>
      <c r="G670" s="1" t="s">
        <v>44</v>
      </c>
      <c r="H670" s="1" t="s">
        <v>98</v>
      </c>
      <c r="I670" s="1" t="s">
        <v>71</v>
      </c>
      <c r="J670" s="1" t="s">
        <v>188</v>
      </c>
      <c r="K670" s="1" t="s">
        <v>189</v>
      </c>
      <c r="L670" s="1" t="s">
        <v>36</v>
      </c>
      <c r="M670" s="1" t="s">
        <v>37</v>
      </c>
      <c r="N670" s="1" t="s">
        <v>2088</v>
      </c>
      <c r="O670" s="1" t="s">
        <v>39</v>
      </c>
      <c r="P670" s="1">
        <v>5</v>
      </c>
      <c r="Q670" s="1">
        <v>600.46</v>
      </c>
      <c r="R670" s="1">
        <v>0.2</v>
      </c>
      <c r="S670" s="1">
        <v>2401.84</v>
      </c>
      <c r="T670" s="1">
        <f t="shared" si="53"/>
        <v>2401.84</v>
      </c>
      <c r="U670" s="1">
        <v>1873.11</v>
      </c>
      <c r="V670" s="3">
        <f>IF(T670=0,"",X670/T670)</f>
        <v>0.22013539619624964</v>
      </c>
      <c r="W670" s="1">
        <v>528.73</v>
      </c>
      <c r="X670" s="1">
        <f>T670-U670</f>
        <v>528.73000000000025</v>
      </c>
      <c r="Y670" s="1" t="s">
        <v>40</v>
      </c>
      <c r="Z670" s="1" t="s">
        <v>41</v>
      </c>
      <c r="AA670" s="1">
        <f t="shared" si="50"/>
        <v>2</v>
      </c>
      <c r="AB670" s="2" t="str">
        <f t="shared" si="54"/>
        <v>Clean</v>
      </c>
      <c r="AC670" s="2"/>
    </row>
    <row r="671" spans="1:29">
      <c r="A671" s="1" t="s">
        <v>2089</v>
      </c>
      <c r="B671" s="2">
        <v>45375</v>
      </c>
      <c r="C671" s="2" t="str">
        <f t="shared" si="51"/>
        <v>March</v>
      </c>
      <c r="D671" s="1">
        <f t="shared" si="52"/>
        <v>2024</v>
      </c>
      <c r="E671" s="2">
        <v>45295</v>
      </c>
      <c r="F671" s="1" t="s">
        <v>2090</v>
      </c>
      <c r="G671" s="1" t="s">
        <v>70</v>
      </c>
      <c r="H671" s="1" t="s">
        <v>103</v>
      </c>
      <c r="I671" s="1" t="s">
        <v>71</v>
      </c>
      <c r="J671" s="1" t="s">
        <v>72</v>
      </c>
      <c r="K671" s="1" t="s">
        <v>73</v>
      </c>
      <c r="L671" s="1" t="s">
        <v>49</v>
      </c>
      <c r="M671" s="1" t="s">
        <v>50</v>
      </c>
      <c r="N671" s="1" t="s">
        <v>2091</v>
      </c>
      <c r="O671" s="1" t="s">
        <v>39</v>
      </c>
      <c r="P671" s="1">
        <v>4</v>
      </c>
      <c r="Q671" s="1">
        <v>1700.72</v>
      </c>
      <c r="R671" s="1">
        <v>0.25</v>
      </c>
      <c r="S671" s="1">
        <v>5102.16</v>
      </c>
      <c r="T671" s="1">
        <f t="shared" si="53"/>
        <v>5102.16</v>
      </c>
      <c r="U671" s="1">
        <v>3226.45</v>
      </c>
      <c r="V671" s="3">
        <f>IF(T671=0,"",X671/T671)</f>
        <v>0.36763057214983458</v>
      </c>
      <c r="W671" s="1">
        <v>1875.71</v>
      </c>
      <c r="X671" s="1">
        <f>T671-U671</f>
        <v>1875.71</v>
      </c>
      <c r="Y671" s="1" t="s">
        <v>40</v>
      </c>
      <c r="Z671" s="1" t="s">
        <v>41</v>
      </c>
      <c r="AA671" s="4">
        <f t="shared" si="50"/>
        <v>-80</v>
      </c>
      <c r="AB671" s="2" t="str">
        <f t="shared" si="54"/>
        <v>Invalid</v>
      </c>
      <c r="AC671" s="2"/>
    </row>
    <row r="672" spans="1:29">
      <c r="A672" s="1" t="s">
        <v>2092</v>
      </c>
      <c r="B672" s="2">
        <v>45690</v>
      </c>
      <c r="C672" s="2" t="str">
        <f t="shared" si="51"/>
        <v>February</v>
      </c>
      <c r="D672" s="1">
        <f t="shared" si="52"/>
        <v>2025</v>
      </c>
      <c r="E672" s="2">
        <v>45810</v>
      </c>
      <c r="F672" s="1" t="s">
        <v>1596</v>
      </c>
      <c r="G672" s="1" t="s">
        <v>140</v>
      </c>
      <c r="H672" s="1" t="s">
        <v>98</v>
      </c>
      <c r="I672" s="1" t="s">
        <v>33</v>
      </c>
      <c r="J672" s="1" t="s">
        <v>144</v>
      </c>
      <c r="K672" s="1" t="s">
        <v>145</v>
      </c>
      <c r="L672" s="1" t="s">
        <v>49</v>
      </c>
      <c r="M672" s="1" t="s">
        <v>50</v>
      </c>
      <c r="N672" s="1" t="s">
        <v>2093</v>
      </c>
      <c r="O672" s="1" t="s">
        <v>67</v>
      </c>
      <c r="P672" s="1">
        <v>8</v>
      </c>
      <c r="Q672" s="1">
        <v>857.86</v>
      </c>
      <c r="R672" s="1">
        <v>0.1</v>
      </c>
      <c r="S672" s="1">
        <v>6176.59</v>
      </c>
      <c r="T672" s="1">
        <f t="shared" si="53"/>
        <v>6176.5920000000006</v>
      </c>
      <c r="U672" s="1">
        <v>3560.96</v>
      </c>
      <c r="V672" s="3">
        <f>IF(T672=0,"",X672/T672)</f>
        <v>0.42347495188285067</v>
      </c>
      <c r="W672" s="1">
        <v>2615.63</v>
      </c>
      <c r="X672" s="1">
        <f>T672-U672</f>
        <v>2615.6320000000005</v>
      </c>
      <c r="Y672" s="1" t="s">
        <v>40</v>
      </c>
      <c r="Z672" s="1" t="s">
        <v>41</v>
      </c>
      <c r="AA672" s="1">
        <f t="shared" si="50"/>
        <v>120</v>
      </c>
      <c r="AB672" s="2" t="str">
        <f t="shared" si="54"/>
        <v>Clean</v>
      </c>
      <c r="AC672" s="2"/>
    </row>
    <row r="673" spans="1:29">
      <c r="A673" s="1" t="s">
        <v>2094</v>
      </c>
      <c r="B673" s="2">
        <v>45373</v>
      </c>
      <c r="C673" s="2" t="str">
        <f t="shared" si="51"/>
        <v>March</v>
      </c>
      <c r="D673" s="1">
        <f t="shared" si="52"/>
        <v>2024</v>
      </c>
      <c r="E673" s="2">
        <v>45378</v>
      </c>
      <c r="F673" s="1" t="s">
        <v>2095</v>
      </c>
      <c r="G673" s="1" t="s">
        <v>97</v>
      </c>
      <c r="H673" s="1" t="s">
        <v>103</v>
      </c>
      <c r="I673" s="1" t="s">
        <v>71</v>
      </c>
      <c r="J673" s="1" t="s">
        <v>198</v>
      </c>
      <c r="K673" s="1" t="s">
        <v>199</v>
      </c>
      <c r="L673" s="1" t="s">
        <v>82</v>
      </c>
      <c r="M673" s="1" t="s">
        <v>88</v>
      </c>
      <c r="N673" s="1" t="s">
        <v>2096</v>
      </c>
      <c r="O673" s="1" t="s">
        <v>39</v>
      </c>
      <c r="P673" s="1">
        <v>9</v>
      </c>
      <c r="Q673" s="1">
        <v>3649.51</v>
      </c>
      <c r="R673" s="1">
        <v>0.05</v>
      </c>
      <c r="S673" s="1">
        <v>31203.31</v>
      </c>
      <c r="T673" s="1">
        <f t="shared" si="53"/>
        <v>31203.310500000003</v>
      </c>
      <c r="U673" s="1">
        <v>17738.13</v>
      </c>
      <c r="V673" s="3">
        <f>IF(T673=0,"",X673/T673)</f>
        <v>0.43153051020019179</v>
      </c>
      <c r="W673" s="1">
        <v>13465.18</v>
      </c>
      <c r="X673" s="1">
        <f>T673-U673</f>
        <v>13465.180500000002</v>
      </c>
      <c r="Y673" s="1" t="s">
        <v>40</v>
      </c>
      <c r="Z673" s="1" t="s">
        <v>41</v>
      </c>
      <c r="AA673" s="1">
        <f t="shared" si="50"/>
        <v>5</v>
      </c>
      <c r="AB673" s="2" t="str">
        <f t="shared" si="54"/>
        <v>Clean</v>
      </c>
      <c r="AC673" s="2"/>
    </row>
    <row r="674" spans="1:29">
      <c r="A674" s="1" t="s">
        <v>2097</v>
      </c>
      <c r="B674" s="2">
        <v>45391</v>
      </c>
      <c r="C674" s="2" t="str">
        <f t="shared" si="51"/>
        <v>April</v>
      </c>
      <c r="D674" s="1">
        <f t="shared" si="52"/>
        <v>2024</v>
      </c>
      <c r="E674" s="2">
        <v>45421</v>
      </c>
      <c r="F674" s="1" t="s">
        <v>2098</v>
      </c>
      <c r="G674" s="1" t="s">
        <v>97</v>
      </c>
      <c r="H674" s="1" t="s">
        <v>98</v>
      </c>
      <c r="I674" s="1" t="s">
        <v>71</v>
      </c>
      <c r="J674" s="1" t="s">
        <v>80</v>
      </c>
      <c r="K674" s="1" t="s">
        <v>81</v>
      </c>
      <c r="L674" s="1" t="s">
        <v>49</v>
      </c>
      <c r="M674" s="1" t="s">
        <v>74</v>
      </c>
      <c r="N674" s="1" t="s">
        <v>2099</v>
      </c>
      <c r="O674" s="1" t="s">
        <v>67</v>
      </c>
      <c r="P674" s="1">
        <v>5</v>
      </c>
      <c r="Q674" s="1">
        <v>2528.5300000000002</v>
      </c>
      <c r="R674" s="1">
        <v>0.05</v>
      </c>
      <c r="S674" s="1">
        <v>12010.52</v>
      </c>
      <c r="T674" s="1">
        <f t="shared" si="53"/>
        <v>12010.5175</v>
      </c>
      <c r="U674" s="1">
        <v>7864.61</v>
      </c>
      <c r="V674" s="3">
        <f>IF(T674=0,"",X674/T674)</f>
        <v>0.34518974723612039</v>
      </c>
      <c r="W674" s="1">
        <v>4145.91</v>
      </c>
      <c r="X674" s="1">
        <f>T674-U674</f>
        <v>4145.9075000000003</v>
      </c>
      <c r="Y674" s="1" t="s">
        <v>40</v>
      </c>
      <c r="Z674" s="1" t="s">
        <v>111</v>
      </c>
      <c r="AA674" s="1">
        <f t="shared" si="50"/>
        <v>30</v>
      </c>
      <c r="AB674" s="2" t="str">
        <f t="shared" si="54"/>
        <v>Clean</v>
      </c>
      <c r="AC674" s="2"/>
    </row>
    <row r="675" spans="1:29">
      <c r="A675" s="1" t="s">
        <v>2100</v>
      </c>
      <c r="B675" s="2">
        <v>45701</v>
      </c>
      <c r="C675" s="2" t="str">
        <f t="shared" si="51"/>
        <v>February</v>
      </c>
      <c r="D675" s="1">
        <f t="shared" si="52"/>
        <v>2025</v>
      </c>
      <c r="E675" s="2">
        <v>45704</v>
      </c>
      <c r="F675" s="1" t="s">
        <v>2101</v>
      </c>
      <c r="G675" s="1" t="s">
        <v>61</v>
      </c>
      <c r="H675" s="1" t="s">
        <v>45</v>
      </c>
      <c r="I675" s="1" t="s">
        <v>71</v>
      </c>
      <c r="J675" s="1" t="s">
        <v>34</v>
      </c>
      <c r="K675" s="1" t="s">
        <v>117</v>
      </c>
      <c r="L675" s="1" t="s">
        <v>49</v>
      </c>
      <c r="M675" s="1" t="s">
        <v>166</v>
      </c>
      <c r="N675" s="1" t="s">
        <v>2102</v>
      </c>
      <c r="O675" s="1" t="s">
        <v>39</v>
      </c>
      <c r="P675" s="1">
        <v>4</v>
      </c>
      <c r="Q675" s="1">
        <v>4072.9</v>
      </c>
      <c r="R675" s="1">
        <v>0.15</v>
      </c>
      <c r="S675" s="1">
        <v>13847.86</v>
      </c>
      <c r="T675" s="1">
        <f t="shared" si="53"/>
        <v>13847.86</v>
      </c>
      <c r="U675" s="1">
        <v>8471.7800000000007</v>
      </c>
      <c r="V675" s="3">
        <f>IF(T675=0,"",X675/T675)</f>
        <v>0.38822460654570451</v>
      </c>
      <c r="W675" s="1">
        <v>5376.08</v>
      </c>
      <c r="X675" s="1">
        <f>T675-U675</f>
        <v>5376.08</v>
      </c>
      <c r="Y675" s="1" t="s">
        <v>40</v>
      </c>
      <c r="Z675" s="1" t="s">
        <v>41</v>
      </c>
      <c r="AA675" s="1">
        <f t="shared" si="50"/>
        <v>3</v>
      </c>
      <c r="AB675" s="2" t="str">
        <f t="shared" si="54"/>
        <v>Clean</v>
      </c>
      <c r="AC675" s="2"/>
    </row>
    <row r="676" spans="1:29">
      <c r="A676" s="1" t="s">
        <v>2103</v>
      </c>
      <c r="B676" s="2">
        <v>45430</v>
      </c>
      <c r="C676" s="2" t="str">
        <f t="shared" si="51"/>
        <v>May</v>
      </c>
      <c r="D676" s="1">
        <f t="shared" si="52"/>
        <v>2024</v>
      </c>
      <c r="E676" s="2">
        <v>45433</v>
      </c>
      <c r="F676" s="1" t="s">
        <v>2104</v>
      </c>
      <c r="G676" s="1" t="s">
        <v>79</v>
      </c>
      <c r="H676" s="1" t="s">
        <v>98</v>
      </c>
      <c r="I676" s="1" t="s">
        <v>46</v>
      </c>
      <c r="J676" s="1" t="s">
        <v>237</v>
      </c>
      <c r="K676" s="1" t="s">
        <v>238</v>
      </c>
      <c r="L676" s="1" t="s">
        <v>82</v>
      </c>
      <c r="M676" s="1" t="s">
        <v>83</v>
      </c>
      <c r="N676" s="1" t="s">
        <v>2105</v>
      </c>
      <c r="O676" s="1" t="s">
        <v>39</v>
      </c>
      <c r="P676" s="1">
        <v>1</v>
      </c>
      <c r="Q676" s="1">
        <v>1033.71</v>
      </c>
      <c r="R676" s="1">
        <v>0</v>
      </c>
      <c r="S676" s="1">
        <v>1033.71</v>
      </c>
      <c r="T676" s="1">
        <f t="shared" si="53"/>
        <v>1033.71</v>
      </c>
      <c r="U676" s="1">
        <v>630.82000000000005</v>
      </c>
      <c r="V676" s="3">
        <f>IF(T676=0,"",X676/T676)</f>
        <v>0.38975147768716562</v>
      </c>
      <c r="W676" s="1">
        <v>402.89</v>
      </c>
      <c r="X676" s="1">
        <f>T676-U676</f>
        <v>402.89</v>
      </c>
      <c r="Y676" s="1" t="s">
        <v>119</v>
      </c>
      <c r="Z676" s="1" t="s">
        <v>111</v>
      </c>
      <c r="AA676" s="1">
        <f t="shared" si="50"/>
        <v>3</v>
      </c>
      <c r="AB676" s="2" t="str">
        <f t="shared" si="54"/>
        <v>Clean</v>
      </c>
      <c r="AC676" s="2"/>
    </row>
    <row r="677" spans="1:29">
      <c r="A677" s="1" t="s">
        <v>2106</v>
      </c>
      <c r="B677" s="2">
        <v>45844</v>
      </c>
      <c r="C677" s="2" t="str">
        <f t="shared" si="51"/>
        <v>July</v>
      </c>
      <c r="D677" s="1">
        <f t="shared" si="52"/>
        <v>2025</v>
      </c>
      <c r="E677" s="2">
        <v>45818</v>
      </c>
      <c r="F677" s="1" t="s">
        <v>2007</v>
      </c>
      <c r="G677" s="1" t="s">
        <v>136</v>
      </c>
      <c r="H677" s="1" t="s">
        <v>32</v>
      </c>
      <c r="I677" s="1" t="s">
        <v>33</v>
      </c>
      <c r="J677" s="1" t="s">
        <v>34</v>
      </c>
      <c r="K677" s="1" t="s">
        <v>35</v>
      </c>
      <c r="L677" s="1" t="s">
        <v>49</v>
      </c>
      <c r="M677" s="1" t="s">
        <v>65</v>
      </c>
      <c r="N677" s="1" t="s">
        <v>2107</v>
      </c>
      <c r="O677" s="1" t="s">
        <v>52</v>
      </c>
      <c r="P677" s="1">
        <v>3</v>
      </c>
      <c r="Q677" s="1">
        <v>963.26</v>
      </c>
      <c r="R677" s="1">
        <v>0</v>
      </c>
      <c r="S677" s="1">
        <v>2889.78</v>
      </c>
      <c r="T677" s="1">
        <f t="shared" si="53"/>
        <v>2889.7799999999997</v>
      </c>
      <c r="U677" s="1">
        <v>1811.23</v>
      </c>
      <c r="V677" s="3">
        <f>IF(T677=0,"",X677/T677)</f>
        <v>0.37322910394562903</v>
      </c>
      <c r="W677" s="1">
        <v>1078.55</v>
      </c>
      <c r="X677" s="1">
        <f>T677-U677</f>
        <v>1078.5499999999997</v>
      </c>
      <c r="Y677" s="1" t="s">
        <v>40</v>
      </c>
      <c r="Z677" s="1" t="s">
        <v>41</v>
      </c>
      <c r="AA677" s="4">
        <f t="shared" si="50"/>
        <v>-26</v>
      </c>
      <c r="AB677" s="2" t="str">
        <f t="shared" si="54"/>
        <v>Invalid</v>
      </c>
      <c r="AC677" s="2"/>
    </row>
    <row r="678" spans="1:29">
      <c r="A678" s="1" t="s">
        <v>2108</v>
      </c>
      <c r="B678" s="2">
        <v>45911</v>
      </c>
      <c r="C678" s="2" t="str">
        <f t="shared" si="51"/>
        <v>September</v>
      </c>
      <c r="D678" s="1">
        <f t="shared" si="52"/>
        <v>2025</v>
      </c>
      <c r="E678" s="2">
        <v>45918</v>
      </c>
      <c r="F678" s="1" t="s">
        <v>2109</v>
      </c>
      <c r="G678" s="1" t="s">
        <v>126</v>
      </c>
      <c r="H678" s="1" t="s">
        <v>45</v>
      </c>
      <c r="I678" s="1" t="s">
        <v>33</v>
      </c>
      <c r="J678" s="1" t="s">
        <v>359</v>
      </c>
      <c r="K678" s="1" t="s">
        <v>360</v>
      </c>
      <c r="L678" s="1" t="s">
        <v>82</v>
      </c>
      <c r="M678" s="1" t="s">
        <v>179</v>
      </c>
      <c r="N678" s="1" t="s">
        <v>2110</v>
      </c>
      <c r="O678" s="1" t="s">
        <v>52</v>
      </c>
      <c r="P678" s="1">
        <v>7</v>
      </c>
      <c r="Q678" s="1">
        <v>3411.21</v>
      </c>
      <c r="R678" s="1">
        <v>0.15</v>
      </c>
      <c r="S678" s="1">
        <v>20296.7</v>
      </c>
      <c r="T678" s="1">
        <f t="shared" si="53"/>
        <v>20296.699499999999</v>
      </c>
      <c r="U678" s="1">
        <v>14920.87</v>
      </c>
      <c r="V678" s="3">
        <f>IF(T678=0,"",X678/T678)</f>
        <v>0.26486225014071862</v>
      </c>
      <c r="W678" s="1">
        <v>5375.83</v>
      </c>
      <c r="X678" s="1">
        <f>T678-U678</f>
        <v>5375.829499999998</v>
      </c>
      <c r="Y678" s="1" t="s">
        <v>40</v>
      </c>
      <c r="Z678" s="1" t="s">
        <v>41</v>
      </c>
      <c r="AA678" s="1">
        <f t="shared" si="50"/>
        <v>7</v>
      </c>
      <c r="AB678" s="2" t="str">
        <f t="shared" si="54"/>
        <v>Clean</v>
      </c>
      <c r="AC678" s="2"/>
    </row>
    <row r="679" spans="1:29">
      <c r="A679" s="1" t="s">
        <v>2111</v>
      </c>
      <c r="B679" s="2">
        <v>45465</v>
      </c>
      <c r="C679" s="2" t="str">
        <f t="shared" si="51"/>
        <v>June</v>
      </c>
      <c r="D679" s="1">
        <f t="shared" si="52"/>
        <v>2024</v>
      </c>
      <c r="E679" s="2">
        <v>45470</v>
      </c>
      <c r="F679" s="1" t="s">
        <v>30</v>
      </c>
      <c r="G679" s="1" t="s">
        <v>55</v>
      </c>
      <c r="H679" s="1" t="s">
        <v>103</v>
      </c>
      <c r="I679" s="1" t="s">
        <v>62</v>
      </c>
      <c r="J679" s="1" t="s">
        <v>183</v>
      </c>
      <c r="K679" s="1" t="s">
        <v>184</v>
      </c>
      <c r="L679" s="1" t="s">
        <v>49</v>
      </c>
      <c r="M679" s="1" t="s">
        <v>74</v>
      </c>
      <c r="N679" s="1" t="s">
        <v>2112</v>
      </c>
      <c r="O679" s="1" t="s">
        <v>52</v>
      </c>
      <c r="P679" s="1">
        <v>7</v>
      </c>
      <c r="Q679" s="1">
        <v>2623.48</v>
      </c>
      <c r="R679" s="1">
        <v>0</v>
      </c>
      <c r="S679" s="1">
        <v>18364.36</v>
      </c>
      <c r="T679" s="1">
        <f t="shared" si="53"/>
        <v>18364.36</v>
      </c>
      <c r="U679" s="1">
        <v>15445.81</v>
      </c>
      <c r="V679" s="3">
        <f>IF(T679=0,"",X679/T679)</f>
        <v>0.15892467801763857</v>
      </c>
      <c r="W679" s="1">
        <v>2918.55</v>
      </c>
      <c r="X679" s="1">
        <f>T679-U679</f>
        <v>2918.5500000000011</v>
      </c>
      <c r="Y679" s="1" t="s">
        <v>40</v>
      </c>
      <c r="Z679" s="1" t="s">
        <v>41</v>
      </c>
      <c r="AA679" s="1">
        <f t="shared" si="50"/>
        <v>5</v>
      </c>
      <c r="AB679" s="2" t="str">
        <f t="shared" si="54"/>
        <v>Clean</v>
      </c>
      <c r="AC679" s="2"/>
    </row>
    <row r="680" spans="1:29">
      <c r="A680" s="1" t="s">
        <v>2113</v>
      </c>
      <c r="B680" s="2">
        <v>45620</v>
      </c>
      <c r="C680" s="2" t="str">
        <f t="shared" si="51"/>
        <v>November</v>
      </c>
      <c r="D680" s="1">
        <f t="shared" si="52"/>
        <v>2024</v>
      </c>
      <c r="E680" s="2">
        <v>45627</v>
      </c>
      <c r="F680" s="1" t="s">
        <v>2114</v>
      </c>
      <c r="G680" s="1" t="s">
        <v>273</v>
      </c>
      <c r="H680" s="1" t="s">
        <v>98</v>
      </c>
      <c r="I680" s="1" t="s">
        <v>62</v>
      </c>
      <c r="J680" s="1" t="s">
        <v>183</v>
      </c>
      <c r="K680" s="1" t="s">
        <v>184</v>
      </c>
      <c r="L680" s="1" t="s">
        <v>49</v>
      </c>
      <c r="M680" s="1" t="s">
        <v>50</v>
      </c>
      <c r="N680" s="1" t="s">
        <v>2115</v>
      </c>
      <c r="O680" s="1" t="s">
        <v>39</v>
      </c>
      <c r="P680" s="1">
        <v>9</v>
      </c>
      <c r="Q680" s="1">
        <v>2763.61</v>
      </c>
      <c r="R680" s="1">
        <v>0.15</v>
      </c>
      <c r="S680" s="1">
        <v>21141.62</v>
      </c>
      <c r="T680" s="1">
        <f t="shared" si="53"/>
        <v>21141.6165</v>
      </c>
      <c r="U680" s="1">
        <v>11676.33</v>
      </c>
      <c r="V680" s="3">
        <f>IF(T680=0,"",X680/T680)</f>
        <v>0.44770874071999178</v>
      </c>
      <c r="W680" s="1">
        <v>9465.2900000000009</v>
      </c>
      <c r="X680" s="1">
        <f>T680-U680</f>
        <v>9465.2865000000002</v>
      </c>
      <c r="Y680" s="1" t="s">
        <v>40</v>
      </c>
      <c r="Z680" s="1" t="s">
        <v>41</v>
      </c>
      <c r="AA680" s="1">
        <f t="shared" si="50"/>
        <v>7</v>
      </c>
      <c r="AB680" s="2" t="str">
        <f t="shared" si="54"/>
        <v>Clean</v>
      </c>
      <c r="AC680" s="2"/>
    </row>
    <row r="681" spans="1:29">
      <c r="A681" s="1" t="s">
        <v>2116</v>
      </c>
      <c r="B681" s="2">
        <v>45885</v>
      </c>
      <c r="C681" s="2" t="str">
        <f t="shared" si="51"/>
        <v>August</v>
      </c>
      <c r="D681" s="1">
        <f t="shared" si="52"/>
        <v>2025</v>
      </c>
      <c r="E681" s="2">
        <v>45892</v>
      </c>
      <c r="F681" s="1" t="s">
        <v>2117</v>
      </c>
      <c r="G681" s="1" t="s">
        <v>149</v>
      </c>
      <c r="H681" s="1" t="s">
        <v>98</v>
      </c>
      <c r="I681" s="1" t="s">
        <v>33</v>
      </c>
      <c r="J681" s="1" t="s">
        <v>130</v>
      </c>
      <c r="K681" s="1" t="s">
        <v>131</v>
      </c>
      <c r="L681" s="1" t="s">
        <v>82</v>
      </c>
      <c r="M681" s="1" t="s">
        <v>88</v>
      </c>
      <c r="N681" s="1" t="s">
        <v>2118</v>
      </c>
      <c r="O681" s="1" t="s">
        <v>52</v>
      </c>
      <c r="P681" s="1">
        <v>4</v>
      </c>
      <c r="Q681" s="1">
        <v>1410.57</v>
      </c>
      <c r="R681" s="1">
        <v>0.7</v>
      </c>
      <c r="S681" s="1">
        <v>5360.17</v>
      </c>
      <c r="T681" s="1">
        <f t="shared" si="53"/>
        <v>1692.6840000000002</v>
      </c>
      <c r="U681" s="1">
        <v>3881.51</v>
      </c>
      <c r="V681" s="3">
        <f>IF(T681=0,"",X681/T681)</f>
        <v>-1.2931096412561351</v>
      </c>
      <c r="W681" s="1">
        <v>1478.66</v>
      </c>
      <c r="X681" s="1">
        <f>T681-U681</f>
        <v>-2188.826</v>
      </c>
      <c r="Y681" s="1" t="s">
        <v>110</v>
      </c>
      <c r="Z681" s="1" t="s">
        <v>76</v>
      </c>
      <c r="AA681" s="1">
        <f t="shared" si="50"/>
        <v>7</v>
      </c>
      <c r="AB681" s="2" t="str">
        <f t="shared" si="54"/>
        <v>Clean</v>
      </c>
      <c r="AC681" s="2"/>
    </row>
    <row r="682" spans="1:29">
      <c r="A682" s="1" t="s">
        <v>2119</v>
      </c>
      <c r="B682" s="2">
        <v>45441</v>
      </c>
      <c r="C682" s="2" t="str">
        <f t="shared" si="51"/>
        <v>May</v>
      </c>
      <c r="D682" s="1">
        <f t="shared" si="52"/>
        <v>2024</v>
      </c>
      <c r="E682" s="2">
        <v>45418</v>
      </c>
      <c r="F682" s="1" t="s">
        <v>2120</v>
      </c>
      <c r="G682" s="1" t="s">
        <v>273</v>
      </c>
      <c r="H682" s="1" t="s">
        <v>98</v>
      </c>
      <c r="I682" s="1" t="s">
        <v>62</v>
      </c>
      <c r="J682" s="1" t="s">
        <v>256</v>
      </c>
      <c r="K682" s="1" t="s">
        <v>257</v>
      </c>
      <c r="L682" s="1" t="s">
        <v>82</v>
      </c>
      <c r="M682" s="1" t="s">
        <v>83</v>
      </c>
      <c r="N682" s="1" t="s">
        <v>2121</v>
      </c>
      <c r="O682" s="1" t="s">
        <v>58</v>
      </c>
      <c r="P682" s="1">
        <v>4</v>
      </c>
      <c r="Q682" s="1">
        <v>3700.24</v>
      </c>
      <c r="R682" s="1">
        <v>0</v>
      </c>
      <c r="S682" s="1">
        <v>14800.96</v>
      </c>
      <c r="T682" s="1">
        <f t="shared" si="53"/>
        <v>14800.96</v>
      </c>
      <c r="U682" s="1">
        <v>12048.39</v>
      </c>
      <c r="V682" s="3">
        <f>IF(T682=0,"",X682/T682)</f>
        <v>0.18597239638509933</v>
      </c>
      <c r="W682" s="1">
        <v>2752.57</v>
      </c>
      <c r="X682" s="1">
        <f>T682-U682</f>
        <v>2752.5699999999997</v>
      </c>
      <c r="Y682" s="1" t="s">
        <v>40</v>
      </c>
      <c r="Z682" s="1" t="s">
        <v>41</v>
      </c>
      <c r="AA682" s="4">
        <f t="shared" si="50"/>
        <v>-23</v>
      </c>
      <c r="AB682" s="2" t="str">
        <f t="shared" si="54"/>
        <v>Invalid</v>
      </c>
      <c r="AC682" s="2"/>
    </row>
    <row r="683" spans="1:29">
      <c r="A683" s="1" t="s">
        <v>2122</v>
      </c>
      <c r="B683" s="2">
        <v>45477</v>
      </c>
      <c r="C683" s="2" t="str">
        <f t="shared" si="51"/>
        <v>July</v>
      </c>
      <c r="D683" s="1">
        <f t="shared" si="52"/>
        <v>2024</v>
      </c>
      <c r="E683" s="2">
        <v>45572</v>
      </c>
      <c r="F683" s="1" t="s">
        <v>2123</v>
      </c>
      <c r="G683" s="1" t="s">
        <v>79</v>
      </c>
      <c r="H683" s="1" t="s">
        <v>98</v>
      </c>
      <c r="I683" s="1" t="s">
        <v>33</v>
      </c>
      <c r="J683" s="1" t="s">
        <v>359</v>
      </c>
      <c r="K683" s="1" t="s">
        <v>360</v>
      </c>
      <c r="L683" s="1" t="s">
        <v>49</v>
      </c>
      <c r="M683" s="1" t="s">
        <v>50</v>
      </c>
      <c r="N683" s="1" t="s">
        <v>2124</v>
      </c>
      <c r="O683" s="1" t="s">
        <v>39</v>
      </c>
      <c r="P683" s="1">
        <v>5</v>
      </c>
      <c r="Q683" s="1">
        <v>1200.27</v>
      </c>
      <c r="R683" s="1">
        <v>0</v>
      </c>
      <c r="S683" s="1">
        <v>6001.35</v>
      </c>
      <c r="T683" s="1">
        <f t="shared" si="53"/>
        <v>6001.35</v>
      </c>
      <c r="U683" s="1">
        <v>4182.99</v>
      </c>
      <c r="V683" s="3">
        <f>IF(T683=0,"",X683/T683)</f>
        <v>0.30299182683896131</v>
      </c>
      <c r="W683" s="1">
        <v>1818.36</v>
      </c>
      <c r="X683" s="1">
        <f>T683-U683</f>
        <v>1818.3600000000006</v>
      </c>
      <c r="Y683" s="1" t="s">
        <v>40</v>
      </c>
      <c r="Z683" s="1" t="s">
        <v>76</v>
      </c>
      <c r="AA683" s="1">
        <f t="shared" si="50"/>
        <v>95</v>
      </c>
      <c r="AB683" s="2" t="str">
        <f t="shared" si="54"/>
        <v>Clean</v>
      </c>
      <c r="AC683" s="2"/>
    </row>
    <row r="684" spans="1:29">
      <c r="A684" s="1" t="s">
        <v>2125</v>
      </c>
      <c r="B684" s="2">
        <v>45779</v>
      </c>
      <c r="C684" s="2" t="str">
        <f t="shared" si="51"/>
        <v>May</v>
      </c>
      <c r="D684" s="1">
        <f t="shared" si="52"/>
        <v>2025</v>
      </c>
      <c r="E684" s="2">
        <v>45779</v>
      </c>
      <c r="F684" s="1" t="s">
        <v>2126</v>
      </c>
      <c r="G684" s="1" t="s">
        <v>70</v>
      </c>
      <c r="H684" s="1" t="s">
        <v>98</v>
      </c>
      <c r="I684" s="1" t="s">
        <v>33</v>
      </c>
      <c r="J684" s="1" t="s">
        <v>245</v>
      </c>
      <c r="K684" s="1" t="s">
        <v>246</v>
      </c>
      <c r="L684" s="1" t="s">
        <v>36</v>
      </c>
      <c r="M684" s="1" t="s">
        <v>132</v>
      </c>
      <c r="N684" s="1" t="s">
        <v>2127</v>
      </c>
      <c r="O684" s="1" t="s">
        <v>52</v>
      </c>
      <c r="P684" s="1">
        <v>3</v>
      </c>
      <c r="Q684" s="1">
        <v>2590.7800000000002</v>
      </c>
      <c r="R684" s="1">
        <v>0</v>
      </c>
      <c r="S684" s="1">
        <v>7383.72</v>
      </c>
      <c r="T684" s="1">
        <f t="shared" si="53"/>
        <v>7772.34</v>
      </c>
      <c r="U684" s="1">
        <v>4113.66</v>
      </c>
      <c r="V684" s="3">
        <f>IF(T684=0,"",X684/T684)</f>
        <v>0.47073082237781677</v>
      </c>
      <c r="W684" s="1">
        <v>3270.06</v>
      </c>
      <c r="X684" s="1">
        <f>T684-U684</f>
        <v>3658.6800000000003</v>
      </c>
      <c r="Y684" s="1" t="s">
        <v>40</v>
      </c>
      <c r="Z684" s="1" t="s">
        <v>41</v>
      </c>
      <c r="AA684" s="1">
        <f t="shared" si="50"/>
        <v>0</v>
      </c>
      <c r="AB684" s="2" t="str">
        <f t="shared" si="54"/>
        <v>Clean</v>
      </c>
      <c r="AC684" s="2"/>
    </row>
    <row r="685" spans="1:29">
      <c r="A685" s="1" t="s">
        <v>2128</v>
      </c>
      <c r="B685" s="2">
        <v>45858</v>
      </c>
      <c r="C685" s="2" t="str">
        <f t="shared" si="51"/>
        <v>July</v>
      </c>
      <c r="D685" s="1">
        <f t="shared" si="52"/>
        <v>2025</v>
      </c>
      <c r="E685" s="2">
        <v>45862</v>
      </c>
      <c r="F685" s="1" t="s">
        <v>2129</v>
      </c>
      <c r="G685" s="1" t="s">
        <v>61</v>
      </c>
      <c r="H685" s="1" t="s">
        <v>45</v>
      </c>
      <c r="I685" s="1" t="s">
        <v>62</v>
      </c>
      <c r="J685" s="1" t="s">
        <v>63</v>
      </c>
      <c r="K685" s="1" t="s">
        <v>64</v>
      </c>
      <c r="L685" s="1" t="s">
        <v>49</v>
      </c>
      <c r="M685" s="1" t="s">
        <v>65</v>
      </c>
      <c r="N685" s="1" t="s">
        <v>2130</v>
      </c>
      <c r="O685" s="1" t="s">
        <v>39</v>
      </c>
      <c r="P685" s="1">
        <v>6</v>
      </c>
      <c r="Q685" s="1">
        <v>1646.45</v>
      </c>
      <c r="R685" s="1">
        <v>0.2</v>
      </c>
      <c r="S685" s="1">
        <v>7902.96</v>
      </c>
      <c r="T685" s="1">
        <f t="shared" si="53"/>
        <v>7902.9600000000009</v>
      </c>
      <c r="U685" s="1">
        <v>5512.03</v>
      </c>
      <c r="V685" s="3">
        <f>IF(T685=0,"",X685/T685)</f>
        <v>0.30253601182341816</v>
      </c>
      <c r="W685" s="1">
        <v>2390.9299999999998</v>
      </c>
      <c r="X685" s="1">
        <f>T685-U685</f>
        <v>2390.9300000000012</v>
      </c>
      <c r="Y685" s="1" t="s">
        <v>110</v>
      </c>
      <c r="Z685" s="1" t="s">
        <v>76</v>
      </c>
      <c r="AA685" s="1">
        <f t="shared" si="50"/>
        <v>4</v>
      </c>
      <c r="AB685" s="2" t="str">
        <f t="shared" si="54"/>
        <v>Clean</v>
      </c>
      <c r="AC685" s="2"/>
    </row>
    <row r="686" spans="1:29">
      <c r="A686" s="1" t="s">
        <v>2131</v>
      </c>
      <c r="B686" s="2">
        <v>45859</v>
      </c>
      <c r="C686" s="2" t="str">
        <f t="shared" si="51"/>
        <v>July</v>
      </c>
      <c r="D686" s="1">
        <f t="shared" si="52"/>
        <v>2025</v>
      </c>
      <c r="E686" s="2">
        <v>45859</v>
      </c>
      <c r="F686" s="1" t="s">
        <v>2132</v>
      </c>
      <c r="G686" s="1" t="s">
        <v>55</v>
      </c>
      <c r="H686" s="1" t="s">
        <v>103</v>
      </c>
      <c r="I686" s="1" t="s">
        <v>62</v>
      </c>
      <c r="J686" s="1" t="s">
        <v>256</v>
      </c>
      <c r="K686" s="1" t="s">
        <v>257</v>
      </c>
      <c r="L686" s="1" t="s">
        <v>49</v>
      </c>
      <c r="M686" s="1" t="s">
        <v>166</v>
      </c>
      <c r="N686" s="1" t="s">
        <v>2133</v>
      </c>
      <c r="O686" s="1" t="s">
        <v>58</v>
      </c>
      <c r="P686" s="1">
        <v>7</v>
      </c>
      <c r="Q686" s="1">
        <v>4396.6499999999996</v>
      </c>
      <c r="R686" s="1">
        <v>0.2</v>
      </c>
      <c r="S686" s="1">
        <v>24621.24</v>
      </c>
      <c r="T686" s="1">
        <f t="shared" si="53"/>
        <v>24621.239999999998</v>
      </c>
      <c r="U686" s="1">
        <v>17155.48</v>
      </c>
      <c r="V686" s="3">
        <f>IF(T686=0,"",X686/T686)</f>
        <v>0.3032243705028666</v>
      </c>
      <c r="W686" s="1">
        <v>7465.76</v>
      </c>
      <c r="X686" s="1">
        <f>T686-U686</f>
        <v>7465.7599999999984</v>
      </c>
      <c r="Y686" s="1" t="s">
        <v>110</v>
      </c>
      <c r="Z686" s="1" t="s">
        <v>76</v>
      </c>
      <c r="AA686" s="1">
        <f t="shared" si="50"/>
        <v>0</v>
      </c>
      <c r="AB686" s="2" t="str">
        <f t="shared" si="54"/>
        <v>Clean</v>
      </c>
      <c r="AC686" s="2"/>
    </row>
    <row r="687" spans="1:29">
      <c r="A687" s="1" t="s">
        <v>2134</v>
      </c>
      <c r="B687" s="2">
        <v>45667</v>
      </c>
      <c r="C687" s="2" t="str">
        <f t="shared" si="51"/>
        <v>January</v>
      </c>
      <c r="D687" s="1">
        <f t="shared" si="52"/>
        <v>2025</v>
      </c>
      <c r="E687" s="2">
        <v>45726</v>
      </c>
      <c r="F687" s="1" t="s">
        <v>1803</v>
      </c>
      <c r="G687" s="1" t="s">
        <v>87</v>
      </c>
      <c r="H687" s="1" t="s">
        <v>98</v>
      </c>
      <c r="I687" s="1" t="s">
        <v>71</v>
      </c>
      <c r="J687" s="1" t="s">
        <v>198</v>
      </c>
      <c r="K687" s="1" t="s">
        <v>199</v>
      </c>
      <c r="L687" s="1" t="s">
        <v>36</v>
      </c>
      <c r="M687" s="1" t="s">
        <v>56</v>
      </c>
      <c r="N687" s="1" t="s">
        <v>2135</v>
      </c>
      <c r="O687" s="1" t="s">
        <v>67</v>
      </c>
      <c r="P687" s="1">
        <v>9</v>
      </c>
      <c r="Q687" s="1">
        <v>818.15</v>
      </c>
      <c r="R687" s="1">
        <v>0.55000000000000004</v>
      </c>
      <c r="S687" s="1">
        <v>6627.01</v>
      </c>
      <c r="T687" s="1">
        <f t="shared" si="53"/>
        <v>3313.5074999999993</v>
      </c>
      <c r="U687" s="1">
        <v>5606.79</v>
      </c>
      <c r="V687" s="3">
        <f>IF(T687=0,"",X687/T687)</f>
        <v>-0.69210119488185895</v>
      </c>
      <c r="W687" s="1">
        <v>1020.22</v>
      </c>
      <c r="X687" s="1">
        <f>T687-U687</f>
        <v>-2293.2825000000007</v>
      </c>
      <c r="Y687" s="1" t="s">
        <v>163</v>
      </c>
      <c r="Z687" s="1" t="s">
        <v>76</v>
      </c>
      <c r="AA687" s="1">
        <f t="shared" si="50"/>
        <v>59</v>
      </c>
      <c r="AB687" s="2" t="str">
        <f t="shared" si="54"/>
        <v>Clean</v>
      </c>
      <c r="AC687" s="2"/>
    </row>
    <row r="688" spans="1:29">
      <c r="A688" s="1" t="s">
        <v>2136</v>
      </c>
      <c r="B688" s="2">
        <v>45376</v>
      </c>
      <c r="C688" s="2" t="str">
        <f t="shared" si="51"/>
        <v>March</v>
      </c>
      <c r="D688" s="1">
        <f t="shared" si="52"/>
        <v>2024</v>
      </c>
      <c r="E688" s="2">
        <v>45384</v>
      </c>
      <c r="F688" s="1" t="s">
        <v>2137</v>
      </c>
      <c r="G688" s="1" t="s">
        <v>140</v>
      </c>
      <c r="H688" s="1" t="s">
        <v>103</v>
      </c>
      <c r="I688" s="1" t="s">
        <v>62</v>
      </c>
      <c r="J688" s="1" t="s">
        <v>256</v>
      </c>
      <c r="K688" s="1" t="s">
        <v>257</v>
      </c>
      <c r="L688" s="1" t="s">
        <v>82</v>
      </c>
      <c r="M688" s="1" t="s">
        <v>88</v>
      </c>
      <c r="N688" s="1" t="s">
        <v>2138</v>
      </c>
      <c r="O688" s="1" t="s">
        <v>67</v>
      </c>
      <c r="P688" s="1">
        <v>2</v>
      </c>
      <c r="Q688" s="1">
        <v>2349.13</v>
      </c>
      <c r="R688" s="1">
        <v>0</v>
      </c>
      <c r="S688" s="1">
        <v>4698.26</v>
      </c>
      <c r="T688" s="1">
        <f t="shared" si="53"/>
        <v>4698.26</v>
      </c>
      <c r="U688" s="1">
        <v>2654.92</v>
      </c>
      <c r="V688" s="3">
        <f>IF(T688=0,"",X688/T688)</f>
        <v>0.43491420227914163</v>
      </c>
      <c r="W688" s="1">
        <v>2043.34</v>
      </c>
      <c r="X688" s="1">
        <f>T688-U688</f>
        <v>2043.3400000000001</v>
      </c>
      <c r="Y688" s="1" t="s">
        <v>40</v>
      </c>
      <c r="Z688" s="1" t="s">
        <v>41</v>
      </c>
      <c r="AA688" s="1">
        <f t="shared" si="50"/>
        <v>8</v>
      </c>
      <c r="AB688" s="2" t="str">
        <f t="shared" si="54"/>
        <v>Clean</v>
      </c>
      <c r="AC688" s="2"/>
    </row>
    <row r="689" spans="1:29">
      <c r="A689" s="1" t="s">
        <v>2139</v>
      </c>
      <c r="B689" s="2">
        <v>45879</v>
      </c>
      <c r="C689" s="2" t="str">
        <f t="shared" si="51"/>
        <v>August</v>
      </c>
      <c r="D689" s="1">
        <f t="shared" si="52"/>
        <v>2025</v>
      </c>
      <c r="E689" s="2">
        <v>45943</v>
      </c>
      <c r="F689" s="1" t="s">
        <v>2140</v>
      </c>
      <c r="G689" s="1" t="s">
        <v>44</v>
      </c>
      <c r="H689" s="1" t="s">
        <v>103</v>
      </c>
      <c r="I689" s="1" t="s">
        <v>33</v>
      </c>
      <c r="J689" s="1" t="s">
        <v>130</v>
      </c>
      <c r="K689" s="1" t="s">
        <v>131</v>
      </c>
      <c r="L689" s="1" t="s">
        <v>49</v>
      </c>
      <c r="M689" s="1" t="s">
        <v>50</v>
      </c>
      <c r="N689" s="1" t="s">
        <v>2141</v>
      </c>
      <c r="O689" s="1" t="s">
        <v>58</v>
      </c>
      <c r="P689" s="1">
        <v>4</v>
      </c>
      <c r="Q689" s="1">
        <v>172.05</v>
      </c>
      <c r="R689" s="1">
        <v>0</v>
      </c>
      <c r="S689" s="1">
        <v>688.2</v>
      </c>
      <c r="T689" s="1">
        <f t="shared" si="53"/>
        <v>688.2</v>
      </c>
      <c r="U689" s="1">
        <v>497.68</v>
      </c>
      <c r="V689" s="3">
        <f>IF(T689=0,"",X689/T689)</f>
        <v>0.27683812845103173</v>
      </c>
      <c r="W689" s="1">
        <v>190.52</v>
      </c>
      <c r="X689" s="1">
        <f>T689-U689</f>
        <v>190.52000000000004</v>
      </c>
      <c r="Y689" s="1" t="s">
        <v>163</v>
      </c>
      <c r="Z689" s="1" t="s">
        <v>76</v>
      </c>
      <c r="AA689" s="1">
        <f t="shared" si="50"/>
        <v>64</v>
      </c>
      <c r="AB689" s="2" t="str">
        <f t="shared" si="54"/>
        <v>Clean</v>
      </c>
      <c r="AC689" s="2"/>
    </row>
    <row r="690" spans="1:29">
      <c r="A690" s="1" t="s">
        <v>2142</v>
      </c>
      <c r="B690" s="2">
        <v>45714</v>
      </c>
      <c r="C690" s="2" t="str">
        <f t="shared" si="51"/>
        <v>February</v>
      </c>
      <c r="D690" s="1">
        <f t="shared" si="52"/>
        <v>2025</v>
      </c>
      <c r="E690" s="2">
        <v>45715</v>
      </c>
      <c r="F690" s="1" t="s">
        <v>2143</v>
      </c>
      <c r="G690" s="1" t="s">
        <v>87</v>
      </c>
      <c r="H690" s="1" t="s">
        <v>103</v>
      </c>
      <c r="I690" s="1" t="s">
        <v>33</v>
      </c>
      <c r="J690" s="1" t="s">
        <v>245</v>
      </c>
      <c r="K690" s="1" t="s">
        <v>246</v>
      </c>
      <c r="L690" s="1" t="s">
        <v>36</v>
      </c>
      <c r="M690" s="1" t="s">
        <v>56</v>
      </c>
      <c r="N690" s="1" t="s">
        <v>2144</v>
      </c>
      <c r="O690" s="1" t="s">
        <v>39</v>
      </c>
      <c r="P690" s="1">
        <v>6</v>
      </c>
      <c r="Q690" s="1">
        <v>3037.66</v>
      </c>
      <c r="R690" s="1">
        <v>0.15</v>
      </c>
      <c r="S690" s="1">
        <v>15492.07</v>
      </c>
      <c r="T690" s="1">
        <f t="shared" si="53"/>
        <v>15492.065999999999</v>
      </c>
      <c r="U690" s="1">
        <v>12581.23</v>
      </c>
      <c r="V690" s="3">
        <f>IF(T690=0,"",X690/T690)</f>
        <v>0.18789204745190213</v>
      </c>
      <c r="W690" s="1">
        <v>2910.84</v>
      </c>
      <c r="X690" s="1">
        <f>T690-U690</f>
        <v>2910.8359999999993</v>
      </c>
      <c r="Y690" s="1" t="s">
        <v>40</v>
      </c>
      <c r="Z690" s="1" t="s">
        <v>41</v>
      </c>
      <c r="AA690" s="1">
        <f t="shared" si="50"/>
        <v>1</v>
      </c>
      <c r="AB690" s="2" t="str">
        <f t="shared" si="54"/>
        <v>Clean</v>
      </c>
      <c r="AC690" s="2"/>
    </row>
    <row r="691" spans="1:29">
      <c r="A691" s="1" t="s">
        <v>2145</v>
      </c>
      <c r="B691" s="2">
        <v>45422</v>
      </c>
      <c r="C691" s="2" t="str">
        <f t="shared" si="51"/>
        <v>May</v>
      </c>
      <c r="D691" s="1">
        <f t="shared" si="52"/>
        <v>2024</v>
      </c>
      <c r="E691" s="2">
        <v>45453</v>
      </c>
      <c r="F691" s="1" t="s">
        <v>2146</v>
      </c>
      <c r="G691" s="1" t="s">
        <v>149</v>
      </c>
      <c r="H691" s="1" t="s">
        <v>45</v>
      </c>
      <c r="I691" s="1" t="s">
        <v>33</v>
      </c>
      <c r="J691" s="1" t="s">
        <v>130</v>
      </c>
      <c r="K691" s="1" t="s">
        <v>131</v>
      </c>
      <c r="L691" s="1" t="s">
        <v>49</v>
      </c>
      <c r="M691" s="1" t="s">
        <v>50</v>
      </c>
      <c r="N691" s="1" t="s">
        <v>2147</v>
      </c>
      <c r="O691" s="1" t="s">
        <v>67</v>
      </c>
      <c r="P691" s="1">
        <v>9</v>
      </c>
      <c r="Q691" s="1">
        <v>489.58</v>
      </c>
      <c r="R691" s="1">
        <v>0.15</v>
      </c>
      <c r="S691" s="1">
        <v>3745.29</v>
      </c>
      <c r="T691" s="1">
        <f t="shared" si="53"/>
        <v>3745.2870000000003</v>
      </c>
      <c r="U691" s="1">
        <v>2302.65</v>
      </c>
      <c r="V691" s="3">
        <f>IF(T691=0,"",X691/T691)</f>
        <v>0.38518730340291679</v>
      </c>
      <c r="W691" s="1">
        <v>1442.64</v>
      </c>
      <c r="X691" s="1">
        <f>T691-U691</f>
        <v>1442.6370000000002</v>
      </c>
      <c r="Y691" s="1" t="s">
        <v>163</v>
      </c>
      <c r="Z691" s="1" t="s">
        <v>76</v>
      </c>
      <c r="AA691" s="1">
        <f t="shared" si="50"/>
        <v>31</v>
      </c>
      <c r="AB691" s="2" t="str">
        <f t="shared" si="54"/>
        <v>Clean</v>
      </c>
      <c r="AC691" s="2"/>
    </row>
    <row r="692" spans="1:29">
      <c r="A692" s="1" t="s">
        <v>2148</v>
      </c>
      <c r="B692" s="2">
        <v>45546</v>
      </c>
      <c r="C692" s="2" t="str">
        <f t="shared" si="51"/>
        <v>September</v>
      </c>
      <c r="D692" s="1">
        <f t="shared" si="52"/>
        <v>2024</v>
      </c>
      <c r="E692" s="2">
        <v>45550</v>
      </c>
      <c r="F692" s="1" t="s">
        <v>2149</v>
      </c>
      <c r="G692" s="1" t="s">
        <v>140</v>
      </c>
      <c r="H692" s="1" t="s">
        <v>98</v>
      </c>
      <c r="I692" s="1" t="s">
        <v>62</v>
      </c>
      <c r="J692" s="1" t="s">
        <v>256</v>
      </c>
      <c r="K692" s="1" t="s">
        <v>257</v>
      </c>
      <c r="L692" s="1" t="s">
        <v>36</v>
      </c>
      <c r="M692" s="1" t="s">
        <v>56</v>
      </c>
      <c r="N692" s="1" t="s">
        <v>2150</v>
      </c>
      <c r="O692" s="1" t="s">
        <v>67</v>
      </c>
      <c r="P692" s="1">
        <v>4</v>
      </c>
      <c r="Q692" s="1">
        <v>865.63</v>
      </c>
      <c r="R692" s="1">
        <v>0</v>
      </c>
      <c r="S692" s="1">
        <v>3462.52</v>
      </c>
      <c r="T692" s="1">
        <f t="shared" si="53"/>
        <v>3462.52</v>
      </c>
      <c r="U692" s="1">
        <v>2797.29</v>
      </c>
      <c r="V692" s="3">
        <f>IF(T692=0,"",X692/T692)</f>
        <v>0.19212307798944123</v>
      </c>
      <c r="W692" s="1">
        <v>665.23</v>
      </c>
      <c r="X692" s="1">
        <f>T692-U692</f>
        <v>665.23</v>
      </c>
      <c r="Y692" s="1" t="s">
        <v>163</v>
      </c>
      <c r="Z692" s="1" t="s">
        <v>111</v>
      </c>
      <c r="AA692" s="1">
        <f t="shared" si="50"/>
        <v>4</v>
      </c>
      <c r="AB692" s="2" t="str">
        <f t="shared" si="54"/>
        <v>Clean</v>
      </c>
      <c r="AC692" s="2"/>
    </row>
    <row r="693" spans="1:29">
      <c r="A693" s="1" t="s">
        <v>2151</v>
      </c>
      <c r="B693" s="2">
        <v>45641</v>
      </c>
      <c r="C693" s="2" t="str">
        <f t="shared" si="51"/>
        <v>December</v>
      </c>
      <c r="D693" s="1">
        <f t="shared" si="52"/>
        <v>2024</v>
      </c>
      <c r="E693" s="2">
        <v>45642</v>
      </c>
      <c r="F693" s="1" t="s">
        <v>2152</v>
      </c>
      <c r="G693" s="1" t="s">
        <v>149</v>
      </c>
      <c r="H693" s="1" t="s">
        <v>32</v>
      </c>
      <c r="I693" s="1" t="s">
        <v>46</v>
      </c>
      <c r="J693" s="1" t="s">
        <v>47</v>
      </c>
      <c r="K693" s="1" t="s">
        <v>48</v>
      </c>
      <c r="L693" s="1" t="s">
        <v>82</v>
      </c>
      <c r="M693" s="1" t="s">
        <v>88</v>
      </c>
      <c r="N693" s="1" t="s">
        <v>2153</v>
      </c>
      <c r="O693" s="1" t="s">
        <v>39</v>
      </c>
      <c r="P693" s="1">
        <v>6</v>
      </c>
      <c r="Q693" s="1">
        <v>1538.1</v>
      </c>
      <c r="R693" s="1">
        <v>0.05</v>
      </c>
      <c r="S693" s="1">
        <v>8767.17</v>
      </c>
      <c r="T693" s="1">
        <f t="shared" si="53"/>
        <v>8767.1699999999983</v>
      </c>
      <c r="U693" s="1">
        <v>5098.2</v>
      </c>
      <c r="V693" s="3">
        <f>IF(T693=0,"",X693/T693)</f>
        <v>0.41848966085977563</v>
      </c>
      <c r="W693" s="1">
        <v>3668.97</v>
      </c>
      <c r="X693" s="1">
        <f>T693-U693</f>
        <v>3668.9699999999984</v>
      </c>
      <c r="Y693" s="1" t="s">
        <v>40</v>
      </c>
      <c r="Z693" s="1" t="s">
        <v>41</v>
      </c>
      <c r="AA693" s="1">
        <f t="shared" si="50"/>
        <v>1</v>
      </c>
      <c r="AB693" s="2" t="str">
        <f t="shared" si="54"/>
        <v>Clean</v>
      </c>
      <c r="AC693" s="2"/>
    </row>
    <row r="694" spans="1:29">
      <c r="A694" s="1" t="s">
        <v>2154</v>
      </c>
      <c r="B694" s="2">
        <v>45787</v>
      </c>
      <c r="C694" s="2" t="str">
        <f t="shared" si="51"/>
        <v>May</v>
      </c>
      <c r="D694" s="1">
        <f t="shared" si="52"/>
        <v>2025</v>
      </c>
      <c r="E694" s="2">
        <v>45940</v>
      </c>
      <c r="F694" s="1" t="s">
        <v>2155</v>
      </c>
      <c r="G694" s="1" t="s">
        <v>55</v>
      </c>
      <c r="H694" s="1" t="s">
        <v>98</v>
      </c>
      <c r="I694" s="1" t="s">
        <v>62</v>
      </c>
      <c r="J694" s="1" t="s">
        <v>183</v>
      </c>
      <c r="K694" s="1" t="s">
        <v>184</v>
      </c>
      <c r="L694" s="1" t="s">
        <v>49</v>
      </c>
      <c r="M694" s="1" t="s">
        <v>65</v>
      </c>
      <c r="N694" s="1" t="s">
        <v>2156</v>
      </c>
      <c r="O694" s="1" t="s">
        <v>39</v>
      </c>
      <c r="P694" s="1">
        <v>4</v>
      </c>
      <c r="Q694" s="1">
        <v>2365.6799999999998</v>
      </c>
      <c r="R694" s="1">
        <v>0.1</v>
      </c>
      <c r="S694" s="1">
        <v>8516.4500000000007</v>
      </c>
      <c r="T694" s="1">
        <f t="shared" si="53"/>
        <v>8516.4480000000003</v>
      </c>
      <c r="U694" s="1">
        <v>5903.81</v>
      </c>
      <c r="V694" s="3">
        <f>IF(T694=0,"",X694/T694)</f>
        <v>0.30677554774009069</v>
      </c>
      <c r="W694" s="1">
        <v>2612.64</v>
      </c>
      <c r="X694" s="1">
        <f>T694-U694</f>
        <v>2612.6379999999999</v>
      </c>
      <c r="Y694" s="1" t="s">
        <v>40</v>
      </c>
      <c r="Z694" s="1" t="s">
        <v>41</v>
      </c>
      <c r="AA694" s="1">
        <f t="shared" si="50"/>
        <v>153</v>
      </c>
      <c r="AB694" s="2" t="str">
        <f t="shared" si="54"/>
        <v>Clean</v>
      </c>
      <c r="AC694" s="2"/>
    </row>
    <row r="695" spans="1:29">
      <c r="A695" s="1" t="s">
        <v>2157</v>
      </c>
      <c r="B695" s="2">
        <v>45720</v>
      </c>
      <c r="C695" s="2" t="str">
        <f t="shared" si="51"/>
        <v>March</v>
      </c>
      <c r="D695" s="1">
        <f t="shared" si="52"/>
        <v>2025</v>
      </c>
      <c r="E695" s="2">
        <v>45965</v>
      </c>
      <c r="F695" s="1" t="s">
        <v>2158</v>
      </c>
      <c r="G695" s="1" t="s">
        <v>61</v>
      </c>
      <c r="H695" s="1" t="s">
        <v>32</v>
      </c>
      <c r="I695" s="1" t="s">
        <v>62</v>
      </c>
      <c r="J695" s="1" t="s">
        <v>256</v>
      </c>
      <c r="K695" s="1" t="s">
        <v>257</v>
      </c>
      <c r="L695" s="1" t="s">
        <v>49</v>
      </c>
      <c r="M695" s="1" t="s">
        <v>166</v>
      </c>
      <c r="N695" s="1" t="s">
        <v>2159</v>
      </c>
      <c r="O695" s="1" t="s">
        <v>39</v>
      </c>
      <c r="P695" s="1">
        <v>3</v>
      </c>
      <c r="Q695" s="1">
        <v>4149.7700000000004</v>
      </c>
      <c r="R695" s="1">
        <v>0.05</v>
      </c>
      <c r="S695" s="1">
        <v>11826.84</v>
      </c>
      <c r="T695" s="1">
        <f t="shared" si="53"/>
        <v>11826.844500000001</v>
      </c>
      <c r="U695" s="1">
        <v>8035.96</v>
      </c>
      <c r="V695" s="3">
        <f>IF(T695=0,"",X695/T695)</f>
        <v>0.32053220112938835</v>
      </c>
      <c r="W695" s="1">
        <v>3790.88</v>
      </c>
      <c r="X695" s="1">
        <f>T695-U695</f>
        <v>3790.884500000001</v>
      </c>
      <c r="Y695" s="1" t="s">
        <v>40</v>
      </c>
      <c r="Z695" s="1" t="s">
        <v>41</v>
      </c>
      <c r="AA695" s="1">
        <f t="shared" si="50"/>
        <v>245</v>
      </c>
      <c r="AB695" s="2" t="str">
        <f t="shared" si="54"/>
        <v>Clean</v>
      </c>
      <c r="AC695" s="2"/>
    </row>
    <row r="696" spans="1:29">
      <c r="A696" s="1" t="s">
        <v>2160</v>
      </c>
      <c r="B696" s="2">
        <v>45665</v>
      </c>
      <c r="C696" s="2" t="str">
        <f t="shared" si="51"/>
        <v>January</v>
      </c>
      <c r="D696" s="1">
        <f t="shared" si="52"/>
        <v>2025</v>
      </c>
      <c r="E696" s="2">
        <v>45908</v>
      </c>
      <c r="F696" s="1" t="s">
        <v>1136</v>
      </c>
      <c r="G696" s="1" t="s">
        <v>55</v>
      </c>
      <c r="H696" s="1" t="s">
        <v>32</v>
      </c>
      <c r="I696" s="1" t="s">
        <v>62</v>
      </c>
      <c r="J696" s="1" t="s">
        <v>92</v>
      </c>
      <c r="K696" s="1" t="s">
        <v>93</v>
      </c>
      <c r="L696" s="1" t="s">
        <v>36</v>
      </c>
      <c r="M696" s="1" t="s">
        <v>132</v>
      </c>
      <c r="N696" s="1" t="s">
        <v>2161</v>
      </c>
      <c r="O696" s="1" t="s">
        <v>58</v>
      </c>
      <c r="P696" s="1">
        <v>5</v>
      </c>
      <c r="Q696" s="1">
        <v>2736.24</v>
      </c>
      <c r="R696" s="1">
        <v>0.15</v>
      </c>
      <c r="S696" s="1">
        <v>11629.02</v>
      </c>
      <c r="T696" s="1">
        <f t="shared" si="53"/>
        <v>11629.019999999999</v>
      </c>
      <c r="U696" s="1">
        <v>9627.2099999999991</v>
      </c>
      <c r="V696" s="3">
        <f>IF(T696=0,"",X696/T696)</f>
        <v>0.17213918283741877</v>
      </c>
      <c r="W696" s="1">
        <v>2001.81</v>
      </c>
      <c r="X696" s="1">
        <f>T696-U696</f>
        <v>2001.8099999999995</v>
      </c>
      <c r="Y696" s="1" t="s">
        <v>40</v>
      </c>
      <c r="Z696" s="1" t="s">
        <v>41</v>
      </c>
      <c r="AA696" s="1">
        <f t="shared" si="50"/>
        <v>243</v>
      </c>
      <c r="AB696" s="2" t="str">
        <f t="shared" si="54"/>
        <v>Clean</v>
      </c>
      <c r="AC696" s="2"/>
    </row>
    <row r="697" spans="1:29">
      <c r="A697" s="1" t="s">
        <v>2162</v>
      </c>
      <c r="B697" s="2">
        <v>45298</v>
      </c>
      <c r="C697" s="2" t="str">
        <f t="shared" si="51"/>
        <v>January</v>
      </c>
      <c r="D697" s="1">
        <f t="shared" si="52"/>
        <v>2024</v>
      </c>
      <c r="E697" s="2">
        <v>45298</v>
      </c>
      <c r="F697" s="1" t="s">
        <v>2163</v>
      </c>
      <c r="G697" s="1" t="s">
        <v>136</v>
      </c>
      <c r="H697" s="1" t="s">
        <v>32</v>
      </c>
      <c r="I697" s="1" t="s">
        <v>71</v>
      </c>
      <c r="J697" s="1" t="s">
        <v>80</v>
      </c>
      <c r="K697" s="1" t="s">
        <v>81</v>
      </c>
      <c r="L697" s="1" t="s">
        <v>82</v>
      </c>
      <c r="M697" s="1" t="s">
        <v>283</v>
      </c>
      <c r="N697" s="1" t="s">
        <v>2164</v>
      </c>
      <c r="O697" s="1" t="s">
        <v>67</v>
      </c>
      <c r="P697" s="1">
        <v>4</v>
      </c>
      <c r="Q697" s="1">
        <v>257.39</v>
      </c>
      <c r="R697" s="1">
        <v>0</v>
      </c>
      <c r="S697" s="1">
        <v>1029.56</v>
      </c>
      <c r="T697" s="1">
        <f t="shared" si="53"/>
        <v>1029.56</v>
      </c>
      <c r="U697" s="1">
        <v>626.33000000000004</v>
      </c>
      <c r="V697" s="3">
        <f>IF(T697=0,"",X697/T697)</f>
        <v>0.39165274486188267</v>
      </c>
      <c r="W697" s="1">
        <v>403.23</v>
      </c>
      <c r="X697" s="1">
        <f>T697-U697</f>
        <v>403.2299999999999</v>
      </c>
      <c r="Y697" s="1" t="s">
        <v>40</v>
      </c>
      <c r="Z697" s="1" t="s">
        <v>41</v>
      </c>
      <c r="AA697" s="1">
        <f t="shared" si="50"/>
        <v>0</v>
      </c>
      <c r="AB697" s="2" t="str">
        <f t="shared" si="54"/>
        <v>Clean</v>
      </c>
      <c r="AC697" s="2"/>
    </row>
    <row r="698" spans="1:29">
      <c r="A698" s="1" t="s">
        <v>2165</v>
      </c>
      <c r="B698" s="2">
        <v>45922</v>
      </c>
      <c r="C698" s="2" t="str">
        <f t="shared" si="51"/>
        <v>September</v>
      </c>
      <c r="D698" s="1">
        <f t="shared" si="52"/>
        <v>2025</v>
      </c>
      <c r="E698" s="2">
        <v>45925</v>
      </c>
      <c r="F698" s="1" t="s">
        <v>2166</v>
      </c>
      <c r="G698" s="1" t="s">
        <v>55</v>
      </c>
      <c r="H698" s="1" t="s">
        <v>45</v>
      </c>
      <c r="I698" s="1" t="s">
        <v>62</v>
      </c>
      <c r="J698" s="1" t="s">
        <v>193</v>
      </c>
      <c r="K698" s="1" t="s">
        <v>194</v>
      </c>
      <c r="L698" s="1" t="s">
        <v>82</v>
      </c>
      <c r="M698" s="1" t="s">
        <v>179</v>
      </c>
      <c r="N698" s="1" t="s">
        <v>2167</v>
      </c>
      <c r="O698" s="1" t="s">
        <v>213</v>
      </c>
      <c r="P698" s="1">
        <v>4</v>
      </c>
      <c r="Q698" s="1">
        <v>1178.8399999999999</v>
      </c>
      <c r="R698" s="1">
        <v>0.25</v>
      </c>
      <c r="S698" s="1">
        <v>3536.52</v>
      </c>
      <c r="T698" s="1">
        <f t="shared" si="53"/>
        <v>3536.5199999999995</v>
      </c>
      <c r="U698" s="1">
        <v>2102.41</v>
      </c>
      <c r="V698" s="3">
        <f>IF(T698=0,"",X698/T698)</f>
        <v>0.40551446054313278</v>
      </c>
      <c r="W698" s="1">
        <v>1363.28</v>
      </c>
      <c r="X698" s="1">
        <f>T698-U698</f>
        <v>1434.1099999999997</v>
      </c>
      <c r="Y698" s="1" t="s">
        <v>40</v>
      </c>
      <c r="Z698" s="1" t="s">
        <v>41</v>
      </c>
      <c r="AA698" s="1">
        <f t="shared" si="50"/>
        <v>3</v>
      </c>
      <c r="AB698" s="2" t="str">
        <f t="shared" si="54"/>
        <v>Warning</v>
      </c>
      <c r="AC698" s="2"/>
    </row>
    <row r="699" spans="1:29">
      <c r="A699" s="1" t="s">
        <v>2168</v>
      </c>
      <c r="B699" s="2">
        <v>45717</v>
      </c>
      <c r="C699" s="2" t="str">
        <f t="shared" si="51"/>
        <v>March</v>
      </c>
      <c r="D699" s="1">
        <f t="shared" si="52"/>
        <v>2025</v>
      </c>
      <c r="E699" s="2">
        <v>45841</v>
      </c>
      <c r="F699" s="1" t="s">
        <v>2169</v>
      </c>
      <c r="G699" s="1" t="s">
        <v>61</v>
      </c>
      <c r="H699" s="1" t="s">
        <v>98</v>
      </c>
      <c r="I699" s="1" t="s">
        <v>62</v>
      </c>
      <c r="J699" s="1" t="s">
        <v>92</v>
      </c>
      <c r="K699" s="1" t="s">
        <v>93</v>
      </c>
      <c r="L699" s="1" t="s">
        <v>36</v>
      </c>
      <c r="M699" s="1" t="s">
        <v>99</v>
      </c>
      <c r="N699" s="1" t="s">
        <v>2170</v>
      </c>
      <c r="O699" s="1" t="s">
        <v>58</v>
      </c>
      <c r="P699" s="1">
        <v>7</v>
      </c>
      <c r="Q699" s="1">
        <v>567.15</v>
      </c>
      <c r="R699" s="1">
        <v>0</v>
      </c>
      <c r="S699" s="1">
        <v>2977.54</v>
      </c>
      <c r="T699" s="1">
        <f t="shared" si="53"/>
        <v>3970.0499999999997</v>
      </c>
      <c r="U699" s="1">
        <v>1849.3</v>
      </c>
      <c r="V699" s="3">
        <f>IF(T699=0,"",X699/T699)</f>
        <v>0.53418722686112274</v>
      </c>
      <c r="W699" s="1">
        <v>1128.24</v>
      </c>
      <c r="X699" s="1">
        <f>T699-U699</f>
        <v>2120.75</v>
      </c>
      <c r="Y699" s="1" t="s">
        <v>110</v>
      </c>
      <c r="Z699" s="1" t="s">
        <v>111</v>
      </c>
      <c r="AA699" s="1">
        <f t="shared" si="50"/>
        <v>124</v>
      </c>
      <c r="AB699" s="2" t="str">
        <f t="shared" si="54"/>
        <v>Clean</v>
      </c>
      <c r="AC699" s="2"/>
    </row>
    <row r="700" spans="1:29">
      <c r="A700" s="1" t="s">
        <v>2171</v>
      </c>
      <c r="B700" s="2">
        <v>45549</v>
      </c>
      <c r="C700" s="2" t="str">
        <f t="shared" si="51"/>
        <v>September</v>
      </c>
      <c r="D700" s="1">
        <f t="shared" si="52"/>
        <v>2024</v>
      </c>
      <c r="E700" s="2">
        <v>45549</v>
      </c>
      <c r="F700" s="1" t="s">
        <v>2172</v>
      </c>
      <c r="G700" s="1" t="s">
        <v>44</v>
      </c>
      <c r="H700" s="1" t="s">
        <v>98</v>
      </c>
      <c r="I700" s="1" t="s">
        <v>33</v>
      </c>
      <c r="J700" s="1" t="s">
        <v>34</v>
      </c>
      <c r="K700" s="1" t="s">
        <v>35</v>
      </c>
      <c r="L700" s="1" t="s">
        <v>82</v>
      </c>
      <c r="M700" s="1" t="s">
        <v>283</v>
      </c>
      <c r="N700" s="1" t="s">
        <v>2173</v>
      </c>
      <c r="O700" s="1" t="s">
        <v>67</v>
      </c>
      <c r="P700" s="1">
        <v>8</v>
      </c>
      <c r="Q700" s="1">
        <v>4081.66</v>
      </c>
      <c r="R700" s="1">
        <v>0.15</v>
      </c>
      <c r="S700" s="1">
        <v>28208.1</v>
      </c>
      <c r="T700" s="1">
        <f t="shared" si="53"/>
        <v>27755.287999999997</v>
      </c>
      <c r="U700" s="1">
        <v>23751.91</v>
      </c>
      <c r="V700" s="3">
        <f>IF(T700=0,"",X700/T700)</f>
        <v>0.14423838801456493</v>
      </c>
      <c r="W700" s="1">
        <v>4003.38</v>
      </c>
      <c r="X700" s="1">
        <f>T700-U700</f>
        <v>4003.377999999997</v>
      </c>
      <c r="Y700" s="1" t="s">
        <v>40</v>
      </c>
      <c r="Z700" s="1" t="s">
        <v>111</v>
      </c>
      <c r="AA700" s="1">
        <f t="shared" si="50"/>
        <v>0</v>
      </c>
      <c r="AB700" s="2" t="str">
        <f t="shared" si="54"/>
        <v>Clean</v>
      </c>
      <c r="AC700" s="2"/>
    </row>
    <row r="701" spans="1:29">
      <c r="A701" s="1" t="s">
        <v>2174</v>
      </c>
      <c r="B701" s="2">
        <v>45602</v>
      </c>
      <c r="C701" s="2" t="str">
        <f t="shared" si="51"/>
        <v>November</v>
      </c>
      <c r="D701" s="1">
        <f t="shared" si="52"/>
        <v>2024</v>
      </c>
      <c r="E701" s="2">
        <v>45602</v>
      </c>
      <c r="F701" s="1" t="s">
        <v>2175</v>
      </c>
      <c r="G701" s="1" t="s">
        <v>61</v>
      </c>
      <c r="H701" s="1" t="s">
        <v>45</v>
      </c>
      <c r="I701" s="1" t="s">
        <v>62</v>
      </c>
      <c r="J701" s="1" t="s">
        <v>183</v>
      </c>
      <c r="K701" s="1" t="s">
        <v>184</v>
      </c>
      <c r="L701" s="1" t="s">
        <v>49</v>
      </c>
      <c r="M701" s="1" t="s">
        <v>166</v>
      </c>
      <c r="N701" s="1" t="s">
        <v>2176</v>
      </c>
      <c r="O701" s="1" t="s">
        <v>67</v>
      </c>
      <c r="P701" s="1">
        <v>9</v>
      </c>
      <c r="Q701" s="1">
        <v>1400.11</v>
      </c>
      <c r="R701" s="1">
        <v>0.25</v>
      </c>
      <c r="S701" s="1">
        <v>9450.74</v>
      </c>
      <c r="T701" s="1">
        <f t="shared" si="53"/>
        <v>9450.7425000000003</v>
      </c>
      <c r="U701" s="1">
        <v>7798.56</v>
      </c>
      <c r="V701" s="3">
        <f>IF(T701=0,"",X701/T701)</f>
        <v>0.17482039109625511</v>
      </c>
      <c r="W701" s="1">
        <v>1652.18</v>
      </c>
      <c r="X701" s="1">
        <f>T701-U701</f>
        <v>1652.1824999999999</v>
      </c>
      <c r="Y701" s="1" t="s">
        <v>40</v>
      </c>
      <c r="Z701" s="1" t="s">
        <v>41</v>
      </c>
      <c r="AA701" s="1">
        <f t="shared" si="50"/>
        <v>0</v>
      </c>
      <c r="AB701" s="2" t="str">
        <f t="shared" si="54"/>
        <v>Clean</v>
      </c>
      <c r="AC701" s="2"/>
    </row>
    <row r="702" spans="1:29">
      <c r="A702" s="1" t="s">
        <v>2177</v>
      </c>
      <c r="B702" s="2">
        <v>45553</v>
      </c>
      <c r="C702" s="2" t="str">
        <f t="shared" si="51"/>
        <v>September</v>
      </c>
      <c r="D702" s="1">
        <f t="shared" si="52"/>
        <v>2024</v>
      </c>
      <c r="E702" s="2">
        <v>45556</v>
      </c>
      <c r="F702" s="1" t="s">
        <v>2178</v>
      </c>
      <c r="G702" s="1" t="s">
        <v>87</v>
      </c>
      <c r="H702" s="1" t="s">
        <v>98</v>
      </c>
      <c r="I702" s="1" t="s">
        <v>46</v>
      </c>
      <c r="J702" s="1" t="s">
        <v>107</v>
      </c>
      <c r="K702" s="1" t="s">
        <v>108</v>
      </c>
      <c r="L702" s="1" t="s">
        <v>82</v>
      </c>
      <c r="M702" s="1" t="s">
        <v>283</v>
      </c>
      <c r="N702" s="1" t="s">
        <v>2179</v>
      </c>
      <c r="O702" s="1" t="s">
        <v>67</v>
      </c>
      <c r="P702" s="1">
        <v>3</v>
      </c>
      <c r="Q702" s="1">
        <v>3055.9</v>
      </c>
      <c r="R702" s="1">
        <v>0.15</v>
      </c>
      <c r="S702" s="1">
        <v>7792.55</v>
      </c>
      <c r="T702" s="1">
        <f t="shared" si="53"/>
        <v>7792.5450000000001</v>
      </c>
      <c r="U702" s="1">
        <v>4691.7299999999996</v>
      </c>
      <c r="V702" s="3">
        <f>IF(T702=0,"",X702/T702)</f>
        <v>0.39792070498149201</v>
      </c>
      <c r="W702" s="1">
        <v>3100.82</v>
      </c>
      <c r="X702" s="1">
        <f>T702-U702</f>
        <v>3100.8150000000005</v>
      </c>
      <c r="Y702" s="1" t="s">
        <v>40</v>
      </c>
      <c r="Z702" s="1" t="s">
        <v>41</v>
      </c>
      <c r="AA702" s="1">
        <f t="shared" si="50"/>
        <v>3</v>
      </c>
      <c r="AB702" s="2" t="str">
        <f t="shared" si="54"/>
        <v>Clean</v>
      </c>
      <c r="AC702" s="2"/>
    </row>
    <row r="703" spans="1:29">
      <c r="A703" s="1" t="s">
        <v>2180</v>
      </c>
      <c r="B703" s="2">
        <v>45412</v>
      </c>
      <c r="C703" s="2" t="str">
        <f t="shared" si="51"/>
        <v>April</v>
      </c>
      <c r="D703" s="1">
        <f t="shared" si="52"/>
        <v>2024</v>
      </c>
      <c r="E703" s="2">
        <v>45387</v>
      </c>
      <c r="F703" s="1" t="s">
        <v>2181</v>
      </c>
      <c r="G703" s="1" t="s">
        <v>149</v>
      </c>
      <c r="H703" s="1" t="s">
        <v>45</v>
      </c>
      <c r="I703" s="1" t="s">
        <v>71</v>
      </c>
      <c r="J703" s="1" t="s">
        <v>188</v>
      </c>
      <c r="K703" s="1" t="s">
        <v>189</v>
      </c>
      <c r="L703" s="1" t="s">
        <v>36</v>
      </c>
      <c r="M703" s="1" t="s">
        <v>56</v>
      </c>
      <c r="N703" s="1" t="s">
        <v>2182</v>
      </c>
      <c r="O703" s="1" t="s">
        <v>52</v>
      </c>
      <c r="P703" s="1">
        <v>7</v>
      </c>
      <c r="Q703" s="1">
        <v>1224.94</v>
      </c>
      <c r="R703" s="1">
        <v>0</v>
      </c>
      <c r="S703" s="1">
        <v>8574.58</v>
      </c>
      <c r="T703" s="1">
        <f t="shared" si="53"/>
        <v>8574.58</v>
      </c>
      <c r="U703" s="1">
        <v>6685.81</v>
      </c>
      <c r="V703" s="3">
        <f>IF(T703=0,"",X703/T703)</f>
        <v>0.22027551203674112</v>
      </c>
      <c r="W703" s="1">
        <v>1888.77</v>
      </c>
      <c r="X703" s="1">
        <f>T703-U703</f>
        <v>1888.7699999999995</v>
      </c>
      <c r="Y703" s="1" t="s">
        <v>40</v>
      </c>
      <c r="Z703" s="1" t="s">
        <v>111</v>
      </c>
      <c r="AA703" s="4">
        <f t="shared" si="50"/>
        <v>-25</v>
      </c>
      <c r="AB703" s="2" t="str">
        <f t="shared" si="54"/>
        <v>Invalid</v>
      </c>
      <c r="AC703" s="2"/>
    </row>
    <row r="704" spans="1:29">
      <c r="A704" s="1" t="s">
        <v>2183</v>
      </c>
      <c r="B704" s="2">
        <v>45690</v>
      </c>
      <c r="C704" s="2" t="str">
        <f t="shared" si="51"/>
        <v>February</v>
      </c>
      <c r="D704" s="1">
        <f t="shared" si="52"/>
        <v>2025</v>
      </c>
      <c r="E704" s="2">
        <v>45694</v>
      </c>
      <c r="F704" s="1" t="s">
        <v>2184</v>
      </c>
      <c r="G704" s="1" t="s">
        <v>31</v>
      </c>
      <c r="H704" s="1" t="s">
        <v>45</v>
      </c>
      <c r="I704" s="1" t="s">
        <v>71</v>
      </c>
      <c r="J704" s="1" t="s">
        <v>34</v>
      </c>
      <c r="K704" s="1" t="s">
        <v>117</v>
      </c>
      <c r="L704" s="1" t="s">
        <v>49</v>
      </c>
      <c r="M704" s="1" t="s">
        <v>50</v>
      </c>
      <c r="N704" s="1" t="s">
        <v>2185</v>
      </c>
      <c r="O704" s="1" t="s">
        <v>39</v>
      </c>
      <c r="P704" s="1">
        <v>3</v>
      </c>
      <c r="Q704" s="1">
        <v>997.34</v>
      </c>
      <c r="R704" s="1">
        <v>0.1</v>
      </c>
      <c r="S704" s="1">
        <v>2692.82</v>
      </c>
      <c r="T704" s="1">
        <f t="shared" si="53"/>
        <v>2692.8180000000002</v>
      </c>
      <c r="U704" s="1">
        <v>1820.08</v>
      </c>
      <c r="V704" s="3">
        <f>IF(T704=0,"",X704/T704)</f>
        <v>0.32409839803506968</v>
      </c>
      <c r="W704" s="1">
        <v>872.74</v>
      </c>
      <c r="X704" s="1">
        <f>T704-U704</f>
        <v>872.73800000000028</v>
      </c>
      <c r="Y704" s="1" t="s">
        <v>40</v>
      </c>
      <c r="Z704" s="1" t="s">
        <v>41</v>
      </c>
      <c r="AA704" s="1">
        <f t="shared" si="50"/>
        <v>4</v>
      </c>
      <c r="AB704" s="2" t="str">
        <f t="shared" si="54"/>
        <v>Clean</v>
      </c>
      <c r="AC704" s="2"/>
    </row>
    <row r="705" spans="1:29">
      <c r="A705" s="1" t="s">
        <v>2186</v>
      </c>
      <c r="B705" s="2">
        <v>45584</v>
      </c>
      <c r="C705" s="2" t="str">
        <f t="shared" si="51"/>
        <v>October</v>
      </c>
      <c r="D705" s="1">
        <f t="shared" si="52"/>
        <v>2024</v>
      </c>
      <c r="E705" s="2">
        <v>45585</v>
      </c>
      <c r="F705" s="1" t="s">
        <v>2187</v>
      </c>
      <c r="G705" s="1" t="s">
        <v>97</v>
      </c>
      <c r="H705" s="1" t="s">
        <v>98</v>
      </c>
      <c r="I705" s="1" t="s">
        <v>33</v>
      </c>
      <c r="J705" s="1" t="s">
        <v>34</v>
      </c>
      <c r="K705" s="1" t="s">
        <v>35</v>
      </c>
      <c r="L705" s="1" t="s">
        <v>49</v>
      </c>
      <c r="M705" s="1" t="s">
        <v>50</v>
      </c>
      <c r="N705" s="1" t="s">
        <v>2188</v>
      </c>
      <c r="O705" s="1" t="s">
        <v>58</v>
      </c>
      <c r="P705" s="1">
        <v>1</v>
      </c>
      <c r="Q705" s="1">
        <v>1150.03</v>
      </c>
      <c r="R705" s="1">
        <v>0.1</v>
      </c>
      <c r="S705" s="1">
        <v>1035.03</v>
      </c>
      <c r="T705" s="1">
        <f t="shared" si="53"/>
        <v>1035.027</v>
      </c>
      <c r="U705" s="1">
        <v>854.35</v>
      </c>
      <c r="V705" s="3">
        <f>IF(T705=0,"",X705/T705)</f>
        <v>0.1745625959516032</v>
      </c>
      <c r="W705" s="1">
        <v>180.68</v>
      </c>
      <c r="X705" s="1">
        <f>T705-U705</f>
        <v>180.67700000000002</v>
      </c>
      <c r="Y705" s="1" t="s">
        <v>40</v>
      </c>
      <c r="Z705" s="1" t="s">
        <v>41</v>
      </c>
      <c r="AA705" s="1">
        <f t="shared" si="50"/>
        <v>1</v>
      </c>
      <c r="AB705" s="2" t="str">
        <f t="shared" si="54"/>
        <v>Clean</v>
      </c>
      <c r="AC705" s="2"/>
    </row>
    <row r="706" spans="1:29">
      <c r="A706" s="1" t="s">
        <v>2189</v>
      </c>
      <c r="B706" s="2">
        <v>45364</v>
      </c>
      <c r="C706" s="2" t="str">
        <f t="shared" si="51"/>
        <v>March</v>
      </c>
      <c r="D706" s="1">
        <f t="shared" si="52"/>
        <v>2024</v>
      </c>
      <c r="E706" s="2">
        <v>45371</v>
      </c>
      <c r="F706" s="1" t="s">
        <v>2190</v>
      </c>
      <c r="G706" s="1" t="s">
        <v>122</v>
      </c>
      <c r="H706" s="1" t="s">
        <v>103</v>
      </c>
      <c r="I706" s="1" t="s">
        <v>62</v>
      </c>
      <c r="J706" s="1" t="s">
        <v>256</v>
      </c>
      <c r="K706" s="1" t="s">
        <v>257</v>
      </c>
      <c r="L706" s="1" t="s">
        <v>49</v>
      </c>
      <c r="M706" s="1" t="s">
        <v>166</v>
      </c>
      <c r="N706" s="1" t="s">
        <v>2191</v>
      </c>
      <c r="O706" s="1" t="s">
        <v>213</v>
      </c>
      <c r="P706" s="1">
        <v>1</v>
      </c>
      <c r="Q706" s="1">
        <v>2825.63</v>
      </c>
      <c r="R706" s="1">
        <v>0.15</v>
      </c>
      <c r="S706" s="1">
        <v>2401.79</v>
      </c>
      <c r="T706" s="1">
        <f t="shared" si="53"/>
        <v>2401.7855</v>
      </c>
      <c r="U706" s="1">
        <v>1820.34</v>
      </c>
      <c r="V706" s="3">
        <f>IF(T706=0,"",X706/T706)</f>
        <v>0.24208885431276025</v>
      </c>
      <c r="W706" s="1">
        <v>581.45000000000005</v>
      </c>
      <c r="X706" s="1">
        <f>T706-U706</f>
        <v>581.44550000000004</v>
      </c>
      <c r="Y706" s="1" t="s">
        <v>40</v>
      </c>
      <c r="Z706" s="1" t="s">
        <v>41</v>
      </c>
      <c r="AA706" s="1">
        <f t="shared" ref="AA706:AA769" si="55">E706-B706</f>
        <v>7</v>
      </c>
      <c r="AB706" s="2" t="str">
        <f t="shared" si="54"/>
        <v>Warning</v>
      </c>
      <c r="AC706" s="2"/>
    </row>
    <row r="707" spans="1:29">
      <c r="A707" s="1" t="s">
        <v>2192</v>
      </c>
      <c r="B707" s="2">
        <v>45513</v>
      </c>
      <c r="C707" s="2" t="str">
        <f t="shared" ref="C707:C770" si="56">TEXT(B707,"mmmm")</f>
        <v>August</v>
      </c>
      <c r="D707" s="1">
        <f t="shared" ref="D707:D770" si="57">YEAR(B707)</f>
        <v>2024</v>
      </c>
      <c r="E707" s="2">
        <v>45549</v>
      </c>
      <c r="F707" s="1" t="s">
        <v>2193</v>
      </c>
      <c r="G707" s="1" t="s">
        <v>149</v>
      </c>
      <c r="H707" s="1" t="s">
        <v>32</v>
      </c>
      <c r="I707" s="1" t="s">
        <v>33</v>
      </c>
      <c r="J707" s="1" t="s">
        <v>34</v>
      </c>
      <c r="K707" s="1" t="s">
        <v>35</v>
      </c>
      <c r="L707" s="1" t="s">
        <v>36</v>
      </c>
      <c r="M707" s="1" t="s">
        <v>161</v>
      </c>
      <c r="N707" s="1" t="s">
        <v>2194</v>
      </c>
      <c r="O707" s="1" t="s">
        <v>67</v>
      </c>
      <c r="P707" s="1">
        <v>5</v>
      </c>
      <c r="Q707" s="1">
        <v>3371.75</v>
      </c>
      <c r="R707" s="1">
        <v>0.05</v>
      </c>
      <c r="S707" s="1">
        <v>16015.81</v>
      </c>
      <c r="T707" s="1">
        <f t="shared" ref="T707:T770" si="58">P707*Q707*(1-R707)</f>
        <v>16015.8125</v>
      </c>
      <c r="U707" s="1">
        <v>11352.38</v>
      </c>
      <c r="V707" s="3">
        <f>IF(T707=0,"",X707/T707)</f>
        <v>0.29117676671102394</v>
      </c>
      <c r="W707" s="1">
        <v>4663.43</v>
      </c>
      <c r="X707" s="1">
        <f>T707-U707</f>
        <v>4663.4325000000008</v>
      </c>
      <c r="Y707" s="1" t="s">
        <v>40</v>
      </c>
      <c r="Z707" s="1" t="s">
        <v>41</v>
      </c>
      <c r="AA707" s="1">
        <f t="shared" si="55"/>
        <v>36</v>
      </c>
      <c r="AB707" s="2" t="str">
        <f t="shared" ref="AB707:AB770" si="59">IF(OR(AA707&lt;0,R707&lt;0),"Invalid",IF(OR(I707="Unknown",O707="Unknown"),"Warning","Clean"))</f>
        <v>Clean</v>
      </c>
      <c r="AC707" s="2"/>
    </row>
    <row r="708" spans="1:29">
      <c r="A708" s="1" t="s">
        <v>2195</v>
      </c>
      <c r="B708" s="2">
        <v>45467</v>
      </c>
      <c r="C708" s="2" t="str">
        <f t="shared" si="56"/>
        <v>June</v>
      </c>
      <c r="D708" s="1">
        <f t="shared" si="57"/>
        <v>2024</v>
      </c>
      <c r="E708" s="2">
        <v>45471</v>
      </c>
      <c r="F708" s="1" t="s">
        <v>2196</v>
      </c>
      <c r="G708" s="1" t="s">
        <v>55</v>
      </c>
      <c r="H708" s="1" t="s">
        <v>45</v>
      </c>
      <c r="I708" s="1" t="s">
        <v>46</v>
      </c>
      <c r="J708" s="1" t="s">
        <v>47</v>
      </c>
      <c r="K708" s="1" t="s">
        <v>48</v>
      </c>
      <c r="L708" s="1" t="s">
        <v>36</v>
      </c>
      <c r="M708" s="1" t="s">
        <v>37</v>
      </c>
      <c r="N708" s="1" t="s">
        <v>2197</v>
      </c>
      <c r="O708" s="1" t="s">
        <v>52</v>
      </c>
      <c r="P708" s="1">
        <v>1</v>
      </c>
      <c r="Q708" s="1">
        <v>2112.75</v>
      </c>
      <c r="R708" s="1">
        <v>0.1</v>
      </c>
      <c r="S708" s="1">
        <v>1901.48</v>
      </c>
      <c r="T708" s="1">
        <f t="shared" si="58"/>
        <v>1901.4750000000001</v>
      </c>
      <c r="U708" s="1">
        <v>1354.28</v>
      </c>
      <c r="V708" s="3">
        <f>IF(T708=0,"",X708/T708)</f>
        <v>0.28777396494826391</v>
      </c>
      <c r="W708" s="1">
        <v>547.20000000000005</v>
      </c>
      <c r="X708" s="1">
        <f>T708-U708</f>
        <v>547.19500000000016</v>
      </c>
      <c r="Y708" s="1" t="s">
        <v>40</v>
      </c>
      <c r="Z708" s="1" t="s">
        <v>41</v>
      </c>
      <c r="AA708" s="1">
        <f t="shared" si="55"/>
        <v>4</v>
      </c>
      <c r="AB708" s="2" t="str">
        <f t="shared" si="59"/>
        <v>Clean</v>
      </c>
      <c r="AC708" s="2"/>
    </row>
    <row r="709" spans="1:29">
      <c r="A709" s="1" t="s">
        <v>2198</v>
      </c>
      <c r="B709" s="2">
        <v>45832</v>
      </c>
      <c r="C709" s="2" t="str">
        <f t="shared" si="56"/>
        <v>June</v>
      </c>
      <c r="D709" s="1">
        <f t="shared" si="57"/>
        <v>2025</v>
      </c>
      <c r="E709" s="2">
        <v>45834</v>
      </c>
      <c r="F709" s="1" t="s">
        <v>2199</v>
      </c>
      <c r="G709" s="1" t="s">
        <v>79</v>
      </c>
      <c r="H709" s="1" t="s">
        <v>32</v>
      </c>
      <c r="I709" s="1" t="s">
        <v>33</v>
      </c>
      <c r="J709" s="1" t="s">
        <v>34</v>
      </c>
      <c r="K709" s="1" t="s">
        <v>35</v>
      </c>
      <c r="L709" s="1" t="s">
        <v>82</v>
      </c>
      <c r="M709" s="1" t="s">
        <v>83</v>
      </c>
      <c r="N709" s="1" t="s">
        <v>2200</v>
      </c>
      <c r="O709" s="1" t="s">
        <v>52</v>
      </c>
      <c r="P709" s="1">
        <v>5</v>
      </c>
      <c r="Q709" s="1">
        <v>3722.66</v>
      </c>
      <c r="R709" s="1">
        <v>0.55000000000000004</v>
      </c>
      <c r="S709" s="1">
        <v>16751.97</v>
      </c>
      <c r="T709" s="1">
        <f t="shared" si="58"/>
        <v>8375.9849999999988</v>
      </c>
      <c r="U709" s="1">
        <v>11678.32</v>
      </c>
      <c r="V709" s="3">
        <f>IF(T709=0,"",X709/T709)</f>
        <v>-0.39426228676388525</v>
      </c>
      <c r="W709" s="1">
        <v>5073.6499999999996</v>
      </c>
      <c r="X709" s="1">
        <f>T709-U709</f>
        <v>-3302.3350000000009</v>
      </c>
      <c r="Y709" s="1" t="s">
        <v>40</v>
      </c>
      <c r="Z709" s="1" t="s">
        <v>41</v>
      </c>
      <c r="AA709" s="1">
        <f t="shared" si="55"/>
        <v>2</v>
      </c>
      <c r="AB709" s="2" t="str">
        <f t="shared" si="59"/>
        <v>Clean</v>
      </c>
      <c r="AC709" s="2"/>
    </row>
    <row r="710" spans="1:29">
      <c r="A710" s="1" t="s">
        <v>2201</v>
      </c>
      <c r="B710" s="2">
        <v>45736</v>
      </c>
      <c r="C710" s="2" t="str">
        <f t="shared" si="56"/>
        <v>March</v>
      </c>
      <c r="D710" s="1">
        <f t="shared" si="57"/>
        <v>2025</v>
      </c>
      <c r="E710" s="2">
        <v>45742</v>
      </c>
      <c r="F710" s="1" t="s">
        <v>2202</v>
      </c>
      <c r="G710" s="1" t="s">
        <v>140</v>
      </c>
      <c r="H710" s="1" t="s">
        <v>32</v>
      </c>
      <c r="I710" s="1" t="s">
        <v>46</v>
      </c>
      <c r="J710" s="1" t="s">
        <v>174</v>
      </c>
      <c r="K710" s="1" t="s">
        <v>175</v>
      </c>
      <c r="L710" s="1" t="s">
        <v>49</v>
      </c>
      <c r="M710" s="1" t="s">
        <v>166</v>
      </c>
      <c r="N710" s="1" t="s">
        <v>2203</v>
      </c>
      <c r="O710" s="1" t="s">
        <v>58</v>
      </c>
      <c r="P710" s="1">
        <v>4</v>
      </c>
      <c r="Q710" s="1">
        <v>4357.66</v>
      </c>
      <c r="R710" s="1">
        <v>0.05</v>
      </c>
      <c r="S710" s="1">
        <v>16559.11</v>
      </c>
      <c r="T710" s="1">
        <f t="shared" si="58"/>
        <v>16559.108</v>
      </c>
      <c r="U710" s="1">
        <v>13233.79</v>
      </c>
      <c r="V710" s="3">
        <f>IF(T710=0,"",X710/T710)</f>
        <v>0.20081504390212318</v>
      </c>
      <c r="W710" s="1">
        <v>3325.32</v>
      </c>
      <c r="X710" s="1">
        <f>T710-U710</f>
        <v>3325.3179999999993</v>
      </c>
      <c r="Y710" s="1" t="s">
        <v>40</v>
      </c>
      <c r="Z710" s="1" t="s">
        <v>41</v>
      </c>
      <c r="AA710" s="1">
        <f t="shared" si="55"/>
        <v>6</v>
      </c>
      <c r="AB710" s="2" t="str">
        <f t="shared" si="59"/>
        <v>Clean</v>
      </c>
      <c r="AC710" s="2"/>
    </row>
    <row r="711" spans="1:29">
      <c r="A711" s="1" t="s">
        <v>2204</v>
      </c>
      <c r="B711" s="2">
        <v>45676</v>
      </c>
      <c r="C711" s="2" t="str">
        <f t="shared" si="56"/>
        <v>January</v>
      </c>
      <c r="D711" s="1">
        <f t="shared" si="57"/>
        <v>2025</v>
      </c>
      <c r="E711" s="2">
        <v>45680</v>
      </c>
      <c r="F711" s="1" t="s">
        <v>2205</v>
      </c>
      <c r="G711" s="1" t="s">
        <v>273</v>
      </c>
      <c r="H711" s="1" t="s">
        <v>103</v>
      </c>
      <c r="I711" s="1" t="s">
        <v>33</v>
      </c>
      <c r="J711" s="1" t="s">
        <v>130</v>
      </c>
      <c r="K711" s="1" t="s">
        <v>131</v>
      </c>
      <c r="L711" s="1" t="s">
        <v>82</v>
      </c>
      <c r="M711" s="1" t="s">
        <v>179</v>
      </c>
      <c r="N711" s="1" t="s">
        <v>2206</v>
      </c>
      <c r="O711" s="1" t="s">
        <v>52</v>
      </c>
      <c r="P711" s="1">
        <v>7</v>
      </c>
      <c r="Q711" s="1">
        <v>1363.04</v>
      </c>
      <c r="R711" s="1">
        <v>0.15</v>
      </c>
      <c r="S711" s="1">
        <v>8110.09</v>
      </c>
      <c r="T711" s="1">
        <f t="shared" si="58"/>
        <v>8110.0879999999988</v>
      </c>
      <c r="U711" s="1">
        <v>6417.32</v>
      </c>
      <c r="V711" s="3">
        <f>IF(T711=0,"",X711/T711)</f>
        <v>0.2087237524426368</v>
      </c>
      <c r="W711" s="1">
        <v>1692.77</v>
      </c>
      <c r="X711" s="1">
        <f>T711-U711</f>
        <v>1692.7679999999991</v>
      </c>
      <c r="Y711" s="1" t="s">
        <v>40</v>
      </c>
      <c r="Z711" s="1" t="s">
        <v>76</v>
      </c>
      <c r="AA711" s="1">
        <f t="shared" si="55"/>
        <v>4</v>
      </c>
      <c r="AB711" s="2" t="str">
        <f t="shared" si="59"/>
        <v>Clean</v>
      </c>
      <c r="AC711" s="2"/>
    </row>
    <row r="712" spans="1:29">
      <c r="A712" s="1" t="s">
        <v>2207</v>
      </c>
      <c r="B712" s="2">
        <v>45485</v>
      </c>
      <c r="C712" s="2" t="str">
        <f t="shared" si="56"/>
        <v>July</v>
      </c>
      <c r="D712" s="1">
        <f t="shared" si="57"/>
        <v>2024</v>
      </c>
      <c r="E712" s="2">
        <v>45492</v>
      </c>
      <c r="F712" s="1" t="s">
        <v>2208</v>
      </c>
      <c r="G712" s="1" t="s">
        <v>79</v>
      </c>
      <c r="H712" s="1" t="s">
        <v>98</v>
      </c>
      <c r="I712" s="1" t="s">
        <v>33</v>
      </c>
      <c r="J712" s="1" t="s">
        <v>130</v>
      </c>
      <c r="K712" s="1" t="s">
        <v>131</v>
      </c>
      <c r="L712" s="1" t="s">
        <v>36</v>
      </c>
      <c r="M712" s="1" t="s">
        <v>56</v>
      </c>
      <c r="N712" s="1" t="s">
        <v>2209</v>
      </c>
      <c r="O712" s="1" t="s">
        <v>39</v>
      </c>
      <c r="P712" s="1">
        <v>5</v>
      </c>
      <c r="Q712" s="1">
        <v>1559.16</v>
      </c>
      <c r="R712" s="1">
        <v>0.05</v>
      </c>
      <c r="S712" s="1">
        <v>7406.01</v>
      </c>
      <c r="T712" s="1">
        <f t="shared" si="58"/>
        <v>7406.01</v>
      </c>
      <c r="U712" s="1">
        <v>5941.74</v>
      </c>
      <c r="V712" s="3">
        <f>IF(T712=0,"",X712/T712)</f>
        <v>0.19771374869869207</v>
      </c>
      <c r="W712" s="1">
        <v>1464.27</v>
      </c>
      <c r="X712" s="1">
        <f>T712-U712</f>
        <v>1464.2700000000004</v>
      </c>
      <c r="Y712" s="1" t="s">
        <v>40</v>
      </c>
      <c r="Z712" s="1" t="s">
        <v>41</v>
      </c>
      <c r="AA712" s="1">
        <f t="shared" si="55"/>
        <v>7</v>
      </c>
      <c r="AB712" s="2" t="str">
        <f t="shared" si="59"/>
        <v>Clean</v>
      </c>
      <c r="AC712" s="2"/>
    </row>
    <row r="713" spans="1:29">
      <c r="A713" s="1" t="s">
        <v>2210</v>
      </c>
      <c r="B713" s="2">
        <v>45690</v>
      </c>
      <c r="C713" s="2" t="str">
        <f t="shared" si="56"/>
        <v>February</v>
      </c>
      <c r="D713" s="1">
        <f t="shared" si="57"/>
        <v>2025</v>
      </c>
      <c r="E713" s="2">
        <v>45690</v>
      </c>
      <c r="F713" s="1" t="s">
        <v>2211</v>
      </c>
      <c r="G713" s="1" t="s">
        <v>273</v>
      </c>
      <c r="H713" s="1" t="s">
        <v>98</v>
      </c>
      <c r="I713" s="1" t="s">
        <v>46</v>
      </c>
      <c r="J713" s="1" t="s">
        <v>107</v>
      </c>
      <c r="K713" s="1" t="s">
        <v>108</v>
      </c>
      <c r="L713" s="1" t="s">
        <v>82</v>
      </c>
      <c r="M713" s="1" t="s">
        <v>283</v>
      </c>
      <c r="N713" s="1" t="s">
        <v>2212</v>
      </c>
      <c r="O713" s="1" t="s">
        <v>58</v>
      </c>
      <c r="P713" s="1">
        <v>1</v>
      </c>
      <c r="Q713" s="1">
        <v>4326.75</v>
      </c>
      <c r="R713" s="1">
        <v>0.05</v>
      </c>
      <c r="S713" s="1">
        <v>4110.41</v>
      </c>
      <c r="T713" s="1">
        <f t="shared" si="58"/>
        <v>4110.4124999999995</v>
      </c>
      <c r="U713" s="1">
        <v>2394.14</v>
      </c>
      <c r="V713" s="3">
        <f>IF(T713=0,"",X713/T713)</f>
        <v>0.41754264322619683</v>
      </c>
      <c r="W713" s="1">
        <v>1716.27</v>
      </c>
      <c r="X713" s="1">
        <f>T713-U713</f>
        <v>1716.2724999999996</v>
      </c>
      <c r="Y713" s="1" t="s">
        <v>119</v>
      </c>
      <c r="Z713" s="1" t="s">
        <v>111</v>
      </c>
      <c r="AA713" s="1">
        <f t="shared" si="55"/>
        <v>0</v>
      </c>
      <c r="AB713" s="2" t="str">
        <f t="shared" si="59"/>
        <v>Clean</v>
      </c>
      <c r="AC713" s="2"/>
    </row>
    <row r="714" spans="1:29">
      <c r="A714" s="1" t="s">
        <v>2213</v>
      </c>
      <c r="B714" s="2">
        <v>45567</v>
      </c>
      <c r="C714" s="2" t="str">
        <f t="shared" si="56"/>
        <v>October</v>
      </c>
      <c r="D714" s="1">
        <f t="shared" si="57"/>
        <v>2024</v>
      </c>
      <c r="E714" s="2">
        <v>45340</v>
      </c>
      <c r="F714" s="1" t="s">
        <v>2214</v>
      </c>
      <c r="G714" s="1" t="s">
        <v>55</v>
      </c>
      <c r="H714" s="1" t="s">
        <v>103</v>
      </c>
      <c r="I714" s="1" t="s">
        <v>71</v>
      </c>
      <c r="J714" s="1" t="s">
        <v>80</v>
      </c>
      <c r="K714" s="1" t="s">
        <v>81</v>
      </c>
      <c r="L714" s="1" t="s">
        <v>49</v>
      </c>
      <c r="M714" s="1" t="s">
        <v>74</v>
      </c>
      <c r="N714" s="1" t="s">
        <v>2215</v>
      </c>
      <c r="O714" s="1" t="s">
        <v>58</v>
      </c>
      <c r="P714" s="1">
        <v>7</v>
      </c>
      <c r="Q714" s="1">
        <v>1382.86</v>
      </c>
      <c r="R714" s="1">
        <v>0</v>
      </c>
      <c r="S714" s="1">
        <v>9680.02</v>
      </c>
      <c r="T714" s="1">
        <f t="shared" si="58"/>
        <v>9680.0199999999986</v>
      </c>
      <c r="U714" s="1">
        <v>6876.66</v>
      </c>
      <c r="V714" s="3">
        <f>IF(T714=0,"",X714/T714)</f>
        <v>0.28960270743242256</v>
      </c>
      <c r="W714" s="1">
        <v>2803.36</v>
      </c>
      <c r="X714" s="1">
        <f>T714-U714</f>
        <v>2803.3599999999988</v>
      </c>
      <c r="Y714" s="1" t="s">
        <v>40</v>
      </c>
      <c r="Z714" s="1" t="s">
        <v>41</v>
      </c>
      <c r="AA714" s="4">
        <f t="shared" si="55"/>
        <v>-227</v>
      </c>
      <c r="AB714" s="2" t="str">
        <f t="shared" si="59"/>
        <v>Invalid</v>
      </c>
      <c r="AC714" s="2"/>
    </row>
    <row r="715" spans="1:29">
      <c r="A715" s="1" t="s">
        <v>2216</v>
      </c>
      <c r="B715" s="2">
        <v>45814</v>
      </c>
      <c r="C715" s="2" t="str">
        <f t="shared" si="56"/>
        <v>June</v>
      </c>
      <c r="D715" s="1">
        <f t="shared" si="57"/>
        <v>2025</v>
      </c>
      <c r="E715" s="2">
        <v>45818</v>
      </c>
      <c r="F715" s="1" t="s">
        <v>606</v>
      </c>
      <c r="G715" s="1" t="s">
        <v>44</v>
      </c>
      <c r="H715" s="1" t="s">
        <v>32</v>
      </c>
      <c r="I715" s="1" t="s">
        <v>71</v>
      </c>
      <c r="J715" s="1" t="s">
        <v>34</v>
      </c>
      <c r="K715" s="1" t="s">
        <v>117</v>
      </c>
      <c r="L715" s="1" t="s">
        <v>82</v>
      </c>
      <c r="M715" s="1" t="s">
        <v>283</v>
      </c>
      <c r="N715" s="1" t="s">
        <v>2217</v>
      </c>
      <c r="O715" s="1" t="s">
        <v>39</v>
      </c>
      <c r="P715" s="1">
        <v>1</v>
      </c>
      <c r="Q715" s="1">
        <v>289.97000000000003</v>
      </c>
      <c r="R715" s="1">
        <v>0.25</v>
      </c>
      <c r="S715" s="1">
        <v>217.48</v>
      </c>
      <c r="T715" s="1">
        <f t="shared" si="58"/>
        <v>217.47750000000002</v>
      </c>
      <c r="U715" s="1">
        <v>132.13</v>
      </c>
      <c r="V715" s="3">
        <f>IF(T715=0,"",X715/T715)</f>
        <v>0.39244289639158081</v>
      </c>
      <c r="W715" s="1">
        <v>85.35</v>
      </c>
      <c r="X715" s="1">
        <f>T715-U715</f>
        <v>85.347500000000025</v>
      </c>
      <c r="Y715" s="1" t="s">
        <v>40</v>
      </c>
      <c r="Z715" s="1" t="s">
        <v>41</v>
      </c>
      <c r="AA715" s="1">
        <f t="shared" si="55"/>
        <v>4</v>
      </c>
      <c r="AB715" s="2" t="str">
        <f t="shared" si="59"/>
        <v>Clean</v>
      </c>
      <c r="AC715" s="2"/>
    </row>
    <row r="716" spans="1:29">
      <c r="A716" s="1" t="s">
        <v>2218</v>
      </c>
      <c r="B716" s="2">
        <v>45738</v>
      </c>
      <c r="C716" s="2" t="str">
        <f t="shared" si="56"/>
        <v>March</v>
      </c>
      <c r="D716" s="1">
        <f t="shared" si="57"/>
        <v>2025</v>
      </c>
      <c r="E716" s="2">
        <v>45739</v>
      </c>
      <c r="F716" s="1" t="s">
        <v>2219</v>
      </c>
      <c r="G716" s="1" t="s">
        <v>31</v>
      </c>
      <c r="H716" s="1" t="s">
        <v>103</v>
      </c>
      <c r="I716" s="1" t="s">
        <v>33</v>
      </c>
      <c r="J716" s="1" t="s">
        <v>359</v>
      </c>
      <c r="K716" s="1" t="s">
        <v>360</v>
      </c>
      <c r="L716" s="1" t="s">
        <v>82</v>
      </c>
      <c r="M716" s="1" t="s">
        <v>88</v>
      </c>
      <c r="N716" s="1" t="s">
        <v>2220</v>
      </c>
      <c r="O716" s="1" t="s">
        <v>67</v>
      </c>
      <c r="P716" s="1">
        <v>9</v>
      </c>
      <c r="Q716" s="1">
        <v>2075.02</v>
      </c>
      <c r="R716" s="1">
        <v>0</v>
      </c>
      <c r="S716" s="1">
        <v>18675.18</v>
      </c>
      <c r="T716" s="1">
        <f t="shared" si="58"/>
        <v>18675.18</v>
      </c>
      <c r="U716" s="1">
        <v>13974.7</v>
      </c>
      <c r="V716" s="3">
        <f>IF(T716=0,"",X716/T716)</f>
        <v>0.25169663692665878</v>
      </c>
      <c r="W716" s="1">
        <v>4700.4799999999996</v>
      </c>
      <c r="X716" s="1">
        <f>T716-U716</f>
        <v>4700.4799999999996</v>
      </c>
      <c r="Y716" s="1" t="s">
        <v>40</v>
      </c>
      <c r="Z716" s="1" t="s">
        <v>41</v>
      </c>
      <c r="AA716" s="1">
        <f t="shared" si="55"/>
        <v>1</v>
      </c>
      <c r="AB716" s="2" t="str">
        <f t="shared" si="59"/>
        <v>Clean</v>
      </c>
      <c r="AC716" s="2"/>
    </row>
    <row r="717" spans="1:29">
      <c r="A717" s="1" t="s">
        <v>2221</v>
      </c>
      <c r="B717" s="2">
        <v>45891</v>
      </c>
      <c r="C717" s="2" t="str">
        <f t="shared" si="56"/>
        <v>August</v>
      </c>
      <c r="D717" s="1">
        <f t="shared" si="57"/>
        <v>2025</v>
      </c>
      <c r="E717" s="2">
        <v>45896</v>
      </c>
      <c r="F717" s="1" t="s">
        <v>2222</v>
      </c>
      <c r="G717" s="1" t="s">
        <v>122</v>
      </c>
      <c r="H717" s="1" t="s">
        <v>32</v>
      </c>
      <c r="I717" s="1" t="s">
        <v>33</v>
      </c>
      <c r="J717" s="1" t="s">
        <v>245</v>
      </c>
      <c r="K717" s="1" t="s">
        <v>246</v>
      </c>
      <c r="L717" s="1" t="s">
        <v>49</v>
      </c>
      <c r="M717" s="1" t="s">
        <v>74</v>
      </c>
      <c r="N717" s="1" t="s">
        <v>2223</v>
      </c>
      <c r="O717" s="1" t="s">
        <v>39</v>
      </c>
      <c r="P717" s="1">
        <v>7</v>
      </c>
      <c r="Q717" s="1">
        <v>2843.09</v>
      </c>
      <c r="R717" s="1">
        <v>0</v>
      </c>
      <c r="S717" s="1">
        <v>19901.63</v>
      </c>
      <c r="T717" s="1">
        <f t="shared" si="58"/>
        <v>19901.63</v>
      </c>
      <c r="U717" s="1">
        <v>15492.03</v>
      </c>
      <c r="V717" s="3">
        <f>IF(T717=0,"",X717/T717)</f>
        <v>0.22156979101711771</v>
      </c>
      <c r="W717" s="1">
        <v>4409.6000000000004</v>
      </c>
      <c r="X717" s="1">
        <f>T717-U717</f>
        <v>4409.6000000000004</v>
      </c>
      <c r="Y717" s="1" t="s">
        <v>110</v>
      </c>
      <c r="Z717" s="1" t="s">
        <v>76</v>
      </c>
      <c r="AA717" s="1">
        <f t="shared" si="55"/>
        <v>5</v>
      </c>
      <c r="AB717" s="2" t="str">
        <f t="shared" si="59"/>
        <v>Clean</v>
      </c>
      <c r="AC717" s="2"/>
    </row>
    <row r="718" spans="1:29">
      <c r="A718" s="1" t="s">
        <v>2224</v>
      </c>
      <c r="B718" s="2">
        <v>45895</v>
      </c>
      <c r="C718" s="2" t="str">
        <f t="shared" si="56"/>
        <v>August</v>
      </c>
      <c r="D718" s="1">
        <f t="shared" si="57"/>
        <v>2025</v>
      </c>
      <c r="E718" s="2">
        <v>45900</v>
      </c>
      <c r="F718" s="1" t="s">
        <v>2225</v>
      </c>
      <c r="G718" s="1" t="s">
        <v>170</v>
      </c>
      <c r="H718" s="1" t="s">
        <v>45</v>
      </c>
      <c r="I718" s="1" t="s">
        <v>33</v>
      </c>
      <c r="J718" s="1" t="s">
        <v>245</v>
      </c>
      <c r="K718" s="1" t="s">
        <v>246</v>
      </c>
      <c r="L718" s="1" t="s">
        <v>82</v>
      </c>
      <c r="M718" s="1" t="s">
        <v>179</v>
      </c>
      <c r="N718" s="1" t="s">
        <v>2226</v>
      </c>
      <c r="O718" s="1" t="s">
        <v>58</v>
      </c>
      <c r="P718" s="1">
        <v>1</v>
      </c>
      <c r="Q718" s="1">
        <v>3388.02</v>
      </c>
      <c r="R718" s="1">
        <v>0.15</v>
      </c>
      <c r="S718" s="1">
        <v>2879.82</v>
      </c>
      <c r="T718" s="1">
        <f t="shared" si="58"/>
        <v>2879.817</v>
      </c>
      <c r="U718" s="1">
        <v>1824.88</v>
      </c>
      <c r="V718" s="3">
        <f>IF(T718=0,"",X718/T718)</f>
        <v>0.3663208460815392</v>
      </c>
      <c r="W718" s="1">
        <v>1054.94</v>
      </c>
      <c r="X718" s="1">
        <f>T718-U718</f>
        <v>1054.9369999999999</v>
      </c>
      <c r="Y718" s="1" t="s">
        <v>40</v>
      </c>
      <c r="Z718" s="1" t="s">
        <v>41</v>
      </c>
      <c r="AA718" s="1">
        <f t="shared" si="55"/>
        <v>5</v>
      </c>
      <c r="AB718" s="2" t="str">
        <f t="shared" si="59"/>
        <v>Clean</v>
      </c>
      <c r="AC718" s="2"/>
    </row>
    <row r="719" spans="1:29">
      <c r="A719" s="1" t="s">
        <v>2227</v>
      </c>
      <c r="B719" s="2">
        <v>46001</v>
      </c>
      <c r="C719" s="2" t="str">
        <f t="shared" si="56"/>
        <v>December</v>
      </c>
      <c r="D719" s="1">
        <f t="shared" si="57"/>
        <v>2025</v>
      </c>
      <c r="E719" s="2">
        <v>45945</v>
      </c>
      <c r="F719" s="1" t="s">
        <v>2228</v>
      </c>
      <c r="G719" s="1" t="s">
        <v>273</v>
      </c>
      <c r="H719" s="1" t="s">
        <v>45</v>
      </c>
      <c r="I719" s="1" t="s">
        <v>33</v>
      </c>
      <c r="J719" s="1" t="s">
        <v>245</v>
      </c>
      <c r="K719" s="1" t="s">
        <v>246</v>
      </c>
      <c r="L719" s="1" t="s">
        <v>82</v>
      </c>
      <c r="M719" s="1" t="s">
        <v>283</v>
      </c>
      <c r="N719" s="1" t="s">
        <v>2229</v>
      </c>
      <c r="O719" s="1" t="s">
        <v>67</v>
      </c>
      <c r="P719" s="1">
        <v>9</v>
      </c>
      <c r="Q719" s="1">
        <v>2598.92</v>
      </c>
      <c r="R719" s="1">
        <v>0.2</v>
      </c>
      <c r="S719" s="1">
        <v>18712.22</v>
      </c>
      <c r="T719" s="1">
        <f t="shared" si="58"/>
        <v>18712.223999999998</v>
      </c>
      <c r="U719" s="1">
        <v>11852.22</v>
      </c>
      <c r="V719" s="3">
        <f>IF(T719=0,"",X719/T719)</f>
        <v>0.3666054874075898</v>
      </c>
      <c r="W719" s="1">
        <v>6860</v>
      </c>
      <c r="X719" s="1">
        <f>T719-U719</f>
        <v>6860.003999999999</v>
      </c>
      <c r="Y719" s="1" t="s">
        <v>119</v>
      </c>
      <c r="Z719" s="1" t="s">
        <v>76</v>
      </c>
      <c r="AA719" s="4">
        <f t="shared" si="55"/>
        <v>-56</v>
      </c>
      <c r="AB719" s="2" t="str">
        <f t="shared" si="59"/>
        <v>Invalid</v>
      </c>
      <c r="AC719" s="2"/>
    </row>
    <row r="720" spans="1:29">
      <c r="A720" s="1" t="s">
        <v>2230</v>
      </c>
      <c r="B720" s="2">
        <v>45452</v>
      </c>
      <c r="C720" s="2" t="str">
        <f t="shared" si="56"/>
        <v>June</v>
      </c>
      <c r="D720" s="1">
        <f t="shared" si="57"/>
        <v>2024</v>
      </c>
      <c r="E720" s="2">
        <v>45544</v>
      </c>
      <c r="F720" s="1" t="s">
        <v>2231</v>
      </c>
      <c r="G720" s="1" t="s">
        <v>44</v>
      </c>
      <c r="H720" s="1" t="s">
        <v>32</v>
      </c>
      <c r="I720" s="1" t="s">
        <v>71</v>
      </c>
      <c r="J720" s="1" t="s">
        <v>72</v>
      </c>
      <c r="K720" s="1" t="s">
        <v>73</v>
      </c>
      <c r="L720" s="1" t="s">
        <v>36</v>
      </c>
      <c r="M720" s="1" t="s">
        <v>56</v>
      </c>
      <c r="N720" s="1" t="s">
        <v>2232</v>
      </c>
      <c r="O720" s="1" t="s">
        <v>52</v>
      </c>
      <c r="P720" s="1">
        <v>3</v>
      </c>
      <c r="Q720" s="1">
        <v>1972.27</v>
      </c>
      <c r="R720" s="1">
        <v>0.2</v>
      </c>
      <c r="S720" s="1">
        <v>4733.45</v>
      </c>
      <c r="T720" s="1">
        <f t="shared" si="58"/>
        <v>4733.4479999999994</v>
      </c>
      <c r="U720" s="1">
        <v>3672.32</v>
      </c>
      <c r="V720" s="3">
        <f>IF(T720=0,"",X720/T720)</f>
        <v>0.22417654107534282</v>
      </c>
      <c r="W720" s="1">
        <v>1061.1300000000001</v>
      </c>
      <c r="X720" s="1">
        <f>T720-U720</f>
        <v>1061.1279999999992</v>
      </c>
      <c r="Y720" s="1" t="s">
        <v>40</v>
      </c>
      <c r="Z720" s="1" t="s">
        <v>41</v>
      </c>
      <c r="AA720" s="1">
        <f t="shared" si="55"/>
        <v>92</v>
      </c>
      <c r="AB720" s="2" t="str">
        <f t="shared" si="59"/>
        <v>Clean</v>
      </c>
      <c r="AC720" s="2"/>
    </row>
    <row r="721" spans="1:29">
      <c r="A721" s="1" t="s">
        <v>2233</v>
      </c>
      <c r="B721" s="2">
        <v>45878</v>
      </c>
      <c r="C721" s="2" t="str">
        <f t="shared" si="56"/>
        <v>August</v>
      </c>
      <c r="D721" s="1">
        <f t="shared" si="57"/>
        <v>2025</v>
      </c>
      <c r="E721" s="2">
        <v>45909</v>
      </c>
      <c r="F721" s="1" t="s">
        <v>152</v>
      </c>
      <c r="G721" s="1" t="s">
        <v>273</v>
      </c>
      <c r="H721" s="1" t="s">
        <v>98</v>
      </c>
      <c r="I721" s="1" t="s">
        <v>71</v>
      </c>
      <c r="J721" s="1" t="s">
        <v>188</v>
      </c>
      <c r="K721" s="1" t="s">
        <v>189</v>
      </c>
      <c r="L721" s="1" t="s">
        <v>36</v>
      </c>
      <c r="M721" s="1" t="s">
        <v>56</v>
      </c>
      <c r="N721" s="1" t="s">
        <v>2234</v>
      </c>
      <c r="O721" s="1" t="s">
        <v>52</v>
      </c>
      <c r="P721" s="1">
        <v>2</v>
      </c>
      <c r="Q721" s="1">
        <v>2372.41</v>
      </c>
      <c r="R721" s="1">
        <v>0.2</v>
      </c>
      <c r="S721" s="1">
        <v>3795.86</v>
      </c>
      <c r="T721" s="1">
        <f t="shared" si="58"/>
        <v>3795.8559999999998</v>
      </c>
      <c r="U721" s="1">
        <v>2264.92</v>
      </c>
      <c r="V721" s="3">
        <f>IF(T721=0,"",X721/T721)</f>
        <v>0.40331772332775528</v>
      </c>
      <c r="W721" s="1">
        <v>1530.94</v>
      </c>
      <c r="X721" s="1">
        <f>T721-U721</f>
        <v>1530.9359999999997</v>
      </c>
      <c r="Y721" s="1" t="s">
        <v>40</v>
      </c>
      <c r="Z721" s="1" t="s">
        <v>41</v>
      </c>
      <c r="AA721" s="1">
        <f t="shared" si="55"/>
        <v>31</v>
      </c>
      <c r="AB721" s="2" t="str">
        <f t="shared" si="59"/>
        <v>Clean</v>
      </c>
      <c r="AC721" s="2"/>
    </row>
    <row r="722" spans="1:29">
      <c r="A722" s="1" t="s">
        <v>2235</v>
      </c>
      <c r="B722" s="2">
        <v>45489</v>
      </c>
      <c r="C722" s="2" t="str">
        <f t="shared" si="56"/>
        <v>July</v>
      </c>
      <c r="D722" s="1">
        <f t="shared" si="57"/>
        <v>2024</v>
      </c>
      <c r="E722" s="2">
        <v>45489</v>
      </c>
      <c r="F722" s="1" t="s">
        <v>2236</v>
      </c>
      <c r="G722" s="1" t="s">
        <v>97</v>
      </c>
      <c r="H722" s="1" t="s">
        <v>103</v>
      </c>
      <c r="I722" s="1" t="s">
        <v>71</v>
      </c>
      <c r="J722" s="1" t="s">
        <v>80</v>
      </c>
      <c r="K722" s="1" t="s">
        <v>81</v>
      </c>
      <c r="L722" s="1" t="s">
        <v>82</v>
      </c>
      <c r="M722" s="1" t="s">
        <v>88</v>
      </c>
      <c r="N722" s="1" t="s">
        <v>2237</v>
      </c>
      <c r="O722" s="1" t="s">
        <v>52</v>
      </c>
      <c r="P722" s="1">
        <v>4</v>
      </c>
      <c r="Q722" s="1">
        <v>4479.92</v>
      </c>
      <c r="R722" s="1">
        <v>0.15</v>
      </c>
      <c r="S722" s="1">
        <v>15231.73</v>
      </c>
      <c r="T722" s="1">
        <f t="shared" si="58"/>
        <v>15231.727999999999</v>
      </c>
      <c r="U722" s="1">
        <v>12451.46</v>
      </c>
      <c r="V722" s="3">
        <f>IF(T722=0,"",X722/T722)</f>
        <v>0.1825313582280356</v>
      </c>
      <c r="W722" s="1">
        <v>2780.27</v>
      </c>
      <c r="X722" s="1">
        <f>T722-U722</f>
        <v>2780.268</v>
      </c>
      <c r="Y722" s="1" t="s">
        <v>40</v>
      </c>
      <c r="Z722" s="1" t="s">
        <v>41</v>
      </c>
      <c r="AA722" s="1">
        <f t="shared" si="55"/>
        <v>0</v>
      </c>
      <c r="AB722" s="2" t="str">
        <f t="shared" si="59"/>
        <v>Clean</v>
      </c>
      <c r="AC722" s="2"/>
    </row>
    <row r="723" spans="1:29">
      <c r="A723" s="1" t="s">
        <v>2238</v>
      </c>
      <c r="B723" s="2">
        <v>45827</v>
      </c>
      <c r="C723" s="2" t="str">
        <f t="shared" si="56"/>
        <v>June</v>
      </c>
      <c r="D723" s="1">
        <f t="shared" si="57"/>
        <v>2025</v>
      </c>
      <c r="E723" s="2">
        <v>45831</v>
      </c>
      <c r="F723" s="1" t="s">
        <v>2239</v>
      </c>
      <c r="G723" s="1" t="s">
        <v>140</v>
      </c>
      <c r="H723" s="1" t="s">
        <v>32</v>
      </c>
      <c r="I723" s="1" t="s">
        <v>62</v>
      </c>
      <c r="J723" s="1" t="s">
        <v>183</v>
      </c>
      <c r="K723" s="1" t="s">
        <v>184</v>
      </c>
      <c r="L723" s="1" t="s">
        <v>82</v>
      </c>
      <c r="M723" s="1" t="s">
        <v>88</v>
      </c>
      <c r="N723" s="1" t="s">
        <v>2240</v>
      </c>
      <c r="O723" s="1" t="s">
        <v>58</v>
      </c>
      <c r="P723" s="1">
        <v>5</v>
      </c>
      <c r="Q723" s="1">
        <v>2729.95</v>
      </c>
      <c r="R723" s="1">
        <v>0</v>
      </c>
      <c r="S723" s="1">
        <v>13649.75</v>
      </c>
      <c r="T723" s="1">
        <f t="shared" si="58"/>
        <v>13649.75</v>
      </c>
      <c r="U723" s="1">
        <v>10288.030000000001</v>
      </c>
      <c r="V723" s="3">
        <f>IF(T723=0,"",X723/T723)</f>
        <v>0.24628436418249414</v>
      </c>
      <c r="W723" s="1">
        <v>3361.72</v>
      </c>
      <c r="X723" s="1">
        <f>T723-U723</f>
        <v>3361.7199999999993</v>
      </c>
      <c r="Y723" s="1" t="s">
        <v>40</v>
      </c>
      <c r="Z723" s="1" t="s">
        <v>41</v>
      </c>
      <c r="AA723" s="1">
        <f t="shared" si="55"/>
        <v>4</v>
      </c>
      <c r="AB723" s="2" t="str">
        <f t="shared" si="59"/>
        <v>Clean</v>
      </c>
      <c r="AC723" s="2"/>
    </row>
    <row r="724" spans="1:29">
      <c r="A724" s="1" t="s">
        <v>2241</v>
      </c>
      <c r="B724" s="2">
        <v>45483</v>
      </c>
      <c r="C724" s="2" t="str">
        <f t="shared" si="56"/>
        <v>July</v>
      </c>
      <c r="D724" s="1">
        <f t="shared" si="57"/>
        <v>2024</v>
      </c>
      <c r="E724" s="2">
        <v>45575</v>
      </c>
      <c r="F724" s="1" t="s">
        <v>2242</v>
      </c>
      <c r="G724" s="1" t="s">
        <v>79</v>
      </c>
      <c r="H724" s="1" t="s">
        <v>32</v>
      </c>
      <c r="I724" s="1" t="s">
        <v>46</v>
      </c>
      <c r="J724" s="1" t="s">
        <v>107</v>
      </c>
      <c r="K724" s="1" t="s">
        <v>108</v>
      </c>
      <c r="L724" s="1" t="s">
        <v>49</v>
      </c>
      <c r="M724" s="1" t="s">
        <v>74</v>
      </c>
      <c r="N724" s="1" t="s">
        <v>2243</v>
      </c>
      <c r="O724" s="1" t="s">
        <v>39</v>
      </c>
      <c r="P724" s="1">
        <v>9</v>
      </c>
      <c r="Q724" s="1">
        <v>481.51</v>
      </c>
      <c r="R724" s="1">
        <v>0</v>
      </c>
      <c r="S724" s="1">
        <v>4333.59</v>
      </c>
      <c r="T724" s="1">
        <f t="shared" si="58"/>
        <v>4333.59</v>
      </c>
      <c r="U724" s="1">
        <v>2533.59</v>
      </c>
      <c r="V724" s="3">
        <f>IF(T724=0,"",X724/T724)</f>
        <v>0.41536001329152039</v>
      </c>
      <c r="W724" s="1">
        <v>1800</v>
      </c>
      <c r="X724" s="1">
        <f>T724-U724</f>
        <v>1800</v>
      </c>
      <c r="Y724" s="1" t="s">
        <v>110</v>
      </c>
      <c r="Z724" s="1" t="s">
        <v>76</v>
      </c>
      <c r="AA724" s="1">
        <f t="shared" si="55"/>
        <v>92</v>
      </c>
      <c r="AB724" s="2" t="str">
        <f t="shared" si="59"/>
        <v>Clean</v>
      </c>
      <c r="AC724" s="2"/>
    </row>
    <row r="725" spans="1:29">
      <c r="A725" s="1" t="s">
        <v>2244</v>
      </c>
      <c r="B725" s="2">
        <v>45936</v>
      </c>
      <c r="C725" s="2" t="str">
        <f t="shared" si="56"/>
        <v>October</v>
      </c>
      <c r="D725" s="1">
        <f t="shared" si="57"/>
        <v>2025</v>
      </c>
      <c r="E725" s="2">
        <v>45943</v>
      </c>
      <c r="F725" s="1" t="s">
        <v>2245</v>
      </c>
      <c r="G725" s="1" t="s">
        <v>273</v>
      </c>
      <c r="H725" s="1" t="s">
        <v>103</v>
      </c>
      <c r="I725" s="1" t="s">
        <v>46</v>
      </c>
      <c r="J725" s="1" t="s">
        <v>237</v>
      </c>
      <c r="K725" s="1" t="s">
        <v>238</v>
      </c>
      <c r="L725" s="1" t="s">
        <v>82</v>
      </c>
      <c r="M725" s="1" t="s">
        <v>83</v>
      </c>
      <c r="N725" s="1" t="s">
        <v>2246</v>
      </c>
      <c r="O725" s="1" t="s">
        <v>67</v>
      </c>
      <c r="P725" s="1">
        <v>6</v>
      </c>
      <c r="Q725" s="1">
        <v>2391.9299999999998</v>
      </c>
      <c r="R725" s="1">
        <v>0.05</v>
      </c>
      <c r="S725" s="1">
        <v>13634</v>
      </c>
      <c r="T725" s="1">
        <f t="shared" si="58"/>
        <v>13634.000999999998</v>
      </c>
      <c r="U725" s="1">
        <v>9589.81</v>
      </c>
      <c r="V725" s="3">
        <f>IF(T725=0,"",X725/T725)</f>
        <v>0.29662539998346776</v>
      </c>
      <c r="W725" s="1">
        <v>4044.19</v>
      </c>
      <c r="X725" s="1">
        <f>T725-U725</f>
        <v>4044.1909999999989</v>
      </c>
      <c r="Y725" s="1" t="s">
        <v>163</v>
      </c>
      <c r="Z725" s="1" t="s">
        <v>111</v>
      </c>
      <c r="AA725" s="1">
        <f t="shared" si="55"/>
        <v>7</v>
      </c>
      <c r="AB725" s="2" t="str">
        <f t="shared" si="59"/>
        <v>Clean</v>
      </c>
      <c r="AC725" s="2"/>
    </row>
    <row r="726" spans="1:29">
      <c r="A726" s="1" t="s">
        <v>2247</v>
      </c>
      <c r="B726" s="2">
        <v>45332</v>
      </c>
      <c r="C726" s="2" t="str">
        <f t="shared" si="56"/>
        <v>February</v>
      </c>
      <c r="D726" s="1">
        <f t="shared" si="57"/>
        <v>2024</v>
      </c>
      <c r="E726" s="2">
        <v>45338</v>
      </c>
      <c r="F726" s="1" t="s">
        <v>2248</v>
      </c>
      <c r="G726" s="1" t="s">
        <v>31</v>
      </c>
      <c r="H726" s="1" t="s">
        <v>32</v>
      </c>
      <c r="I726" s="1" t="s">
        <v>71</v>
      </c>
      <c r="J726" s="1" t="s">
        <v>198</v>
      </c>
      <c r="K726" s="1" t="s">
        <v>199</v>
      </c>
      <c r="L726" s="1" t="s">
        <v>49</v>
      </c>
      <c r="M726" s="1" t="s">
        <v>65</v>
      </c>
      <c r="N726" s="1" t="s">
        <v>2249</v>
      </c>
      <c r="O726" s="1" t="s">
        <v>39</v>
      </c>
      <c r="P726" s="1">
        <v>3</v>
      </c>
      <c r="Q726" s="1">
        <v>253.43</v>
      </c>
      <c r="R726" s="1">
        <v>0</v>
      </c>
      <c r="S726" s="1">
        <v>760.29</v>
      </c>
      <c r="T726" s="1">
        <f t="shared" si="58"/>
        <v>760.29</v>
      </c>
      <c r="U726" s="1">
        <v>497.77</v>
      </c>
      <c r="V726" s="3">
        <f>IF(T726=0,"",X726/T726)</f>
        <v>0.34528929750489945</v>
      </c>
      <c r="W726" s="1">
        <v>262.52</v>
      </c>
      <c r="X726" s="1">
        <f>T726-U726</f>
        <v>262.52</v>
      </c>
      <c r="Y726" s="1" t="s">
        <v>40</v>
      </c>
      <c r="Z726" s="1" t="s">
        <v>41</v>
      </c>
      <c r="AA726" s="1">
        <f t="shared" si="55"/>
        <v>6</v>
      </c>
      <c r="AB726" s="2" t="str">
        <f t="shared" si="59"/>
        <v>Clean</v>
      </c>
      <c r="AC726" s="2"/>
    </row>
    <row r="727" spans="1:29">
      <c r="A727" s="1" t="s">
        <v>2250</v>
      </c>
      <c r="B727" s="2">
        <v>45935</v>
      </c>
      <c r="C727" s="2" t="str">
        <f t="shared" si="56"/>
        <v>October</v>
      </c>
      <c r="D727" s="1">
        <f t="shared" si="57"/>
        <v>2025</v>
      </c>
      <c r="E727" s="2">
        <v>46001</v>
      </c>
      <c r="F727" s="1" t="s">
        <v>2251</v>
      </c>
      <c r="G727" s="1" t="s">
        <v>122</v>
      </c>
      <c r="H727" s="1" t="s">
        <v>98</v>
      </c>
      <c r="I727" s="1" t="s">
        <v>62</v>
      </c>
      <c r="J727" s="1" t="s">
        <v>183</v>
      </c>
      <c r="K727" s="1" t="s">
        <v>184</v>
      </c>
      <c r="L727" s="1" t="s">
        <v>49</v>
      </c>
      <c r="M727" s="1" t="s">
        <v>50</v>
      </c>
      <c r="N727" s="1" t="s">
        <v>2252</v>
      </c>
      <c r="O727" s="1" t="s">
        <v>39</v>
      </c>
      <c r="P727" s="1">
        <v>7</v>
      </c>
      <c r="Q727" s="1">
        <v>2134.73</v>
      </c>
      <c r="R727" s="1">
        <v>0</v>
      </c>
      <c r="S727" s="1">
        <v>14943.11</v>
      </c>
      <c r="T727" s="1">
        <f t="shared" si="58"/>
        <v>14943.11</v>
      </c>
      <c r="U727" s="1">
        <v>8521.5</v>
      </c>
      <c r="V727" s="3">
        <f>IF(T727=0,"",X727/T727)</f>
        <v>0.42973718322357263</v>
      </c>
      <c r="W727" s="1">
        <v>6421.61</v>
      </c>
      <c r="X727" s="1">
        <f>T727-U727</f>
        <v>6421.6100000000006</v>
      </c>
      <c r="Y727" s="1" t="s">
        <v>40</v>
      </c>
      <c r="Z727" s="1" t="s">
        <v>41</v>
      </c>
      <c r="AA727" s="1">
        <f t="shared" si="55"/>
        <v>66</v>
      </c>
      <c r="AB727" s="2" t="str">
        <f t="shared" si="59"/>
        <v>Clean</v>
      </c>
      <c r="AC727" s="2"/>
    </row>
    <row r="728" spans="1:29">
      <c r="A728" s="1" t="s">
        <v>2253</v>
      </c>
      <c r="B728" s="2">
        <v>45308</v>
      </c>
      <c r="C728" s="2" t="str">
        <f t="shared" si="56"/>
        <v>January</v>
      </c>
      <c r="D728" s="1">
        <f t="shared" si="57"/>
        <v>2024</v>
      </c>
      <c r="E728" s="2">
        <v>45314</v>
      </c>
      <c r="F728" s="1" t="s">
        <v>2254</v>
      </c>
      <c r="G728" s="1" t="s">
        <v>273</v>
      </c>
      <c r="H728" s="1" t="s">
        <v>103</v>
      </c>
      <c r="I728" s="1" t="s">
        <v>71</v>
      </c>
      <c r="J728" s="1" t="s">
        <v>188</v>
      </c>
      <c r="K728" s="1" t="s">
        <v>189</v>
      </c>
      <c r="L728" s="1" t="s">
        <v>82</v>
      </c>
      <c r="M728" s="1" t="s">
        <v>179</v>
      </c>
      <c r="N728" s="1" t="s">
        <v>2255</v>
      </c>
      <c r="O728" s="1" t="s">
        <v>67</v>
      </c>
      <c r="P728" s="1">
        <v>5</v>
      </c>
      <c r="Q728" s="1">
        <v>2018</v>
      </c>
      <c r="R728" s="1">
        <v>0.2</v>
      </c>
      <c r="S728" s="1">
        <v>8072</v>
      </c>
      <c r="T728" s="1">
        <f t="shared" si="58"/>
        <v>8072</v>
      </c>
      <c r="U728" s="1">
        <v>5379.22</v>
      </c>
      <c r="V728" s="3">
        <f>IF(T728=0,"",X728/T728)</f>
        <v>0.33359514370664023</v>
      </c>
      <c r="W728" s="1">
        <v>2692.78</v>
      </c>
      <c r="X728" s="1">
        <f>T728-U728</f>
        <v>2692.7799999999997</v>
      </c>
      <c r="Y728" s="1" t="s">
        <v>119</v>
      </c>
      <c r="Z728" s="1" t="s">
        <v>111</v>
      </c>
      <c r="AA728" s="1">
        <f t="shared" si="55"/>
        <v>6</v>
      </c>
      <c r="AB728" s="2" t="str">
        <f t="shared" si="59"/>
        <v>Clean</v>
      </c>
      <c r="AC728" s="2"/>
    </row>
    <row r="729" spans="1:29">
      <c r="A729" s="1" t="s">
        <v>2256</v>
      </c>
      <c r="B729" s="2">
        <v>45578</v>
      </c>
      <c r="C729" s="2" t="str">
        <f t="shared" si="56"/>
        <v>October</v>
      </c>
      <c r="D729" s="1">
        <f t="shared" si="57"/>
        <v>2024</v>
      </c>
      <c r="E729" s="2">
        <v>45578</v>
      </c>
      <c r="F729" s="1" t="s">
        <v>2257</v>
      </c>
      <c r="G729" s="1" t="s">
        <v>136</v>
      </c>
      <c r="H729" s="1" t="s">
        <v>45</v>
      </c>
      <c r="I729" s="1" t="s">
        <v>46</v>
      </c>
      <c r="J729" s="1" t="s">
        <v>174</v>
      </c>
      <c r="K729" s="1" t="s">
        <v>175</v>
      </c>
      <c r="L729" s="1" t="s">
        <v>82</v>
      </c>
      <c r="M729" s="1" t="s">
        <v>83</v>
      </c>
      <c r="N729" s="1" t="s">
        <v>2258</v>
      </c>
      <c r="O729" s="1" t="s">
        <v>39</v>
      </c>
      <c r="P729" s="1">
        <v>8</v>
      </c>
      <c r="Q729" s="1">
        <v>3730.66</v>
      </c>
      <c r="R729" s="1">
        <v>0.05</v>
      </c>
      <c r="S729" s="1">
        <v>28353.02</v>
      </c>
      <c r="T729" s="1">
        <f t="shared" si="58"/>
        <v>28353.015999999996</v>
      </c>
      <c r="U729" s="1">
        <v>19257.849999999999</v>
      </c>
      <c r="V729" s="3">
        <f>IF(T729=0,"",X729/T729)</f>
        <v>0.3207830165228277</v>
      </c>
      <c r="W729" s="1">
        <v>9095.17</v>
      </c>
      <c r="X729" s="1">
        <f>T729-U729</f>
        <v>9095.1659999999974</v>
      </c>
      <c r="Y729" s="1" t="s">
        <v>40</v>
      </c>
      <c r="Z729" s="1" t="s">
        <v>41</v>
      </c>
      <c r="AA729" s="1">
        <f t="shared" si="55"/>
        <v>0</v>
      </c>
      <c r="AB729" s="2" t="str">
        <f t="shared" si="59"/>
        <v>Clean</v>
      </c>
      <c r="AC729" s="2"/>
    </row>
    <row r="730" spans="1:29">
      <c r="A730" s="1" t="s">
        <v>2259</v>
      </c>
      <c r="B730" s="2">
        <v>45383</v>
      </c>
      <c r="C730" s="2" t="str">
        <f t="shared" si="56"/>
        <v>April</v>
      </c>
      <c r="D730" s="1">
        <f t="shared" si="57"/>
        <v>2024</v>
      </c>
      <c r="E730" s="2">
        <v>45474</v>
      </c>
      <c r="F730" s="1" t="s">
        <v>2260</v>
      </c>
      <c r="G730" s="1" t="s">
        <v>140</v>
      </c>
      <c r="H730" s="1" t="s">
        <v>45</v>
      </c>
      <c r="I730" s="1" t="s">
        <v>62</v>
      </c>
      <c r="J730" s="1" t="s">
        <v>183</v>
      </c>
      <c r="K730" s="1" t="s">
        <v>184</v>
      </c>
      <c r="L730" s="1" t="s">
        <v>82</v>
      </c>
      <c r="M730" s="1" t="s">
        <v>283</v>
      </c>
      <c r="N730" s="1" t="s">
        <v>2261</v>
      </c>
      <c r="O730" s="1" t="s">
        <v>58</v>
      </c>
      <c r="P730" s="1">
        <v>1</v>
      </c>
      <c r="Q730" s="1">
        <v>2363.02</v>
      </c>
      <c r="R730" s="1">
        <v>0.15</v>
      </c>
      <c r="S730" s="1">
        <v>2008.57</v>
      </c>
      <c r="T730" s="1">
        <f t="shared" si="58"/>
        <v>2008.567</v>
      </c>
      <c r="U730" s="1">
        <v>1194.83</v>
      </c>
      <c r="V730" s="3">
        <f>IF(T730=0,"",X730/T730)</f>
        <v>0.40513311231340554</v>
      </c>
      <c r="W730" s="1">
        <v>813.74</v>
      </c>
      <c r="X730" s="1">
        <f>T730-U730</f>
        <v>813.73700000000008</v>
      </c>
      <c r="Y730" s="1" t="s">
        <v>40</v>
      </c>
      <c r="Z730" s="1" t="s">
        <v>41</v>
      </c>
      <c r="AA730" s="1">
        <f t="shared" si="55"/>
        <v>91</v>
      </c>
      <c r="AB730" s="2" t="str">
        <f t="shared" si="59"/>
        <v>Clean</v>
      </c>
      <c r="AC730" s="2"/>
    </row>
    <row r="731" spans="1:29">
      <c r="A731" s="1" t="s">
        <v>2262</v>
      </c>
      <c r="B731" s="2">
        <v>45794</v>
      </c>
      <c r="C731" s="2" t="str">
        <f t="shared" si="56"/>
        <v>May</v>
      </c>
      <c r="D731" s="1">
        <f t="shared" si="57"/>
        <v>2025</v>
      </c>
      <c r="E731" s="2">
        <v>45802</v>
      </c>
      <c r="F731" s="1" t="s">
        <v>2263</v>
      </c>
      <c r="G731" s="1" t="s">
        <v>70</v>
      </c>
      <c r="H731" s="1" t="s">
        <v>98</v>
      </c>
      <c r="I731" s="1" t="s">
        <v>62</v>
      </c>
      <c r="J731" s="1" t="s">
        <v>256</v>
      </c>
      <c r="K731" s="1" t="s">
        <v>257</v>
      </c>
      <c r="L731" s="1" t="s">
        <v>82</v>
      </c>
      <c r="M731" s="1" t="s">
        <v>283</v>
      </c>
      <c r="N731" s="1" t="s">
        <v>2264</v>
      </c>
      <c r="O731" s="1" t="s">
        <v>52</v>
      </c>
      <c r="P731" s="1">
        <v>6</v>
      </c>
      <c r="Q731" s="1">
        <v>1810.63</v>
      </c>
      <c r="R731" s="1">
        <v>0.15</v>
      </c>
      <c r="S731" s="1">
        <v>9234.2099999999991</v>
      </c>
      <c r="T731" s="1">
        <f t="shared" si="58"/>
        <v>9234.2129999999997</v>
      </c>
      <c r="U731" s="1">
        <v>5516.52</v>
      </c>
      <c r="V731" s="3">
        <f>IF(T731=0,"",X731/T731)</f>
        <v>0.40259987505161504</v>
      </c>
      <c r="W731" s="1">
        <v>3717.69</v>
      </c>
      <c r="X731" s="1">
        <f>T731-U731</f>
        <v>3717.6929999999993</v>
      </c>
      <c r="Y731" s="1" t="s">
        <v>40</v>
      </c>
      <c r="Z731" s="1" t="s">
        <v>41</v>
      </c>
      <c r="AA731" s="1">
        <f t="shared" si="55"/>
        <v>8</v>
      </c>
      <c r="AB731" s="2" t="str">
        <f t="shared" si="59"/>
        <v>Clean</v>
      </c>
      <c r="AC731" s="2"/>
    </row>
    <row r="732" spans="1:29">
      <c r="A732" s="1" t="s">
        <v>2265</v>
      </c>
      <c r="B732" s="2">
        <v>45827</v>
      </c>
      <c r="C732" s="2" t="str">
        <f t="shared" si="56"/>
        <v>June</v>
      </c>
      <c r="D732" s="1">
        <f t="shared" si="57"/>
        <v>2025</v>
      </c>
      <c r="E732" s="2">
        <v>45832</v>
      </c>
      <c r="F732" s="1" t="s">
        <v>2266</v>
      </c>
      <c r="G732" s="1" t="s">
        <v>61</v>
      </c>
      <c r="H732" s="1" t="s">
        <v>32</v>
      </c>
      <c r="I732" s="1" t="s">
        <v>46</v>
      </c>
      <c r="J732" s="1" t="s">
        <v>107</v>
      </c>
      <c r="K732" s="1" t="s">
        <v>108</v>
      </c>
      <c r="L732" s="1" t="s">
        <v>36</v>
      </c>
      <c r="M732" s="1" t="s">
        <v>56</v>
      </c>
      <c r="N732" s="1" t="s">
        <v>2267</v>
      </c>
      <c r="O732" s="1" t="s">
        <v>39</v>
      </c>
      <c r="P732" s="1">
        <v>4</v>
      </c>
      <c r="Q732" s="1">
        <v>782.01</v>
      </c>
      <c r="R732" s="1">
        <v>0.15</v>
      </c>
      <c r="S732" s="1">
        <v>2658.83</v>
      </c>
      <c r="T732" s="1">
        <f t="shared" si="58"/>
        <v>2658.8339999999998</v>
      </c>
      <c r="U732" s="1">
        <v>2226.9699999999998</v>
      </c>
      <c r="V732" s="3">
        <f>IF(T732=0,"",X732/T732)</f>
        <v>0.16242608602116568</v>
      </c>
      <c r="W732" s="1">
        <v>431.86</v>
      </c>
      <c r="X732" s="1">
        <f>T732-U732</f>
        <v>431.86400000000003</v>
      </c>
      <c r="Y732" s="1" t="s">
        <v>110</v>
      </c>
      <c r="Z732" s="1" t="s">
        <v>111</v>
      </c>
      <c r="AA732" s="1">
        <f t="shared" si="55"/>
        <v>5</v>
      </c>
      <c r="AB732" s="2" t="str">
        <f t="shared" si="59"/>
        <v>Clean</v>
      </c>
      <c r="AC732" s="2"/>
    </row>
    <row r="733" spans="1:29">
      <c r="A733" s="1" t="s">
        <v>2268</v>
      </c>
      <c r="B733" s="2">
        <v>45368</v>
      </c>
      <c r="C733" s="2" t="str">
        <f t="shared" si="56"/>
        <v>March</v>
      </c>
      <c r="D733" s="1">
        <f t="shared" si="57"/>
        <v>2024</v>
      </c>
      <c r="E733" s="2">
        <v>45370</v>
      </c>
      <c r="F733" s="1" t="s">
        <v>2269</v>
      </c>
      <c r="G733" s="1" t="s">
        <v>70</v>
      </c>
      <c r="H733" s="1" t="s">
        <v>98</v>
      </c>
      <c r="I733" s="1" t="s">
        <v>46</v>
      </c>
      <c r="J733" s="1" t="s">
        <v>47</v>
      </c>
      <c r="K733" s="1" t="s">
        <v>48</v>
      </c>
      <c r="L733" s="1" t="s">
        <v>36</v>
      </c>
      <c r="M733" s="1" t="s">
        <v>161</v>
      </c>
      <c r="N733" s="1" t="s">
        <v>2270</v>
      </c>
      <c r="O733" s="1" t="s">
        <v>58</v>
      </c>
      <c r="P733" s="1">
        <v>4</v>
      </c>
      <c r="Q733" s="1">
        <v>4376.68</v>
      </c>
      <c r="R733" s="1">
        <v>0.1</v>
      </c>
      <c r="S733" s="1">
        <v>15756.05</v>
      </c>
      <c r="T733" s="1">
        <f t="shared" si="58"/>
        <v>15756.048000000001</v>
      </c>
      <c r="U733" s="1">
        <v>10245.44</v>
      </c>
      <c r="V733" s="3">
        <f>IF(T733=0,"",X733/T733)</f>
        <v>0.3497455707167178</v>
      </c>
      <c r="W733" s="1">
        <v>5510.61</v>
      </c>
      <c r="X733" s="1">
        <f>T733-U733</f>
        <v>5510.6080000000002</v>
      </c>
      <c r="Y733" s="1" t="s">
        <v>40</v>
      </c>
      <c r="Z733" s="1" t="s">
        <v>41</v>
      </c>
      <c r="AA733" s="1">
        <f t="shared" si="55"/>
        <v>2</v>
      </c>
      <c r="AB733" s="2" t="str">
        <f t="shared" si="59"/>
        <v>Clean</v>
      </c>
      <c r="AC733" s="2"/>
    </row>
    <row r="734" spans="1:29">
      <c r="A734" s="1" t="s">
        <v>2271</v>
      </c>
      <c r="B734" s="2">
        <v>45624</v>
      </c>
      <c r="C734" s="2" t="str">
        <f t="shared" si="56"/>
        <v>November</v>
      </c>
      <c r="D734" s="1">
        <f t="shared" si="57"/>
        <v>2024</v>
      </c>
      <c r="E734" s="2">
        <v>45455</v>
      </c>
      <c r="F734" s="1" t="s">
        <v>2272</v>
      </c>
      <c r="G734" s="1" t="s">
        <v>61</v>
      </c>
      <c r="H734" s="1" t="s">
        <v>45</v>
      </c>
      <c r="I734" s="1" t="s">
        <v>33</v>
      </c>
      <c r="J734" s="1" t="s">
        <v>130</v>
      </c>
      <c r="K734" s="1" t="s">
        <v>131</v>
      </c>
      <c r="L734" s="1" t="s">
        <v>82</v>
      </c>
      <c r="M734" s="1" t="s">
        <v>179</v>
      </c>
      <c r="N734" s="1" t="s">
        <v>2273</v>
      </c>
      <c r="O734" s="1" t="s">
        <v>67</v>
      </c>
      <c r="P734" s="1">
        <v>6</v>
      </c>
      <c r="Q734" s="1">
        <v>2464.63</v>
      </c>
      <c r="R734" s="1">
        <v>0</v>
      </c>
      <c r="S734" s="1">
        <v>14787.78</v>
      </c>
      <c r="T734" s="1">
        <f t="shared" si="58"/>
        <v>14787.78</v>
      </c>
      <c r="U734" s="1">
        <v>8596.65</v>
      </c>
      <c r="V734" s="3">
        <f>IF(T734=0,"",X734/T734)</f>
        <v>0.41866527632950995</v>
      </c>
      <c r="W734" s="1">
        <v>6191.13</v>
      </c>
      <c r="X734" s="1">
        <f>T734-U734</f>
        <v>6191.130000000001</v>
      </c>
      <c r="Y734" s="1" t="s">
        <v>40</v>
      </c>
      <c r="Z734" s="1" t="s">
        <v>41</v>
      </c>
      <c r="AA734" s="4">
        <f t="shared" si="55"/>
        <v>-169</v>
      </c>
      <c r="AB734" s="2" t="str">
        <f t="shared" si="59"/>
        <v>Invalid</v>
      </c>
      <c r="AC734" s="2"/>
    </row>
    <row r="735" spans="1:29">
      <c r="A735" s="1" t="s">
        <v>2274</v>
      </c>
      <c r="B735" s="2">
        <v>45464</v>
      </c>
      <c r="C735" s="2" t="str">
        <f t="shared" si="56"/>
        <v>June</v>
      </c>
      <c r="D735" s="1">
        <f t="shared" si="57"/>
        <v>2024</v>
      </c>
      <c r="E735" s="2">
        <v>45471</v>
      </c>
      <c r="F735" s="1" t="s">
        <v>2275</v>
      </c>
      <c r="G735" s="1" t="s">
        <v>136</v>
      </c>
      <c r="H735" s="1" t="s">
        <v>103</v>
      </c>
      <c r="I735" s="1" t="s">
        <v>33</v>
      </c>
      <c r="J735" s="1" t="s">
        <v>34</v>
      </c>
      <c r="K735" s="1" t="s">
        <v>35</v>
      </c>
      <c r="L735" s="1" t="s">
        <v>49</v>
      </c>
      <c r="M735" s="1" t="s">
        <v>65</v>
      </c>
      <c r="N735" s="1" t="s">
        <v>2276</v>
      </c>
      <c r="O735" s="1" t="s">
        <v>58</v>
      </c>
      <c r="P735" s="1">
        <v>9</v>
      </c>
      <c r="Q735" s="1">
        <v>2797.96</v>
      </c>
      <c r="R735" s="1">
        <v>0</v>
      </c>
      <c r="S735" s="1">
        <v>25181.64</v>
      </c>
      <c r="T735" s="1">
        <f t="shared" si="58"/>
        <v>25181.64</v>
      </c>
      <c r="U735" s="1">
        <v>15337.9</v>
      </c>
      <c r="V735" s="3">
        <f>IF(T735=0,"",X735/T735)</f>
        <v>0.39090940860086953</v>
      </c>
      <c r="W735" s="1">
        <v>9843.74</v>
      </c>
      <c r="X735" s="1">
        <f>T735-U735</f>
        <v>9843.74</v>
      </c>
      <c r="Y735" s="1" t="s">
        <v>40</v>
      </c>
      <c r="Z735" s="1" t="s">
        <v>41</v>
      </c>
      <c r="AA735" s="1">
        <f t="shared" si="55"/>
        <v>7</v>
      </c>
      <c r="AB735" s="2" t="str">
        <f t="shared" si="59"/>
        <v>Clean</v>
      </c>
      <c r="AC735" s="2"/>
    </row>
    <row r="736" spans="1:29">
      <c r="A736" s="1" t="s">
        <v>2277</v>
      </c>
      <c r="B736" s="2">
        <v>45528</v>
      </c>
      <c r="C736" s="2" t="str">
        <f t="shared" si="56"/>
        <v>August</v>
      </c>
      <c r="D736" s="1">
        <f t="shared" si="57"/>
        <v>2024</v>
      </c>
      <c r="E736" s="2">
        <v>45528</v>
      </c>
      <c r="F736" s="1" t="s">
        <v>2278</v>
      </c>
      <c r="G736" s="1" t="s">
        <v>70</v>
      </c>
      <c r="H736" s="1" t="s">
        <v>45</v>
      </c>
      <c r="I736" s="1" t="s">
        <v>33</v>
      </c>
      <c r="J736" s="1" t="s">
        <v>34</v>
      </c>
      <c r="K736" s="1" t="s">
        <v>35</v>
      </c>
      <c r="L736" s="1" t="s">
        <v>82</v>
      </c>
      <c r="M736" s="1" t="s">
        <v>83</v>
      </c>
      <c r="N736" s="1" t="s">
        <v>2279</v>
      </c>
      <c r="O736" s="1" t="s">
        <v>58</v>
      </c>
      <c r="P736" s="1">
        <v>4</v>
      </c>
      <c r="Q736" s="1">
        <v>2761.86</v>
      </c>
      <c r="R736" s="1">
        <v>0.2</v>
      </c>
      <c r="S736" s="1">
        <v>8837.9500000000007</v>
      </c>
      <c r="T736" s="1">
        <f t="shared" si="58"/>
        <v>8837.9520000000011</v>
      </c>
      <c r="U736" s="1">
        <v>6157.27</v>
      </c>
      <c r="V736" s="3">
        <f>IF(T736=0,"",X736/T736)</f>
        <v>0.30331484036120587</v>
      </c>
      <c r="W736" s="1">
        <v>2680.68</v>
      </c>
      <c r="X736" s="1">
        <f>T736-U736</f>
        <v>2680.6820000000007</v>
      </c>
      <c r="Y736" s="1" t="s">
        <v>40</v>
      </c>
      <c r="Z736" s="1" t="s">
        <v>41</v>
      </c>
      <c r="AA736" s="1">
        <f t="shared" si="55"/>
        <v>0</v>
      </c>
      <c r="AB736" s="2" t="str">
        <f t="shared" si="59"/>
        <v>Clean</v>
      </c>
      <c r="AC736" s="2"/>
    </row>
    <row r="737" spans="1:29">
      <c r="A737" s="1" t="s">
        <v>2280</v>
      </c>
      <c r="B737" s="2">
        <v>45604</v>
      </c>
      <c r="C737" s="2" t="str">
        <f t="shared" si="56"/>
        <v>November</v>
      </c>
      <c r="D737" s="1">
        <f t="shared" si="57"/>
        <v>2024</v>
      </c>
      <c r="E737" s="2">
        <v>45523</v>
      </c>
      <c r="F737" s="1" t="s">
        <v>2281</v>
      </c>
      <c r="G737" s="1" t="s">
        <v>44</v>
      </c>
      <c r="H737" s="1" t="s">
        <v>32</v>
      </c>
      <c r="I737" s="1" t="s">
        <v>71</v>
      </c>
      <c r="J737" s="1" t="s">
        <v>72</v>
      </c>
      <c r="K737" s="1" t="s">
        <v>73</v>
      </c>
      <c r="L737" s="1" t="s">
        <v>49</v>
      </c>
      <c r="M737" s="1" t="s">
        <v>50</v>
      </c>
      <c r="N737" s="1" t="s">
        <v>2282</v>
      </c>
      <c r="O737" s="1" t="s">
        <v>67</v>
      </c>
      <c r="P737" s="1">
        <v>6</v>
      </c>
      <c r="Q737" s="1">
        <v>1515.79</v>
      </c>
      <c r="R737" s="1">
        <v>0.2</v>
      </c>
      <c r="S737" s="1">
        <v>7275.79</v>
      </c>
      <c r="T737" s="1">
        <f t="shared" si="58"/>
        <v>7275.7920000000004</v>
      </c>
      <c r="U737" s="1">
        <v>6152.87</v>
      </c>
      <c r="V737" s="3">
        <f>IF(T737=0,"",X737/T737)</f>
        <v>0.15433673749881804</v>
      </c>
      <c r="W737" s="1">
        <v>1122.92</v>
      </c>
      <c r="X737" s="1">
        <f>T737-U737</f>
        <v>1122.9220000000005</v>
      </c>
      <c r="Y737" s="1" t="s">
        <v>40</v>
      </c>
      <c r="Z737" s="1" t="s">
        <v>41</v>
      </c>
      <c r="AA737" s="4">
        <f t="shared" si="55"/>
        <v>-81</v>
      </c>
      <c r="AB737" s="2" t="str">
        <f t="shared" si="59"/>
        <v>Invalid</v>
      </c>
      <c r="AC737" s="2"/>
    </row>
    <row r="738" spans="1:29">
      <c r="A738" s="1" t="s">
        <v>2283</v>
      </c>
      <c r="B738" s="2">
        <v>45455</v>
      </c>
      <c r="C738" s="2" t="str">
        <f t="shared" si="56"/>
        <v>June</v>
      </c>
      <c r="D738" s="1">
        <f t="shared" si="57"/>
        <v>2024</v>
      </c>
      <c r="E738" s="2">
        <v>45547</v>
      </c>
      <c r="F738" s="1" t="s">
        <v>2284</v>
      </c>
      <c r="G738" s="1" t="s">
        <v>97</v>
      </c>
      <c r="H738" s="1" t="s">
        <v>32</v>
      </c>
      <c r="I738" s="1" t="s">
        <v>71</v>
      </c>
      <c r="J738" s="1" t="s">
        <v>72</v>
      </c>
      <c r="K738" s="1" t="s">
        <v>73</v>
      </c>
      <c r="L738" s="1" t="s">
        <v>49</v>
      </c>
      <c r="M738" s="1" t="s">
        <v>74</v>
      </c>
      <c r="N738" s="1" t="s">
        <v>2285</v>
      </c>
      <c r="O738" s="1" t="s">
        <v>39</v>
      </c>
      <c r="P738" s="1">
        <v>9</v>
      </c>
      <c r="Q738" s="1">
        <v>290.75</v>
      </c>
      <c r="R738" s="1">
        <v>0.1</v>
      </c>
      <c r="S738" s="1">
        <v>2355.08</v>
      </c>
      <c r="T738" s="1">
        <f t="shared" si="58"/>
        <v>2355.0750000000003</v>
      </c>
      <c r="U738" s="1">
        <v>1350.03</v>
      </c>
      <c r="V738" s="3">
        <f>IF(T738=0,"",X738/T738)</f>
        <v>0.42675710964618968</v>
      </c>
      <c r="W738" s="1">
        <v>1005.05</v>
      </c>
      <c r="X738" s="1">
        <f>T738-U738</f>
        <v>1005.0450000000003</v>
      </c>
      <c r="Y738" s="1" t="s">
        <v>40</v>
      </c>
      <c r="Z738" s="1" t="s">
        <v>41</v>
      </c>
      <c r="AA738" s="1">
        <f t="shared" si="55"/>
        <v>92</v>
      </c>
      <c r="AB738" s="2" t="str">
        <f t="shared" si="59"/>
        <v>Clean</v>
      </c>
      <c r="AC738" s="2"/>
    </row>
    <row r="739" spans="1:29">
      <c r="A739" s="1" t="s">
        <v>2286</v>
      </c>
      <c r="B739" s="2">
        <v>45567</v>
      </c>
      <c r="C739" s="2" t="str">
        <f t="shared" si="56"/>
        <v>October</v>
      </c>
      <c r="D739" s="1">
        <f t="shared" si="57"/>
        <v>2024</v>
      </c>
      <c r="E739" s="2">
        <v>45567</v>
      </c>
      <c r="F739" s="1" t="s">
        <v>2287</v>
      </c>
      <c r="G739" s="1" t="s">
        <v>55</v>
      </c>
      <c r="H739" s="1" t="s">
        <v>103</v>
      </c>
      <c r="I739" s="1" t="s">
        <v>71</v>
      </c>
      <c r="J739" s="1" t="s">
        <v>72</v>
      </c>
      <c r="K739" s="1" t="s">
        <v>73</v>
      </c>
      <c r="L739" s="1" t="s">
        <v>49</v>
      </c>
      <c r="M739" s="1" t="s">
        <v>74</v>
      </c>
      <c r="N739" s="1" t="s">
        <v>2288</v>
      </c>
      <c r="O739" s="1" t="s">
        <v>52</v>
      </c>
      <c r="P739" s="1">
        <v>6</v>
      </c>
      <c r="Q739" s="1">
        <v>601.52</v>
      </c>
      <c r="R739" s="1">
        <v>0</v>
      </c>
      <c r="S739" s="1">
        <v>3609.12</v>
      </c>
      <c r="T739" s="1">
        <f t="shared" si="58"/>
        <v>3609.12</v>
      </c>
      <c r="U739" s="1">
        <v>2645.5</v>
      </c>
      <c r="V739" s="3">
        <f>IF(T739=0,"",X739/T739)</f>
        <v>0.2669958327791816</v>
      </c>
      <c r="W739" s="1">
        <v>963.62</v>
      </c>
      <c r="X739" s="1">
        <f>T739-U739</f>
        <v>963.61999999999989</v>
      </c>
      <c r="Y739" s="1" t="s">
        <v>40</v>
      </c>
      <c r="Z739" s="1" t="s">
        <v>41</v>
      </c>
      <c r="AA739" s="1">
        <f t="shared" si="55"/>
        <v>0</v>
      </c>
      <c r="AB739" s="2" t="str">
        <f t="shared" si="59"/>
        <v>Clean</v>
      </c>
      <c r="AC739" s="2"/>
    </row>
    <row r="740" spans="1:29">
      <c r="A740" s="1" t="s">
        <v>2289</v>
      </c>
      <c r="B740" s="2">
        <v>45708</v>
      </c>
      <c r="C740" s="2" t="str">
        <f t="shared" si="56"/>
        <v>February</v>
      </c>
      <c r="D740" s="1">
        <f t="shared" si="57"/>
        <v>2025</v>
      </c>
      <c r="E740" s="2">
        <v>45710</v>
      </c>
      <c r="F740" s="1" t="s">
        <v>2290</v>
      </c>
      <c r="G740" s="1" t="s">
        <v>122</v>
      </c>
      <c r="H740" s="1" t="s">
        <v>98</v>
      </c>
      <c r="I740" s="1" t="s">
        <v>62</v>
      </c>
      <c r="J740" s="1" t="s">
        <v>193</v>
      </c>
      <c r="K740" s="1" t="s">
        <v>194</v>
      </c>
      <c r="L740" s="1" t="s">
        <v>36</v>
      </c>
      <c r="M740" s="1" t="s">
        <v>37</v>
      </c>
      <c r="N740" s="1" t="s">
        <v>2291</v>
      </c>
      <c r="O740" s="1" t="s">
        <v>58</v>
      </c>
      <c r="P740" s="1">
        <v>1</v>
      </c>
      <c r="Q740" s="1">
        <v>2188.19</v>
      </c>
      <c r="R740" s="1">
        <v>0</v>
      </c>
      <c r="S740" s="1">
        <v>2188.19</v>
      </c>
      <c r="T740" s="1">
        <f t="shared" si="58"/>
        <v>2188.19</v>
      </c>
      <c r="U740" s="1">
        <v>1298.8399999999999</v>
      </c>
      <c r="V740" s="3">
        <f>IF(T740=0,"",X740/T740)</f>
        <v>0.40643179979800664</v>
      </c>
      <c r="W740" s="1">
        <v>889.35</v>
      </c>
      <c r="X740" s="1">
        <f>T740-U740</f>
        <v>889.35000000000014</v>
      </c>
      <c r="Y740" s="1" t="s">
        <v>40</v>
      </c>
      <c r="Z740" s="1" t="s">
        <v>41</v>
      </c>
      <c r="AA740" s="1">
        <f t="shared" si="55"/>
        <v>2</v>
      </c>
      <c r="AB740" s="2" t="str">
        <f t="shared" si="59"/>
        <v>Clean</v>
      </c>
      <c r="AC740" s="2"/>
    </row>
    <row r="741" spans="1:29">
      <c r="A741" s="1" t="s">
        <v>2292</v>
      </c>
      <c r="B741" s="2">
        <v>45363</v>
      </c>
      <c r="C741" s="2" t="str">
        <f t="shared" si="56"/>
        <v>March</v>
      </c>
      <c r="D741" s="1">
        <f t="shared" si="57"/>
        <v>2024</v>
      </c>
      <c r="E741" s="2">
        <v>45636</v>
      </c>
      <c r="F741" s="1" t="s">
        <v>2293</v>
      </c>
      <c r="G741" s="1" t="s">
        <v>87</v>
      </c>
      <c r="H741" s="1" t="s">
        <v>98</v>
      </c>
      <c r="I741" s="1" t="s">
        <v>33</v>
      </c>
      <c r="J741" s="1" t="s">
        <v>34</v>
      </c>
      <c r="K741" s="1" t="s">
        <v>35</v>
      </c>
      <c r="L741" s="1" t="s">
        <v>82</v>
      </c>
      <c r="M741" s="1" t="s">
        <v>179</v>
      </c>
      <c r="N741" s="1" t="s">
        <v>2294</v>
      </c>
      <c r="O741" s="1" t="s">
        <v>67</v>
      </c>
      <c r="P741" s="1">
        <v>5</v>
      </c>
      <c r="Q741" s="1">
        <v>2393.86</v>
      </c>
      <c r="R741" s="1">
        <v>0.05</v>
      </c>
      <c r="S741" s="1">
        <v>11370.84</v>
      </c>
      <c r="T741" s="1">
        <f t="shared" si="58"/>
        <v>11370.835000000001</v>
      </c>
      <c r="U741" s="1">
        <v>7469.58</v>
      </c>
      <c r="V741" s="3">
        <f>IF(T741=0,"",X741/T741)</f>
        <v>0.34309309738466881</v>
      </c>
      <c r="W741" s="1">
        <v>3901.26</v>
      </c>
      <c r="X741" s="1">
        <f>T741-U741</f>
        <v>3901.255000000001</v>
      </c>
      <c r="Y741" s="1" t="s">
        <v>40</v>
      </c>
      <c r="Z741" s="1" t="s">
        <v>41</v>
      </c>
      <c r="AA741" s="1">
        <f t="shared" si="55"/>
        <v>273</v>
      </c>
      <c r="AB741" s="2" t="str">
        <f t="shared" si="59"/>
        <v>Clean</v>
      </c>
      <c r="AC741" s="2"/>
    </row>
    <row r="742" spans="1:29">
      <c r="A742" s="1" t="s">
        <v>2295</v>
      </c>
      <c r="B742" s="2">
        <v>45326</v>
      </c>
      <c r="C742" s="2" t="str">
        <f t="shared" si="56"/>
        <v>February</v>
      </c>
      <c r="D742" s="1">
        <f t="shared" si="57"/>
        <v>2024</v>
      </c>
      <c r="E742" s="2">
        <v>45384</v>
      </c>
      <c r="F742" s="1" t="s">
        <v>529</v>
      </c>
      <c r="G742" s="1" t="s">
        <v>140</v>
      </c>
      <c r="H742" s="1" t="s">
        <v>45</v>
      </c>
      <c r="I742" s="1" t="s">
        <v>71</v>
      </c>
      <c r="J742" s="1" t="s">
        <v>72</v>
      </c>
      <c r="K742" s="1" t="s">
        <v>73</v>
      </c>
      <c r="L742" s="1" t="s">
        <v>49</v>
      </c>
      <c r="M742" s="1" t="s">
        <v>74</v>
      </c>
      <c r="N742" s="1" t="s">
        <v>2296</v>
      </c>
      <c r="O742" s="1" t="s">
        <v>58</v>
      </c>
      <c r="P742" s="1">
        <v>4</v>
      </c>
      <c r="Q742" s="1">
        <v>2583</v>
      </c>
      <c r="R742" s="1">
        <v>0.1</v>
      </c>
      <c r="S742" s="1">
        <v>9298.7999999999993</v>
      </c>
      <c r="T742" s="1">
        <f t="shared" si="58"/>
        <v>9298.8000000000011</v>
      </c>
      <c r="U742" s="1">
        <v>6548.5</v>
      </c>
      <c r="V742" s="3">
        <f>IF(T742=0,"",X742/T742)</f>
        <v>0.29576934658235482</v>
      </c>
      <c r="W742" s="1">
        <v>2750.3</v>
      </c>
      <c r="X742" s="1">
        <f>T742-U742</f>
        <v>2750.3000000000011</v>
      </c>
      <c r="Y742" s="1" t="s">
        <v>40</v>
      </c>
      <c r="Z742" s="1" t="s">
        <v>41</v>
      </c>
      <c r="AA742" s="1">
        <f t="shared" si="55"/>
        <v>58</v>
      </c>
      <c r="AB742" s="2" t="str">
        <f t="shared" si="59"/>
        <v>Clean</v>
      </c>
      <c r="AC742" s="2"/>
    </row>
    <row r="743" spans="1:29">
      <c r="A743" s="1" t="s">
        <v>2297</v>
      </c>
      <c r="B743" s="2">
        <v>45770</v>
      </c>
      <c r="C743" s="2" t="str">
        <f t="shared" si="56"/>
        <v>April</v>
      </c>
      <c r="D743" s="1">
        <f t="shared" si="57"/>
        <v>2025</v>
      </c>
      <c r="E743" s="2">
        <v>45772</v>
      </c>
      <c r="F743" s="1" t="s">
        <v>2298</v>
      </c>
      <c r="G743" s="1" t="s">
        <v>55</v>
      </c>
      <c r="H743" s="1" t="s">
        <v>103</v>
      </c>
      <c r="I743" s="1" t="s">
        <v>62</v>
      </c>
      <c r="J743" s="1" t="s">
        <v>256</v>
      </c>
      <c r="K743" s="1" t="s">
        <v>257</v>
      </c>
      <c r="L743" s="1" t="s">
        <v>49</v>
      </c>
      <c r="M743" s="1" t="s">
        <v>74</v>
      </c>
      <c r="N743" s="1" t="s">
        <v>2299</v>
      </c>
      <c r="O743" s="1" t="s">
        <v>39</v>
      </c>
      <c r="P743" s="1">
        <v>3</v>
      </c>
      <c r="Q743" s="1">
        <v>2951.12</v>
      </c>
      <c r="R743" s="1">
        <v>0</v>
      </c>
      <c r="S743" s="1">
        <v>7082.69</v>
      </c>
      <c r="T743" s="1">
        <f t="shared" si="58"/>
        <v>8853.36</v>
      </c>
      <c r="U743" s="1">
        <v>5596.34</v>
      </c>
      <c r="V743" s="3">
        <f>IF(T743=0,"",X743/T743)</f>
        <v>0.36788518709280998</v>
      </c>
      <c r="W743" s="1">
        <v>1486.35</v>
      </c>
      <c r="X743" s="1">
        <f>T743-U743</f>
        <v>3257.0200000000004</v>
      </c>
      <c r="Y743" s="1" t="s">
        <v>40</v>
      </c>
      <c r="Z743" s="1" t="s">
        <v>76</v>
      </c>
      <c r="AA743" s="1">
        <f t="shared" si="55"/>
        <v>2</v>
      </c>
      <c r="AB743" s="2" t="str">
        <f t="shared" si="59"/>
        <v>Clean</v>
      </c>
      <c r="AC743" s="2"/>
    </row>
    <row r="744" spans="1:29">
      <c r="A744" s="1" t="s">
        <v>2300</v>
      </c>
      <c r="B744" s="2">
        <v>45580</v>
      </c>
      <c r="C744" s="2" t="str">
        <f t="shared" si="56"/>
        <v>October</v>
      </c>
      <c r="D744" s="1">
        <f t="shared" si="57"/>
        <v>2024</v>
      </c>
      <c r="E744" s="2">
        <v>45587</v>
      </c>
      <c r="F744" s="1" t="s">
        <v>2301</v>
      </c>
      <c r="G744" s="1" t="s">
        <v>31</v>
      </c>
      <c r="H744" s="1" t="s">
        <v>98</v>
      </c>
      <c r="I744" s="1" t="s">
        <v>46</v>
      </c>
      <c r="J744" s="1" t="s">
        <v>47</v>
      </c>
      <c r="K744" s="1" t="s">
        <v>48</v>
      </c>
      <c r="L744" s="1" t="s">
        <v>36</v>
      </c>
      <c r="M744" s="1" t="s">
        <v>37</v>
      </c>
      <c r="N744" s="1" t="s">
        <v>2302</v>
      </c>
      <c r="O744" s="1" t="s">
        <v>67</v>
      </c>
      <c r="P744" s="1">
        <v>4</v>
      </c>
      <c r="Q744" s="1">
        <v>2260.9499999999998</v>
      </c>
      <c r="R744" s="1">
        <v>0</v>
      </c>
      <c r="S744" s="1">
        <v>9043.7999999999993</v>
      </c>
      <c r="T744" s="1">
        <f t="shared" si="58"/>
        <v>9043.7999999999993</v>
      </c>
      <c r="U744" s="1">
        <v>5913.38</v>
      </c>
      <c r="V744" s="3">
        <f>IF(T744=0,"",X744/T744)</f>
        <v>0.34613989694597397</v>
      </c>
      <c r="W744" s="1">
        <v>3130.42</v>
      </c>
      <c r="X744" s="1">
        <f>T744-U744</f>
        <v>3130.4199999999992</v>
      </c>
      <c r="Y744" s="1" t="s">
        <v>40</v>
      </c>
      <c r="Z744" s="1" t="s">
        <v>41</v>
      </c>
      <c r="AA744" s="1">
        <f t="shared" si="55"/>
        <v>7</v>
      </c>
      <c r="AB744" s="2" t="str">
        <f t="shared" si="59"/>
        <v>Clean</v>
      </c>
      <c r="AC744" s="2"/>
    </row>
    <row r="745" spans="1:29">
      <c r="A745" s="1" t="s">
        <v>2303</v>
      </c>
      <c r="B745" s="2">
        <v>45700</v>
      </c>
      <c r="C745" s="2" t="str">
        <f t="shared" si="56"/>
        <v>February</v>
      </c>
      <c r="D745" s="1">
        <f t="shared" si="57"/>
        <v>2025</v>
      </c>
      <c r="E745" s="2">
        <v>45702</v>
      </c>
      <c r="F745" s="1" t="s">
        <v>2304</v>
      </c>
      <c r="G745" s="1" t="s">
        <v>140</v>
      </c>
      <c r="H745" s="1" t="s">
        <v>32</v>
      </c>
      <c r="I745" s="1" t="s">
        <v>33</v>
      </c>
      <c r="J745" s="1" t="s">
        <v>144</v>
      </c>
      <c r="K745" s="1" t="s">
        <v>145</v>
      </c>
      <c r="L745" s="1" t="s">
        <v>36</v>
      </c>
      <c r="M745" s="1" t="s">
        <v>56</v>
      </c>
      <c r="N745" s="1" t="s">
        <v>2305</v>
      </c>
      <c r="O745" s="1" t="s">
        <v>67</v>
      </c>
      <c r="P745" s="1">
        <v>6</v>
      </c>
      <c r="Q745" s="1">
        <v>491.4</v>
      </c>
      <c r="R745" s="1">
        <v>0.25</v>
      </c>
      <c r="S745" s="1">
        <v>2211.3000000000002</v>
      </c>
      <c r="T745" s="1">
        <f t="shared" si="58"/>
        <v>2211.2999999999997</v>
      </c>
      <c r="U745" s="1">
        <v>1735.64</v>
      </c>
      <c r="V745" s="3">
        <f>IF(T745=0,"",X745/T745)</f>
        <v>0.21510423732645942</v>
      </c>
      <c r="W745" s="1">
        <v>475.66</v>
      </c>
      <c r="X745" s="1">
        <f>T745-U745</f>
        <v>475.65999999999963</v>
      </c>
      <c r="Y745" s="1" t="s">
        <v>40</v>
      </c>
      <c r="Z745" s="1" t="s">
        <v>41</v>
      </c>
      <c r="AA745" s="1">
        <f t="shared" si="55"/>
        <v>2</v>
      </c>
      <c r="AB745" s="2" t="str">
        <f t="shared" si="59"/>
        <v>Clean</v>
      </c>
      <c r="AC745" s="2"/>
    </row>
    <row r="746" spans="1:29">
      <c r="A746" s="1" t="s">
        <v>2306</v>
      </c>
      <c r="B746" s="2">
        <v>45886</v>
      </c>
      <c r="C746" s="2" t="str">
        <f t="shared" si="56"/>
        <v>August</v>
      </c>
      <c r="D746" s="1">
        <f t="shared" si="57"/>
        <v>2025</v>
      </c>
      <c r="E746" s="2">
        <v>45889</v>
      </c>
      <c r="F746" s="1" t="s">
        <v>2307</v>
      </c>
      <c r="G746" s="1" t="s">
        <v>44</v>
      </c>
      <c r="H746" s="1" t="s">
        <v>103</v>
      </c>
      <c r="I746" s="1" t="s">
        <v>33</v>
      </c>
      <c r="J746" s="1" t="s">
        <v>130</v>
      </c>
      <c r="K746" s="1" t="s">
        <v>131</v>
      </c>
      <c r="L746" s="1" t="s">
        <v>36</v>
      </c>
      <c r="M746" s="1" t="s">
        <v>161</v>
      </c>
      <c r="N746" s="1" t="s">
        <v>2308</v>
      </c>
      <c r="O746" s="1" t="s">
        <v>58</v>
      </c>
      <c r="P746" s="1">
        <v>5</v>
      </c>
      <c r="Q746" s="1">
        <v>2701.89</v>
      </c>
      <c r="R746" s="1">
        <v>0.1</v>
      </c>
      <c r="S746" s="1">
        <v>12158.5</v>
      </c>
      <c r="T746" s="1">
        <f t="shared" si="58"/>
        <v>12158.504999999999</v>
      </c>
      <c r="U746" s="1">
        <v>10260.07</v>
      </c>
      <c r="V746" s="3">
        <f>IF(T746=0,"",X746/T746)</f>
        <v>0.15614049589155901</v>
      </c>
      <c r="W746" s="1">
        <v>1898.43</v>
      </c>
      <c r="X746" s="1">
        <f>T746-U746</f>
        <v>1898.4349999999995</v>
      </c>
      <c r="Y746" s="1" t="s">
        <v>40</v>
      </c>
      <c r="Z746" s="1" t="s">
        <v>76</v>
      </c>
      <c r="AA746" s="1">
        <f t="shared" si="55"/>
        <v>3</v>
      </c>
      <c r="AB746" s="2" t="str">
        <f t="shared" si="59"/>
        <v>Clean</v>
      </c>
      <c r="AC746" s="2"/>
    </row>
    <row r="747" spans="1:29">
      <c r="A747" s="1" t="s">
        <v>2309</v>
      </c>
      <c r="B747" s="2">
        <v>45589</v>
      </c>
      <c r="C747" s="2" t="str">
        <f t="shared" si="56"/>
        <v>October</v>
      </c>
      <c r="D747" s="1">
        <f t="shared" si="57"/>
        <v>2024</v>
      </c>
      <c r="E747" s="2">
        <v>45593</v>
      </c>
      <c r="F747" s="1" t="s">
        <v>2310</v>
      </c>
      <c r="G747" s="1" t="s">
        <v>44</v>
      </c>
      <c r="H747" s="1" t="s">
        <v>45</v>
      </c>
      <c r="I747" s="1" t="s">
        <v>46</v>
      </c>
      <c r="J747" s="1" t="s">
        <v>174</v>
      </c>
      <c r="K747" s="1" t="s">
        <v>175</v>
      </c>
      <c r="L747" s="1" t="s">
        <v>82</v>
      </c>
      <c r="M747" s="1" t="s">
        <v>88</v>
      </c>
      <c r="N747" s="1" t="s">
        <v>2311</v>
      </c>
      <c r="O747" s="1" t="s">
        <v>67</v>
      </c>
      <c r="P747" s="1">
        <v>3</v>
      </c>
      <c r="Q747" s="1">
        <v>723.59</v>
      </c>
      <c r="R747" s="1">
        <v>0.2</v>
      </c>
      <c r="S747" s="1">
        <v>1736.62</v>
      </c>
      <c r="T747" s="1">
        <f t="shared" si="58"/>
        <v>1736.616</v>
      </c>
      <c r="U747" s="1">
        <v>1059.52</v>
      </c>
      <c r="V747" s="3">
        <f>IF(T747=0,"",X747/T747)</f>
        <v>0.38989390861307277</v>
      </c>
      <c r="W747" s="1">
        <v>677.1</v>
      </c>
      <c r="X747" s="1">
        <f>T747-U747</f>
        <v>677.096</v>
      </c>
      <c r="Y747" s="1" t="s">
        <v>40</v>
      </c>
      <c r="Z747" s="1" t="s">
        <v>41</v>
      </c>
      <c r="AA747" s="1">
        <f t="shared" si="55"/>
        <v>4</v>
      </c>
      <c r="AB747" s="2" t="str">
        <f t="shared" si="59"/>
        <v>Clean</v>
      </c>
      <c r="AC747" s="2"/>
    </row>
    <row r="748" spans="1:29">
      <c r="A748" s="1" t="s">
        <v>2312</v>
      </c>
      <c r="B748" s="2">
        <v>45748</v>
      </c>
      <c r="C748" s="2" t="str">
        <f t="shared" si="56"/>
        <v>April</v>
      </c>
      <c r="D748" s="1">
        <f t="shared" si="57"/>
        <v>2025</v>
      </c>
      <c r="E748" s="2">
        <v>45931</v>
      </c>
      <c r="F748" s="1" t="s">
        <v>2021</v>
      </c>
      <c r="G748" s="1" t="s">
        <v>136</v>
      </c>
      <c r="H748" s="1" t="s">
        <v>103</v>
      </c>
      <c r="I748" s="1" t="s">
        <v>46</v>
      </c>
      <c r="J748" s="1" t="s">
        <v>107</v>
      </c>
      <c r="K748" s="1" t="s">
        <v>108</v>
      </c>
      <c r="L748" s="1" t="s">
        <v>36</v>
      </c>
      <c r="M748" s="1" t="s">
        <v>37</v>
      </c>
      <c r="N748" s="1" t="s">
        <v>2313</v>
      </c>
      <c r="O748" s="1" t="s">
        <v>67</v>
      </c>
      <c r="P748" s="1">
        <v>4</v>
      </c>
      <c r="Q748" s="1">
        <v>2583.19</v>
      </c>
      <c r="R748" s="1">
        <v>0.2</v>
      </c>
      <c r="S748" s="1">
        <v>8266.2099999999991</v>
      </c>
      <c r="T748" s="1">
        <f t="shared" si="58"/>
        <v>8266.2080000000005</v>
      </c>
      <c r="U748" s="1">
        <v>6236.32</v>
      </c>
      <c r="V748" s="3">
        <f>IF(T748=0,"",X748/T748)</f>
        <v>0.24556459261610653</v>
      </c>
      <c r="W748" s="1">
        <v>2029.89</v>
      </c>
      <c r="X748" s="1">
        <f>T748-U748</f>
        <v>2029.8880000000008</v>
      </c>
      <c r="Y748" s="1" t="s">
        <v>40</v>
      </c>
      <c r="Z748" s="1" t="s">
        <v>41</v>
      </c>
      <c r="AA748" s="1">
        <f t="shared" si="55"/>
        <v>183</v>
      </c>
      <c r="AB748" s="2" t="str">
        <f t="shared" si="59"/>
        <v>Clean</v>
      </c>
      <c r="AC748" s="2"/>
    </row>
    <row r="749" spans="1:29">
      <c r="A749" s="1" t="s">
        <v>2314</v>
      </c>
      <c r="B749" s="2">
        <v>45296</v>
      </c>
      <c r="C749" s="2" t="str">
        <f t="shared" si="56"/>
        <v>January</v>
      </c>
      <c r="D749" s="1">
        <f t="shared" si="57"/>
        <v>2024</v>
      </c>
      <c r="E749" s="2">
        <v>45478</v>
      </c>
      <c r="F749" s="1" t="s">
        <v>2315</v>
      </c>
      <c r="G749" s="1" t="s">
        <v>55</v>
      </c>
      <c r="H749" s="1" t="s">
        <v>103</v>
      </c>
      <c r="I749" s="1" t="s">
        <v>46</v>
      </c>
      <c r="J749" s="1" t="s">
        <v>47</v>
      </c>
      <c r="K749" s="1" t="s">
        <v>48</v>
      </c>
      <c r="L749" s="1" t="s">
        <v>36</v>
      </c>
      <c r="M749" s="1" t="s">
        <v>37</v>
      </c>
      <c r="N749" s="1" t="s">
        <v>2316</v>
      </c>
      <c r="O749" s="1" t="s">
        <v>52</v>
      </c>
      <c r="P749" s="1">
        <v>8</v>
      </c>
      <c r="Q749" s="1">
        <v>1473.83</v>
      </c>
      <c r="R749" s="1">
        <v>0.15</v>
      </c>
      <c r="S749" s="1">
        <v>10022.040000000001</v>
      </c>
      <c r="T749" s="1">
        <f t="shared" si="58"/>
        <v>10022.044</v>
      </c>
      <c r="U749" s="1">
        <v>5576.98</v>
      </c>
      <c r="V749" s="3">
        <f>IF(T749=0,"",X749/T749)</f>
        <v>0.44352868536597928</v>
      </c>
      <c r="W749" s="1">
        <v>4445.0600000000004</v>
      </c>
      <c r="X749" s="1">
        <f>T749-U749</f>
        <v>4445.0640000000003</v>
      </c>
      <c r="Y749" s="1" t="s">
        <v>40</v>
      </c>
      <c r="Z749" s="1" t="s">
        <v>41</v>
      </c>
      <c r="AA749" s="1">
        <f t="shared" si="55"/>
        <v>182</v>
      </c>
      <c r="AB749" s="2" t="str">
        <f t="shared" si="59"/>
        <v>Clean</v>
      </c>
      <c r="AC749" s="2"/>
    </row>
    <row r="750" spans="1:29">
      <c r="A750" s="1" t="s">
        <v>2317</v>
      </c>
      <c r="B750" s="2">
        <v>45442</v>
      </c>
      <c r="C750" s="2" t="str">
        <f t="shared" si="56"/>
        <v>May</v>
      </c>
      <c r="D750" s="1">
        <f t="shared" si="57"/>
        <v>2024</v>
      </c>
      <c r="E750" s="2">
        <v>45442</v>
      </c>
      <c r="F750" s="1" t="s">
        <v>2318</v>
      </c>
      <c r="G750" s="1" t="s">
        <v>170</v>
      </c>
      <c r="H750" s="1" t="s">
        <v>103</v>
      </c>
      <c r="I750" s="1" t="s">
        <v>33</v>
      </c>
      <c r="J750" s="1" t="s">
        <v>245</v>
      </c>
      <c r="K750" s="1" t="s">
        <v>246</v>
      </c>
      <c r="L750" s="1" t="s">
        <v>82</v>
      </c>
      <c r="M750" s="1" t="s">
        <v>179</v>
      </c>
      <c r="N750" s="1" t="s">
        <v>2319</v>
      </c>
      <c r="O750" s="1" t="s">
        <v>39</v>
      </c>
      <c r="P750" s="1">
        <v>1</v>
      </c>
      <c r="Q750" s="1">
        <v>3848.04</v>
      </c>
      <c r="R750" s="1">
        <v>0.25</v>
      </c>
      <c r="S750" s="1">
        <v>2886.03</v>
      </c>
      <c r="T750" s="1">
        <f t="shared" si="58"/>
        <v>2886.0299999999997</v>
      </c>
      <c r="U750" s="1">
        <v>2064.83</v>
      </c>
      <c r="V750" s="3">
        <f>IF(T750=0,"",X750/T750)</f>
        <v>0.28454312671732446</v>
      </c>
      <c r="W750" s="1">
        <v>821.2</v>
      </c>
      <c r="X750" s="1">
        <f>T750-U750</f>
        <v>821.19999999999982</v>
      </c>
      <c r="Y750" s="1" t="s">
        <v>40</v>
      </c>
      <c r="Z750" s="1" t="s">
        <v>41</v>
      </c>
      <c r="AA750" s="1">
        <f t="shared" si="55"/>
        <v>0</v>
      </c>
      <c r="AB750" s="2" t="str">
        <f t="shared" si="59"/>
        <v>Clean</v>
      </c>
      <c r="AC750" s="2"/>
    </row>
    <row r="751" spans="1:29">
      <c r="A751" s="1" t="s">
        <v>2320</v>
      </c>
      <c r="B751" s="2">
        <v>45372</v>
      </c>
      <c r="C751" s="2" t="str">
        <f t="shared" si="56"/>
        <v>March</v>
      </c>
      <c r="D751" s="1">
        <f t="shared" si="57"/>
        <v>2024</v>
      </c>
      <c r="E751" s="2">
        <v>45376</v>
      </c>
      <c r="F751" s="1" t="s">
        <v>2321</v>
      </c>
      <c r="G751" s="1" t="s">
        <v>97</v>
      </c>
      <c r="H751" s="1" t="s">
        <v>103</v>
      </c>
      <c r="I751" s="1" t="s">
        <v>46</v>
      </c>
      <c r="J751" s="1" t="s">
        <v>174</v>
      </c>
      <c r="K751" s="1" t="s">
        <v>175</v>
      </c>
      <c r="L751" s="1" t="s">
        <v>82</v>
      </c>
      <c r="M751" s="1" t="s">
        <v>283</v>
      </c>
      <c r="N751" s="1" t="s">
        <v>2322</v>
      </c>
      <c r="O751" s="1" t="s">
        <v>67</v>
      </c>
      <c r="P751" s="1">
        <v>1</v>
      </c>
      <c r="Q751" s="1">
        <v>1716.7</v>
      </c>
      <c r="R751" s="1">
        <v>0.15</v>
      </c>
      <c r="S751" s="1">
        <v>1459.19</v>
      </c>
      <c r="T751" s="1">
        <f t="shared" si="58"/>
        <v>1459.1949999999999</v>
      </c>
      <c r="U751" s="1">
        <v>1055.79</v>
      </c>
      <c r="V751" s="3">
        <f>IF(T751=0,"",X751/T751)</f>
        <v>0.27645722470266137</v>
      </c>
      <c r="W751" s="1">
        <v>403.4</v>
      </c>
      <c r="X751" s="1">
        <f>T751-U751</f>
        <v>403.40499999999997</v>
      </c>
      <c r="Y751" s="1" t="s">
        <v>40</v>
      </c>
      <c r="Z751" s="1" t="s">
        <v>41</v>
      </c>
      <c r="AA751" s="1">
        <f t="shared" si="55"/>
        <v>4</v>
      </c>
      <c r="AB751" s="2" t="str">
        <f t="shared" si="59"/>
        <v>Clean</v>
      </c>
      <c r="AC751" s="2"/>
    </row>
    <row r="752" spans="1:29">
      <c r="A752" s="1" t="s">
        <v>2323</v>
      </c>
      <c r="B752" s="2">
        <v>45810</v>
      </c>
      <c r="C752" s="2" t="str">
        <f t="shared" si="56"/>
        <v>June</v>
      </c>
      <c r="D752" s="1">
        <f t="shared" si="57"/>
        <v>2025</v>
      </c>
      <c r="E752" s="2">
        <v>45694</v>
      </c>
      <c r="F752" s="1" t="s">
        <v>2324</v>
      </c>
      <c r="G752" s="1" t="s">
        <v>136</v>
      </c>
      <c r="H752" s="1" t="s">
        <v>103</v>
      </c>
      <c r="I752" s="1" t="s">
        <v>62</v>
      </c>
      <c r="J752" s="1" t="s">
        <v>63</v>
      </c>
      <c r="K752" s="1" t="s">
        <v>64</v>
      </c>
      <c r="L752" s="1" t="s">
        <v>82</v>
      </c>
      <c r="M752" s="1" t="s">
        <v>83</v>
      </c>
      <c r="N752" s="1" t="s">
        <v>2325</v>
      </c>
      <c r="O752" s="1" t="s">
        <v>58</v>
      </c>
      <c r="P752" s="1">
        <v>8</v>
      </c>
      <c r="Q752" s="1">
        <v>3925.93</v>
      </c>
      <c r="R752" s="1">
        <v>0.15</v>
      </c>
      <c r="S752" s="1">
        <v>26696.32</v>
      </c>
      <c r="T752" s="1">
        <f t="shared" si="58"/>
        <v>26696.323999999997</v>
      </c>
      <c r="U752" s="1">
        <v>22724.52</v>
      </c>
      <c r="V752" s="3">
        <f>IF(T752=0,"",X752/T752)</f>
        <v>0.14877718745097629</v>
      </c>
      <c r="W752" s="1">
        <v>3971.8</v>
      </c>
      <c r="X752" s="1">
        <f>T752-U752</f>
        <v>3971.8039999999964</v>
      </c>
      <c r="Y752" s="1" t="s">
        <v>40</v>
      </c>
      <c r="Z752" s="1" t="s">
        <v>41</v>
      </c>
      <c r="AA752" s="4">
        <f t="shared" si="55"/>
        <v>-116</v>
      </c>
      <c r="AB752" s="2" t="str">
        <f t="shared" si="59"/>
        <v>Invalid</v>
      </c>
      <c r="AC752" s="2"/>
    </row>
    <row r="753" spans="1:29">
      <c r="A753" s="1" t="s">
        <v>2326</v>
      </c>
      <c r="B753" s="2">
        <v>45856</v>
      </c>
      <c r="C753" s="2" t="str">
        <f t="shared" si="56"/>
        <v>July</v>
      </c>
      <c r="D753" s="1">
        <f t="shared" si="57"/>
        <v>2025</v>
      </c>
      <c r="E753" s="2">
        <v>45857</v>
      </c>
      <c r="F753" s="1" t="s">
        <v>2327</v>
      </c>
      <c r="G753" s="1" t="s">
        <v>122</v>
      </c>
      <c r="H753" s="1" t="s">
        <v>103</v>
      </c>
      <c r="I753" s="1" t="s">
        <v>213</v>
      </c>
      <c r="J753" s="1" t="s">
        <v>144</v>
      </c>
      <c r="K753" s="1" t="s">
        <v>145</v>
      </c>
      <c r="L753" s="1" t="s">
        <v>82</v>
      </c>
      <c r="M753" s="1" t="s">
        <v>283</v>
      </c>
      <c r="N753" s="1" t="s">
        <v>2328</v>
      </c>
      <c r="O753" s="1" t="s">
        <v>213</v>
      </c>
      <c r="P753" s="1">
        <v>3</v>
      </c>
      <c r="Q753" s="1">
        <v>2963.25</v>
      </c>
      <c r="R753" s="1">
        <v>0.05</v>
      </c>
      <c r="S753" s="1">
        <v>8445.26</v>
      </c>
      <c r="T753" s="1">
        <f t="shared" si="58"/>
        <v>8445.2624999999989</v>
      </c>
      <c r="U753" s="1">
        <v>6937.6</v>
      </c>
      <c r="V753" s="3">
        <f>IF(T753=0,"",X753/T753)</f>
        <v>0.17852168597482893</v>
      </c>
      <c r="W753" s="1">
        <v>1507.66</v>
      </c>
      <c r="X753" s="1">
        <f>T753-U753</f>
        <v>1507.6624999999985</v>
      </c>
      <c r="Y753" s="1" t="s">
        <v>40</v>
      </c>
      <c r="Z753" s="1" t="s">
        <v>41</v>
      </c>
      <c r="AA753" s="1">
        <f t="shared" si="55"/>
        <v>1</v>
      </c>
      <c r="AB753" s="2" t="str">
        <f t="shared" si="59"/>
        <v>Warning</v>
      </c>
      <c r="AC753" s="2"/>
    </row>
    <row r="754" spans="1:29">
      <c r="A754" s="1" t="s">
        <v>2329</v>
      </c>
      <c r="B754" s="2">
        <v>45375</v>
      </c>
      <c r="C754" s="2" t="str">
        <f t="shared" si="56"/>
        <v>March</v>
      </c>
      <c r="D754" s="1">
        <f t="shared" si="57"/>
        <v>2024</v>
      </c>
      <c r="E754" s="2">
        <v>45378</v>
      </c>
      <c r="F754" s="1" t="s">
        <v>2330</v>
      </c>
      <c r="G754" s="1" t="s">
        <v>97</v>
      </c>
      <c r="H754" s="1" t="s">
        <v>98</v>
      </c>
      <c r="I754" s="1" t="s">
        <v>71</v>
      </c>
      <c r="J754" s="1" t="s">
        <v>188</v>
      </c>
      <c r="K754" s="1" t="s">
        <v>189</v>
      </c>
      <c r="L754" s="1" t="s">
        <v>36</v>
      </c>
      <c r="M754" s="1" t="s">
        <v>132</v>
      </c>
      <c r="N754" s="1" t="s">
        <v>2331</v>
      </c>
      <c r="O754" s="1" t="s">
        <v>58</v>
      </c>
      <c r="P754" s="1">
        <v>5</v>
      </c>
      <c r="Q754" s="1">
        <v>2465.2199999999998</v>
      </c>
      <c r="R754" s="1">
        <v>0.05</v>
      </c>
      <c r="S754" s="1">
        <v>11709.79</v>
      </c>
      <c r="T754" s="1">
        <f t="shared" si="58"/>
        <v>11709.794999999998</v>
      </c>
      <c r="U754" s="1">
        <v>8372.2900000000009</v>
      </c>
      <c r="V754" s="3">
        <f>IF(T754=0,"",X754/T754)</f>
        <v>0.28501822619439521</v>
      </c>
      <c r="W754" s="1">
        <v>3337.5</v>
      </c>
      <c r="X754" s="1">
        <f>T754-U754</f>
        <v>3337.5049999999974</v>
      </c>
      <c r="Y754" s="1" t="s">
        <v>40</v>
      </c>
      <c r="Z754" s="1" t="s">
        <v>41</v>
      </c>
      <c r="AA754" s="1">
        <f t="shared" si="55"/>
        <v>3</v>
      </c>
      <c r="AB754" s="2" t="str">
        <f t="shared" si="59"/>
        <v>Clean</v>
      </c>
      <c r="AC754" s="2"/>
    </row>
    <row r="755" spans="1:29">
      <c r="A755" s="1" t="s">
        <v>2332</v>
      </c>
      <c r="B755" s="2">
        <v>45604</v>
      </c>
      <c r="C755" s="2" t="str">
        <f t="shared" si="56"/>
        <v>November</v>
      </c>
      <c r="D755" s="1">
        <f t="shared" si="57"/>
        <v>2024</v>
      </c>
      <c r="E755" s="2">
        <v>45573</v>
      </c>
      <c r="F755" s="1" t="s">
        <v>2333</v>
      </c>
      <c r="G755" s="1" t="s">
        <v>97</v>
      </c>
      <c r="H755" s="1" t="s">
        <v>98</v>
      </c>
      <c r="I755" s="1" t="s">
        <v>33</v>
      </c>
      <c r="J755" s="1" t="s">
        <v>359</v>
      </c>
      <c r="K755" s="1" t="s">
        <v>360</v>
      </c>
      <c r="L755" s="1" t="s">
        <v>49</v>
      </c>
      <c r="M755" s="1" t="s">
        <v>65</v>
      </c>
      <c r="N755" s="1" t="s">
        <v>2334</v>
      </c>
      <c r="O755" s="1" t="s">
        <v>39</v>
      </c>
      <c r="P755" s="1">
        <v>3</v>
      </c>
      <c r="Q755" s="1">
        <v>1017.22</v>
      </c>
      <c r="R755" s="1">
        <v>0.15</v>
      </c>
      <c r="S755" s="1">
        <v>2593.91</v>
      </c>
      <c r="T755" s="1">
        <f t="shared" si="58"/>
        <v>2593.9109999999996</v>
      </c>
      <c r="U755" s="1">
        <v>1848.48</v>
      </c>
      <c r="V755" s="3">
        <f>IF(T755=0,"",X755/T755)</f>
        <v>0.28737724617382776</v>
      </c>
      <c r="W755" s="1">
        <v>745.43</v>
      </c>
      <c r="X755" s="1">
        <f>T755-U755</f>
        <v>745.43099999999959</v>
      </c>
      <c r="Y755" s="1" t="s">
        <v>163</v>
      </c>
      <c r="Z755" s="1" t="s">
        <v>111</v>
      </c>
      <c r="AA755" s="4">
        <f t="shared" si="55"/>
        <v>-31</v>
      </c>
      <c r="AB755" s="2" t="str">
        <f t="shared" si="59"/>
        <v>Invalid</v>
      </c>
      <c r="AC755" s="2"/>
    </row>
    <row r="756" spans="1:29">
      <c r="A756" s="1" t="s">
        <v>2335</v>
      </c>
      <c r="B756" s="2">
        <v>45812</v>
      </c>
      <c r="C756" s="2" t="str">
        <f t="shared" si="56"/>
        <v>June</v>
      </c>
      <c r="D756" s="1">
        <f t="shared" si="57"/>
        <v>2025</v>
      </c>
      <c r="E756" s="2">
        <v>45812</v>
      </c>
      <c r="F756" s="1" t="s">
        <v>2336</v>
      </c>
      <c r="G756" s="1" t="s">
        <v>87</v>
      </c>
      <c r="H756" s="1" t="s">
        <v>98</v>
      </c>
      <c r="I756" s="1" t="s">
        <v>62</v>
      </c>
      <c r="J756" s="1" t="s">
        <v>193</v>
      </c>
      <c r="K756" s="1" t="s">
        <v>194</v>
      </c>
      <c r="L756" s="1" t="s">
        <v>36</v>
      </c>
      <c r="M756" s="1" t="s">
        <v>132</v>
      </c>
      <c r="N756" s="1" t="s">
        <v>2337</v>
      </c>
      <c r="O756" s="1" t="s">
        <v>67</v>
      </c>
      <c r="P756" s="1">
        <v>4</v>
      </c>
      <c r="Q756" s="1">
        <v>891.34</v>
      </c>
      <c r="R756" s="1">
        <v>0.25</v>
      </c>
      <c r="S756" s="1">
        <v>2674.02</v>
      </c>
      <c r="T756" s="1">
        <f t="shared" si="58"/>
        <v>2674.02</v>
      </c>
      <c r="U756" s="1">
        <v>2207.5700000000002</v>
      </c>
      <c r="V756" s="3">
        <f>IF(T756=0,"",X756/T756)</f>
        <v>0.17443773793763689</v>
      </c>
      <c r="W756" s="1">
        <v>466.45</v>
      </c>
      <c r="X756" s="1">
        <f>T756-U756</f>
        <v>466.44999999999982</v>
      </c>
      <c r="Y756" s="1" t="s">
        <v>40</v>
      </c>
      <c r="Z756" s="1" t="s">
        <v>41</v>
      </c>
      <c r="AA756" s="1">
        <f t="shared" si="55"/>
        <v>0</v>
      </c>
      <c r="AB756" s="2" t="str">
        <f t="shared" si="59"/>
        <v>Clean</v>
      </c>
      <c r="AC756" s="2"/>
    </row>
    <row r="757" spans="1:29">
      <c r="A757" s="1" t="s">
        <v>2338</v>
      </c>
      <c r="B757" s="2">
        <v>45858</v>
      </c>
      <c r="C757" s="2" t="str">
        <f t="shared" si="56"/>
        <v>July</v>
      </c>
      <c r="D757" s="1">
        <f t="shared" si="57"/>
        <v>2025</v>
      </c>
      <c r="E757" s="2">
        <v>45862</v>
      </c>
      <c r="F757" s="1" t="s">
        <v>2339</v>
      </c>
      <c r="G757" s="1" t="s">
        <v>122</v>
      </c>
      <c r="H757" s="1" t="s">
        <v>103</v>
      </c>
      <c r="I757" s="1" t="s">
        <v>71</v>
      </c>
      <c r="J757" s="1" t="s">
        <v>80</v>
      </c>
      <c r="K757" s="1" t="s">
        <v>81</v>
      </c>
      <c r="L757" s="1" t="s">
        <v>36</v>
      </c>
      <c r="M757" s="1" t="s">
        <v>132</v>
      </c>
      <c r="N757" s="1" t="s">
        <v>2340</v>
      </c>
      <c r="O757" s="1" t="s">
        <v>39</v>
      </c>
      <c r="P757" s="1">
        <v>5</v>
      </c>
      <c r="Q757" s="1">
        <v>2481.7399999999998</v>
      </c>
      <c r="R757" s="1">
        <v>0.2</v>
      </c>
      <c r="S757" s="1">
        <v>9926.9599999999991</v>
      </c>
      <c r="T757" s="1">
        <f t="shared" si="58"/>
        <v>9926.9599999999991</v>
      </c>
      <c r="U757" s="1">
        <v>7994.98</v>
      </c>
      <c r="V757" s="3">
        <f>IF(T757=0,"",X757/T757)</f>
        <v>0.19461950083409219</v>
      </c>
      <c r="W757" s="1">
        <v>1931.98</v>
      </c>
      <c r="X757" s="1">
        <f>T757-U757</f>
        <v>1931.9799999999996</v>
      </c>
      <c r="Y757" s="1" t="s">
        <v>40</v>
      </c>
      <c r="Z757" s="1" t="s">
        <v>41</v>
      </c>
      <c r="AA757" s="1">
        <f t="shared" si="55"/>
        <v>4</v>
      </c>
      <c r="AB757" s="2" t="str">
        <f t="shared" si="59"/>
        <v>Clean</v>
      </c>
      <c r="AC757" s="2"/>
    </row>
    <row r="758" spans="1:29">
      <c r="A758" s="1" t="s">
        <v>2341</v>
      </c>
      <c r="B758" s="2">
        <v>45592</v>
      </c>
      <c r="C758" s="2" t="str">
        <f t="shared" si="56"/>
        <v>October</v>
      </c>
      <c r="D758" s="1">
        <f t="shared" si="57"/>
        <v>2024</v>
      </c>
      <c r="E758" s="2">
        <v>45597</v>
      </c>
      <c r="F758" s="1" t="s">
        <v>2342</v>
      </c>
      <c r="G758" s="1" t="s">
        <v>149</v>
      </c>
      <c r="H758" s="1" t="s">
        <v>32</v>
      </c>
      <c r="I758" s="1" t="s">
        <v>33</v>
      </c>
      <c r="J758" s="1" t="s">
        <v>34</v>
      </c>
      <c r="K758" s="1" t="s">
        <v>35</v>
      </c>
      <c r="L758" s="1" t="s">
        <v>82</v>
      </c>
      <c r="M758" s="1" t="s">
        <v>83</v>
      </c>
      <c r="N758" s="1" t="s">
        <v>2343</v>
      </c>
      <c r="O758" s="1" t="s">
        <v>52</v>
      </c>
      <c r="P758" s="1">
        <v>7</v>
      </c>
      <c r="Q758" s="1">
        <v>2177.1</v>
      </c>
      <c r="R758" s="1">
        <v>0.2</v>
      </c>
      <c r="S758" s="1">
        <v>12191.76</v>
      </c>
      <c r="T758" s="1">
        <f t="shared" si="58"/>
        <v>12191.76</v>
      </c>
      <c r="U758" s="1">
        <v>10457.49</v>
      </c>
      <c r="V758" s="3">
        <f>IF(T758=0,"",X758/T758)</f>
        <v>0.14224935530226976</v>
      </c>
      <c r="W758" s="1">
        <v>1734.27</v>
      </c>
      <c r="X758" s="1">
        <f>T758-U758</f>
        <v>1734.2700000000004</v>
      </c>
      <c r="Y758" s="1" t="s">
        <v>40</v>
      </c>
      <c r="Z758" s="1" t="s">
        <v>111</v>
      </c>
      <c r="AA758" s="1">
        <f t="shared" si="55"/>
        <v>5</v>
      </c>
      <c r="AB758" s="2" t="str">
        <f t="shared" si="59"/>
        <v>Clean</v>
      </c>
      <c r="AC758" s="2"/>
    </row>
    <row r="759" spans="1:29">
      <c r="A759" s="1" t="s">
        <v>2344</v>
      </c>
      <c r="B759" s="2">
        <v>45665</v>
      </c>
      <c r="C759" s="2" t="str">
        <f t="shared" si="56"/>
        <v>January</v>
      </c>
      <c r="D759" s="1">
        <f t="shared" si="57"/>
        <v>2025</v>
      </c>
      <c r="E759" s="2">
        <v>45724</v>
      </c>
      <c r="F759" s="1" t="s">
        <v>2345</v>
      </c>
      <c r="G759" s="1" t="s">
        <v>97</v>
      </c>
      <c r="H759" s="1" t="s">
        <v>45</v>
      </c>
      <c r="I759" s="1" t="s">
        <v>62</v>
      </c>
      <c r="J759" s="1" t="s">
        <v>193</v>
      </c>
      <c r="K759" s="1" t="s">
        <v>194</v>
      </c>
      <c r="L759" s="1" t="s">
        <v>49</v>
      </c>
      <c r="M759" s="1" t="s">
        <v>166</v>
      </c>
      <c r="N759" s="1" t="s">
        <v>2346</v>
      </c>
      <c r="O759" s="1" t="s">
        <v>67</v>
      </c>
      <c r="P759" s="1">
        <v>3</v>
      </c>
      <c r="Q759" s="1">
        <v>1904.78</v>
      </c>
      <c r="R759" s="1">
        <v>0.25</v>
      </c>
      <c r="S759" s="1">
        <v>4285.76</v>
      </c>
      <c r="T759" s="1">
        <f t="shared" si="58"/>
        <v>4285.7550000000001</v>
      </c>
      <c r="U759" s="1">
        <v>2386.33</v>
      </c>
      <c r="V759" s="3">
        <f>IF(T759=0,"",X759/T759)</f>
        <v>0.44319495631458172</v>
      </c>
      <c r="W759" s="1">
        <v>1899.43</v>
      </c>
      <c r="X759" s="1">
        <f>T759-U759</f>
        <v>1899.4250000000002</v>
      </c>
      <c r="Y759" s="1" t="s">
        <v>163</v>
      </c>
      <c r="Z759" s="1" t="s">
        <v>76</v>
      </c>
      <c r="AA759" s="1">
        <f t="shared" si="55"/>
        <v>59</v>
      </c>
      <c r="AB759" s="2" t="str">
        <f t="shared" si="59"/>
        <v>Clean</v>
      </c>
      <c r="AC759" s="2"/>
    </row>
    <row r="760" spans="1:29">
      <c r="A760" s="1" t="s">
        <v>2347</v>
      </c>
      <c r="B760" s="2">
        <v>45327</v>
      </c>
      <c r="C760" s="2" t="str">
        <f t="shared" si="56"/>
        <v>February</v>
      </c>
      <c r="D760" s="1">
        <f t="shared" si="57"/>
        <v>2024</v>
      </c>
      <c r="E760" s="2">
        <v>45570</v>
      </c>
      <c r="F760" s="1" t="s">
        <v>2348</v>
      </c>
      <c r="G760" s="1" t="s">
        <v>136</v>
      </c>
      <c r="H760" s="1" t="s">
        <v>45</v>
      </c>
      <c r="I760" s="1" t="s">
        <v>62</v>
      </c>
      <c r="J760" s="1" t="s">
        <v>183</v>
      </c>
      <c r="K760" s="1" t="s">
        <v>184</v>
      </c>
      <c r="L760" s="1" t="s">
        <v>49</v>
      </c>
      <c r="M760" s="1" t="s">
        <v>74</v>
      </c>
      <c r="N760" s="1" t="s">
        <v>2349</v>
      </c>
      <c r="O760" s="1" t="s">
        <v>67</v>
      </c>
      <c r="P760" s="1">
        <v>1</v>
      </c>
      <c r="Q760" s="1">
        <v>4166.91</v>
      </c>
      <c r="R760" s="1">
        <v>0</v>
      </c>
      <c r="S760" s="1">
        <v>4166.91</v>
      </c>
      <c r="T760" s="1">
        <f t="shared" si="58"/>
        <v>4166.91</v>
      </c>
      <c r="U760" s="1">
        <v>3412.63</v>
      </c>
      <c r="V760" s="3">
        <f>IF(T760=0,"",X760/T760)</f>
        <v>0.18101662862888801</v>
      </c>
      <c r="W760" s="1">
        <v>754.28</v>
      </c>
      <c r="X760" s="1">
        <f>T760-U760</f>
        <v>754.27999999999975</v>
      </c>
      <c r="Y760" s="1" t="s">
        <v>40</v>
      </c>
      <c r="Z760" s="1" t="s">
        <v>41</v>
      </c>
      <c r="AA760" s="1">
        <f t="shared" si="55"/>
        <v>243</v>
      </c>
      <c r="AB760" s="2" t="str">
        <f t="shared" si="59"/>
        <v>Clean</v>
      </c>
      <c r="AC760" s="2"/>
    </row>
    <row r="761" spans="1:29">
      <c r="A761" s="1" t="s">
        <v>2350</v>
      </c>
      <c r="B761" s="2">
        <v>45492</v>
      </c>
      <c r="C761" s="2" t="str">
        <f t="shared" si="56"/>
        <v>July</v>
      </c>
      <c r="D761" s="1">
        <f t="shared" si="57"/>
        <v>2024</v>
      </c>
      <c r="E761" s="2">
        <v>45499</v>
      </c>
      <c r="F761" s="1" t="s">
        <v>2351</v>
      </c>
      <c r="G761" s="1" t="s">
        <v>61</v>
      </c>
      <c r="H761" s="1" t="s">
        <v>103</v>
      </c>
      <c r="I761" s="1" t="s">
        <v>62</v>
      </c>
      <c r="J761" s="1" t="s">
        <v>183</v>
      </c>
      <c r="K761" s="1" t="s">
        <v>184</v>
      </c>
      <c r="L761" s="1" t="s">
        <v>49</v>
      </c>
      <c r="M761" s="1" t="s">
        <v>50</v>
      </c>
      <c r="N761" s="1" t="s">
        <v>2352</v>
      </c>
      <c r="O761" s="1" t="s">
        <v>39</v>
      </c>
      <c r="P761" s="1">
        <v>5</v>
      </c>
      <c r="Q761" s="1">
        <v>3986.01</v>
      </c>
      <c r="R761" s="1">
        <v>0.25</v>
      </c>
      <c r="S761" s="1">
        <v>14947.54</v>
      </c>
      <c r="T761" s="1">
        <f t="shared" si="58"/>
        <v>14947.537500000002</v>
      </c>
      <c r="U761" s="1">
        <v>9438.4599999999991</v>
      </c>
      <c r="V761" s="3">
        <f>IF(T761=0,"",X761/T761)</f>
        <v>0.36856087499362367</v>
      </c>
      <c r="W761" s="1">
        <v>5509.08</v>
      </c>
      <c r="X761" s="1">
        <f>T761-U761</f>
        <v>5509.0775000000031</v>
      </c>
      <c r="Y761" s="1" t="s">
        <v>40</v>
      </c>
      <c r="Z761" s="1" t="s">
        <v>41</v>
      </c>
      <c r="AA761" s="1">
        <f t="shared" si="55"/>
        <v>7</v>
      </c>
      <c r="AB761" s="2" t="str">
        <f t="shared" si="59"/>
        <v>Clean</v>
      </c>
      <c r="AC761" s="2"/>
    </row>
    <row r="762" spans="1:29">
      <c r="A762" s="1" t="s">
        <v>2353</v>
      </c>
      <c r="B762" s="2">
        <v>45532</v>
      </c>
      <c r="C762" s="2" t="str">
        <f t="shared" si="56"/>
        <v>August</v>
      </c>
      <c r="D762" s="1">
        <f t="shared" si="57"/>
        <v>2024</v>
      </c>
      <c r="E762" s="2">
        <v>45331</v>
      </c>
      <c r="F762" s="1" t="s">
        <v>2354</v>
      </c>
      <c r="G762" s="1" t="s">
        <v>97</v>
      </c>
      <c r="H762" s="1" t="s">
        <v>103</v>
      </c>
      <c r="I762" s="1" t="s">
        <v>46</v>
      </c>
      <c r="J762" s="1" t="s">
        <v>174</v>
      </c>
      <c r="K762" s="1" t="s">
        <v>175</v>
      </c>
      <c r="L762" s="1" t="s">
        <v>36</v>
      </c>
      <c r="M762" s="1" t="s">
        <v>56</v>
      </c>
      <c r="N762" s="1" t="s">
        <v>2355</v>
      </c>
      <c r="O762" s="1" t="s">
        <v>39</v>
      </c>
      <c r="P762" s="1">
        <v>4</v>
      </c>
      <c r="Q762" s="1">
        <v>3365.53</v>
      </c>
      <c r="R762" s="1">
        <v>0</v>
      </c>
      <c r="S762" s="1">
        <v>13462.12</v>
      </c>
      <c r="T762" s="1">
        <f t="shared" si="58"/>
        <v>13462.12</v>
      </c>
      <c r="U762" s="1">
        <v>7600.63</v>
      </c>
      <c r="V762" s="3">
        <f>IF(T762=0,"",X762/T762)</f>
        <v>0.43540616188237813</v>
      </c>
      <c r="W762" s="1">
        <v>5861.49</v>
      </c>
      <c r="X762" s="1">
        <f>T762-U762</f>
        <v>5861.4900000000007</v>
      </c>
      <c r="Y762" s="1" t="s">
        <v>119</v>
      </c>
      <c r="Z762" s="1" t="s">
        <v>111</v>
      </c>
      <c r="AA762" s="4">
        <f t="shared" si="55"/>
        <v>-201</v>
      </c>
      <c r="AB762" s="2" t="str">
        <f t="shared" si="59"/>
        <v>Invalid</v>
      </c>
      <c r="AC762" s="2"/>
    </row>
    <row r="763" spans="1:29">
      <c r="A763" s="1" t="s">
        <v>2356</v>
      </c>
      <c r="B763" s="2">
        <v>45896</v>
      </c>
      <c r="C763" s="2" t="str">
        <f t="shared" si="56"/>
        <v>August</v>
      </c>
      <c r="D763" s="1">
        <f t="shared" si="57"/>
        <v>2025</v>
      </c>
      <c r="E763" s="2">
        <v>45900</v>
      </c>
      <c r="F763" s="1" t="s">
        <v>2357</v>
      </c>
      <c r="G763" s="1" t="s">
        <v>55</v>
      </c>
      <c r="H763" s="1" t="s">
        <v>32</v>
      </c>
      <c r="I763" s="1" t="s">
        <v>62</v>
      </c>
      <c r="J763" s="1" t="s">
        <v>183</v>
      </c>
      <c r="K763" s="1" t="s">
        <v>184</v>
      </c>
      <c r="L763" s="1" t="s">
        <v>82</v>
      </c>
      <c r="M763" s="1" t="s">
        <v>283</v>
      </c>
      <c r="N763" s="1" t="s">
        <v>2358</v>
      </c>
      <c r="O763" s="1" t="s">
        <v>58</v>
      </c>
      <c r="P763" s="1">
        <v>3</v>
      </c>
      <c r="Q763" s="1">
        <v>2489.12</v>
      </c>
      <c r="R763" s="1">
        <v>0</v>
      </c>
      <c r="S763" s="1">
        <v>7467.36</v>
      </c>
      <c r="T763" s="1">
        <f t="shared" si="58"/>
        <v>7467.36</v>
      </c>
      <c r="U763" s="1">
        <v>5010.6099999999997</v>
      </c>
      <c r="V763" s="3">
        <f>IF(T763=0,"",X763/T763)</f>
        <v>0.32899846799940008</v>
      </c>
      <c r="W763" s="1">
        <v>2456.75</v>
      </c>
      <c r="X763" s="1">
        <f>T763-U763</f>
        <v>2456.75</v>
      </c>
      <c r="Y763" s="1" t="s">
        <v>40</v>
      </c>
      <c r="Z763" s="1" t="s">
        <v>41</v>
      </c>
      <c r="AA763" s="1">
        <f t="shared" si="55"/>
        <v>4</v>
      </c>
      <c r="AB763" s="2" t="str">
        <f t="shared" si="59"/>
        <v>Clean</v>
      </c>
      <c r="AC763" s="2"/>
    </row>
    <row r="764" spans="1:29">
      <c r="A764" s="1" t="s">
        <v>2359</v>
      </c>
      <c r="B764" s="2">
        <v>45292</v>
      </c>
      <c r="C764" s="2" t="str">
        <f t="shared" si="56"/>
        <v>January</v>
      </c>
      <c r="D764" s="1">
        <f t="shared" si="57"/>
        <v>2024</v>
      </c>
      <c r="E764" s="2">
        <v>45413</v>
      </c>
      <c r="F764" s="1" t="s">
        <v>2360</v>
      </c>
      <c r="G764" s="1" t="s">
        <v>170</v>
      </c>
      <c r="H764" s="1" t="s">
        <v>98</v>
      </c>
      <c r="I764" s="1" t="s">
        <v>71</v>
      </c>
      <c r="J764" s="1" t="s">
        <v>80</v>
      </c>
      <c r="K764" s="1" t="s">
        <v>81</v>
      </c>
      <c r="L764" s="1" t="s">
        <v>82</v>
      </c>
      <c r="M764" s="1" t="s">
        <v>283</v>
      </c>
      <c r="N764" s="1" t="s">
        <v>2361</v>
      </c>
      <c r="O764" s="1" t="s">
        <v>39</v>
      </c>
      <c r="P764" s="1">
        <v>2</v>
      </c>
      <c r="Q764" s="1">
        <v>3694.12</v>
      </c>
      <c r="R764" s="1">
        <v>0.2</v>
      </c>
      <c r="S764" s="1">
        <v>5910.59</v>
      </c>
      <c r="T764" s="1">
        <f t="shared" si="58"/>
        <v>5910.5920000000006</v>
      </c>
      <c r="U764" s="1">
        <v>4775.4399999999996</v>
      </c>
      <c r="V764" s="3">
        <f>IF(T764=0,"",X764/T764)</f>
        <v>0.19205385856442145</v>
      </c>
      <c r="W764" s="1">
        <v>1135.1500000000001</v>
      </c>
      <c r="X764" s="1">
        <f>T764-U764</f>
        <v>1135.152000000001</v>
      </c>
      <c r="Y764" s="1" t="s">
        <v>110</v>
      </c>
      <c r="Z764" s="1" t="s">
        <v>111</v>
      </c>
      <c r="AA764" s="1">
        <f t="shared" si="55"/>
        <v>121</v>
      </c>
      <c r="AB764" s="2" t="str">
        <f t="shared" si="59"/>
        <v>Clean</v>
      </c>
      <c r="AC764" s="2"/>
    </row>
    <row r="765" spans="1:29">
      <c r="A765" s="1" t="s">
        <v>2362</v>
      </c>
      <c r="B765" s="2">
        <v>45892</v>
      </c>
      <c r="C765" s="2" t="str">
        <f t="shared" si="56"/>
        <v>August</v>
      </c>
      <c r="D765" s="1">
        <f t="shared" si="57"/>
        <v>2025</v>
      </c>
      <c r="E765" s="2">
        <v>45894</v>
      </c>
      <c r="F765" s="1" t="s">
        <v>2363</v>
      </c>
      <c r="G765" s="1" t="s">
        <v>170</v>
      </c>
      <c r="H765" s="1" t="s">
        <v>32</v>
      </c>
      <c r="I765" s="1" t="s">
        <v>33</v>
      </c>
      <c r="J765" s="1" t="s">
        <v>34</v>
      </c>
      <c r="K765" s="1" t="s">
        <v>35</v>
      </c>
      <c r="L765" s="1" t="s">
        <v>49</v>
      </c>
      <c r="M765" s="1" t="s">
        <v>65</v>
      </c>
      <c r="N765" s="1" t="s">
        <v>2364</v>
      </c>
      <c r="O765" s="1" t="s">
        <v>52</v>
      </c>
      <c r="P765" s="1">
        <v>6</v>
      </c>
      <c r="Q765" s="1">
        <v>2742.48</v>
      </c>
      <c r="R765" s="1">
        <v>0</v>
      </c>
      <c r="S765" s="1">
        <v>16454.88</v>
      </c>
      <c r="T765" s="1">
        <f t="shared" si="58"/>
        <v>16454.88</v>
      </c>
      <c r="U765" s="1">
        <v>12081.54</v>
      </c>
      <c r="V765" s="3">
        <f>IF(T765=0,"",X765/T765)</f>
        <v>0.26577769026574488</v>
      </c>
      <c r="W765" s="1">
        <v>4373.34</v>
      </c>
      <c r="X765" s="1">
        <f>T765-U765</f>
        <v>4373.34</v>
      </c>
      <c r="Y765" s="1" t="s">
        <v>40</v>
      </c>
      <c r="Z765" s="1" t="s">
        <v>41</v>
      </c>
      <c r="AA765" s="1">
        <f t="shared" si="55"/>
        <v>2</v>
      </c>
      <c r="AB765" s="2" t="str">
        <f t="shared" si="59"/>
        <v>Clean</v>
      </c>
      <c r="AC765" s="2"/>
    </row>
    <row r="766" spans="1:29">
      <c r="A766" s="1" t="s">
        <v>2365</v>
      </c>
      <c r="B766" s="2">
        <v>45760</v>
      </c>
      <c r="C766" s="2" t="str">
        <f t="shared" si="56"/>
        <v>April</v>
      </c>
      <c r="D766" s="1">
        <f t="shared" si="57"/>
        <v>2025</v>
      </c>
      <c r="E766" s="2">
        <v>45760</v>
      </c>
      <c r="F766" s="1" t="s">
        <v>890</v>
      </c>
      <c r="G766" s="1" t="s">
        <v>122</v>
      </c>
      <c r="H766" s="1" t="s">
        <v>98</v>
      </c>
      <c r="I766" s="1" t="s">
        <v>62</v>
      </c>
      <c r="J766" s="1" t="s">
        <v>193</v>
      </c>
      <c r="K766" s="1" t="s">
        <v>194</v>
      </c>
      <c r="L766" s="1" t="s">
        <v>49</v>
      </c>
      <c r="M766" s="1" t="s">
        <v>166</v>
      </c>
      <c r="N766" s="1" t="s">
        <v>2366</v>
      </c>
      <c r="O766" s="1" t="s">
        <v>58</v>
      </c>
      <c r="P766" s="1">
        <v>6</v>
      </c>
      <c r="Q766" s="1">
        <v>4414</v>
      </c>
      <c r="R766" s="1">
        <v>0.05</v>
      </c>
      <c r="S766" s="1">
        <v>25159.8</v>
      </c>
      <c r="T766" s="1">
        <f t="shared" si="58"/>
        <v>25159.8</v>
      </c>
      <c r="U766" s="1">
        <v>21606.83</v>
      </c>
      <c r="V766" s="3">
        <f>IF(T766=0,"",X766/T766)</f>
        <v>0.14121614639226057</v>
      </c>
      <c r="W766" s="1">
        <v>3552.97</v>
      </c>
      <c r="X766" s="1">
        <f>T766-U766</f>
        <v>3552.9699999999975</v>
      </c>
      <c r="Y766" s="1" t="s">
        <v>40</v>
      </c>
      <c r="Z766" s="1" t="s">
        <v>41</v>
      </c>
      <c r="AA766" s="1">
        <f t="shared" si="55"/>
        <v>0</v>
      </c>
      <c r="AB766" s="2" t="str">
        <f t="shared" si="59"/>
        <v>Clean</v>
      </c>
      <c r="AC766" s="2"/>
    </row>
    <row r="767" spans="1:29">
      <c r="A767" s="1" t="s">
        <v>2367</v>
      </c>
      <c r="B767" s="2">
        <v>45837</v>
      </c>
      <c r="C767" s="2" t="str">
        <f t="shared" si="56"/>
        <v>June</v>
      </c>
      <c r="D767" s="1">
        <f t="shared" si="57"/>
        <v>2025</v>
      </c>
      <c r="E767" s="2">
        <v>45723</v>
      </c>
      <c r="F767" s="1" t="s">
        <v>2368</v>
      </c>
      <c r="G767" s="1" t="s">
        <v>79</v>
      </c>
      <c r="H767" s="1" t="s">
        <v>98</v>
      </c>
      <c r="I767" s="1" t="s">
        <v>46</v>
      </c>
      <c r="J767" s="1" t="s">
        <v>237</v>
      </c>
      <c r="K767" s="1" t="s">
        <v>238</v>
      </c>
      <c r="L767" s="1" t="s">
        <v>36</v>
      </c>
      <c r="M767" s="1" t="s">
        <v>99</v>
      </c>
      <c r="N767" s="1" t="s">
        <v>2369</v>
      </c>
      <c r="O767" s="1" t="s">
        <v>58</v>
      </c>
      <c r="P767" s="1">
        <v>3</v>
      </c>
      <c r="Q767" s="1">
        <v>608.14</v>
      </c>
      <c r="R767" s="1">
        <v>0</v>
      </c>
      <c r="S767" s="1">
        <v>1824.42</v>
      </c>
      <c r="T767" s="1">
        <f t="shared" si="58"/>
        <v>1824.42</v>
      </c>
      <c r="U767" s="1">
        <v>1214.8699999999999</v>
      </c>
      <c r="V767" s="3">
        <f>IF(T767=0,"",X767/T767)</f>
        <v>0.33410618169061956</v>
      </c>
      <c r="W767" s="1">
        <v>609.54999999999995</v>
      </c>
      <c r="X767" s="1">
        <f>T767-U767</f>
        <v>609.55000000000018</v>
      </c>
      <c r="Y767" s="1" t="s">
        <v>40</v>
      </c>
      <c r="Z767" s="1" t="s">
        <v>41</v>
      </c>
      <c r="AA767" s="4">
        <f t="shared" si="55"/>
        <v>-114</v>
      </c>
      <c r="AB767" s="2" t="str">
        <f t="shared" si="59"/>
        <v>Invalid</v>
      </c>
      <c r="AC767" s="2"/>
    </row>
    <row r="768" spans="1:29">
      <c r="A768" s="1" t="s">
        <v>2370</v>
      </c>
      <c r="B768" s="2">
        <v>45552</v>
      </c>
      <c r="C768" s="2" t="str">
        <f t="shared" si="56"/>
        <v>September</v>
      </c>
      <c r="D768" s="1">
        <f t="shared" si="57"/>
        <v>2024</v>
      </c>
      <c r="E768" s="2">
        <v>45559</v>
      </c>
      <c r="F768" s="1" t="s">
        <v>2371</v>
      </c>
      <c r="G768" s="1" t="s">
        <v>44</v>
      </c>
      <c r="H768" s="1" t="s">
        <v>98</v>
      </c>
      <c r="I768" s="1" t="s">
        <v>71</v>
      </c>
      <c r="J768" s="1" t="s">
        <v>188</v>
      </c>
      <c r="K768" s="1" t="s">
        <v>189</v>
      </c>
      <c r="L768" s="1" t="s">
        <v>36</v>
      </c>
      <c r="M768" s="1" t="s">
        <v>56</v>
      </c>
      <c r="N768" s="1" t="s">
        <v>2372</v>
      </c>
      <c r="O768" s="1" t="s">
        <v>39</v>
      </c>
      <c r="P768" s="1">
        <v>9</v>
      </c>
      <c r="Q768" s="1">
        <v>2307.96</v>
      </c>
      <c r="R768" s="1">
        <v>0.2</v>
      </c>
      <c r="S768" s="1">
        <v>16617.310000000001</v>
      </c>
      <c r="T768" s="1">
        <f t="shared" si="58"/>
        <v>16617.312000000002</v>
      </c>
      <c r="U768" s="1">
        <v>9195.73</v>
      </c>
      <c r="V768" s="3">
        <f>IF(T768=0,"",X768/T768)</f>
        <v>0.44661747940942564</v>
      </c>
      <c r="W768" s="1">
        <v>7421.58</v>
      </c>
      <c r="X768" s="1">
        <f>T768-U768</f>
        <v>7421.5820000000022</v>
      </c>
      <c r="Y768" s="1" t="s">
        <v>40</v>
      </c>
      <c r="Z768" s="1" t="s">
        <v>76</v>
      </c>
      <c r="AA768" s="1">
        <f t="shared" si="55"/>
        <v>7</v>
      </c>
      <c r="AB768" s="2" t="str">
        <f t="shared" si="59"/>
        <v>Clean</v>
      </c>
      <c r="AC768" s="2"/>
    </row>
    <row r="769" spans="1:29">
      <c r="A769" s="1" t="s">
        <v>2373</v>
      </c>
      <c r="B769" s="2">
        <v>45356</v>
      </c>
      <c r="C769" s="2" t="str">
        <f t="shared" si="56"/>
        <v>March</v>
      </c>
      <c r="D769" s="1">
        <f t="shared" si="57"/>
        <v>2024</v>
      </c>
      <c r="E769" s="2">
        <v>45418</v>
      </c>
      <c r="F769" s="1" t="s">
        <v>2374</v>
      </c>
      <c r="G769" s="1" t="s">
        <v>70</v>
      </c>
      <c r="H769" s="1" t="s">
        <v>103</v>
      </c>
      <c r="I769" s="1" t="s">
        <v>33</v>
      </c>
      <c r="J769" s="1" t="s">
        <v>144</v>
      </c>
      <c r="K769" s="1" t="s">
        <v>145</v>
      </c>
      <c r="L769" s="1" t="s">
        <v>36</v>
      </c>
      <c r="M769" s="1" t="s">
        <v>161</v>
      </c>
      <c r="N769" s="1" t="s">
        <v>2375</v>
      </c>
      <c r="O769" s="1" t="s">
        <v>67</v>
      </c>
      <c r="P769" s="1">
        <v>1</v>
      </c>
      <c r="Q769" s="1">
        <v>1244.58</v>
      </c>
      <c r="R769" s="1">
        <v>0.25</v>
      </c>
      <c r="S769" s="1">
        <v>933.43</v>
      </c>
      <c r="T769" s="1">
        <f t="shared" si="58"/>
        <v>933.43499999999995</v>
      </c>
      <c r="U769" s="1">
        <v>583.09</v>
      </c>
      <c r="V769" s="3">
        <f>IF(T769=0,"",X769/T769)</f>
        <v>0.3753287588316272</v>
      </c>
      <c r="W769" s="1">
        <v>350.34</v>
      </c>
      <c r="X769" s="1">
        <f>T769-U769</f>
        <v>350.34499999999991</v>
      </c>
      <c r="Y769" s="1" t="s">
        <v>40</v>
      </c>
      <c r="Z769" s="1" t="s">
        <v>41</v>
      </c>
      <c r="AA769" s="1">
        <f t="shared" si="55"/>
        <v>62</v>
      </c>
      <c r="AB769" s="2" t="str">
        <f t="shared" si="59"/>
        <v>Clean</v>
      </c>
      <c r="AC769" s="2"/>
    </row>
    <row r="770" spans="1:29">
      <c r="A770" s="1" t="s">
        <v>2376</v>
      </c>
      <c r="B770" s="2">
        <v>45692</v>
      </c>
      <c r="C770" s="2" t="str">
        <f t="shared" si="56"/>
        <v>February</v>
      </c>
      <c r="D770" s="1">
        <f t="shared" si="57"/>
        <v>2025</v>
      </c>
      <c r="E770" s="2">
        <v>45751</v>
      </c>
      <c r="F770" s="1" t="s">
        <v>2377</v>
      </c>
      <c r="G770" s="1" t="s">
        <v>140</v>
      </c>
      <c r="H770" s="1" t="s">
        <v>103</v>
      </c>
      <c r="I770" s="1" t="s">
        <v>46</v>
      </c>
      <c r="J770" s="1" t="s">
        <v>237</v>
      </c>
      <c r="K770" s="1" t="s">
        <v>238</v>
      </c>
      <c r="L770" s="1" t="s">
        <v>36</v>
      </c>
      <c r="M770" s="1" t="s">
        <v>37</v>
      </c>
      <c r="N770" s="1" t="s">
        <v>2378</v>
      </c>
      <c r="O770" s="1" t="s">
        <v>52</v>
      </c>
      <c r="P770" s="1">
        <v>5</v>
      </c>
      <c r="Q770" s="1">
        <v>3234.24</v>
      </c>
      <c r="R770" s="1">
        <v>0.1</v>
      </c>
      <c r="S770" s="1">
        <v>14554.08</v>
      </c>
      <c r="T770" s="1">
        <f t="shared" si="58"/>
        <v>14554.08</v>
      </c>
      <c r="U770" s="1">
        <v>11166.84</v>
      </c>
      <c r="V770" s="3">
        <f>IF(T770=0,"",X770/T770)</f>
        <v>0.23273473830018798</v>
      </c>
      <c r="W770" s="1">
        <v>3387.24</v>
      </c>
      <c r="X770" s="1">
        <f>T770-U770</f>
        <v>3387.24</v>
      </c>
      <c r="Y770" s="1" t="s">
        <v>40</v>
      </c>
      <c r="Z770" s="1" t="s">
        <v>41</v>
      </c>
      <c r="AA770" s="1">
        <f t="shared" ref="AA770:AA833" si="60">E770-B770</f>
        <v>59</v>
      </c>
      <c r="AB770" s="2" t="str">
        <f t="shared" si="59"/>
        <v>Clean</v>
      </c>
      <c r="AC770" s="2"/>
    </row>
    <row r="771" spans="1:29">
      <c r="A771" s="1" t="s">
        <v>2379</v>
      </c>
      <c r="B771" s="2">
        <v>45423</v>
      </c>
      <c r="C771" s="2" t="str">
        <f t="shared" ref="C771:C834" si="61">TEXT(B771,"mmmm")</f>
        <v>May</v>
      </c>
      <c r="D771" s="1">
        <f t="shared" ref="D771:D834" si="62">YEAR(B771)</f>
        <v>2024</v>
      </c>
      <c r="E771" s="2">
        <v>45425</v>
      </c>
      <c r="F771" s="1" t="s">
        <v>2380</v>
      </c>
      <c r="G771" s="1" t="s">
        <v>122</v>
      </c>
      <c r="H771" s="1" t="s">
        <v>103</v>
      </c>
      <c r="I771" s="1" t="s">
        <v>71</v>
      </c>
      <c r="J771" s="1" t="s">
        <v>198</v>
      </c>
      <c r="K771" s="1" t="s">
        <v>199</v>
      </c>
      <c r="L771" s="1" t="s">
        <v>49</v>
      </c>
      <c r="M771" s="1" t="s">
        <v>166</v>
      </c>
      <c r="N771" s="1" t="s">
        <v>2381</v>
      </c>
      <c r="O771" s="1" t="s">
        <v>52</v>
      </c>
      <c r="P771" s="1">
        <v>3</v>
      </c>
      <c r="Q771" s="1">
        <v>3612.75</v>
      </c>
      <c r="R771" s="1">
        <v>0.25</v>
      </c>
      <c r="S771" s="1">
        <v>8128.69</v>
      </c>
      <c r="T771" s="1">
        <f t="shared" ref="T771:T834" si="63">P771*Q771*(1-R771)</f>
        <v>8128.6875</v>
      </c>
      <c r="U771" s="1">
        <v>5071.66</v>
      </c>
      <c r="V771" s="3">
        <f>IF(T771=0,"",X771/T771)</f>
        <v>0.3760788565189645</v>
      </c>
      <c r="W771" s="1">
        <v>3057.03</v>
      </c>
      <c r="X771" s="1">
        <f>T771-U771</f>
        <v>3057.0275000000001</v>
      </c>
      <c r="Y771" s="1" t="s">
        <v>40</v>
      </c>
      <c r="Z771" s="1" t="s">
        <v>41</v>
      </c>
      <c r="AA771" s="1">
        <f t="shared" si="60"/>
        <v>2</v>
      </c>
      <c r="AB771" s="2" t="str">
        <f t="shared" ref="AB771:AB834" si="64">IF(OR(AA771&lt;0,R771&lt;0),"Invalid",IF(OR(I771="Unknown",O771="Unknown"),"Warning","Clean"))</f>
        <v>Clean</v>
      </c>
      <c r="AC771" s="2"/>
    </row>
    <row r="772" spans="1:29">
      <c r="A772" s="1" t="s">
        <v>2382</v>
      </c>
      <c r="B772" s="2">
        <v>45337</v>
      </c>
      <c r="C772" s="2" t="str">
        <f t="shared" si="61"/>
        <v>February</v>
      </c>
      <c r="D772" s="1">
        <f t="shared" si="62"/>
        <v>2024</v>
      </c>
      <c r="E772" s="2">
        <v>45339</v>
      </c>
      <c r="F772" s="1" t="s">
        <v>2383</v>
      </c>
      <c r="G772" s="1" t="s">
        <v>87</v>
      </c>
      <c r="H772" s="1" t="s">
        <v>32</v>
      </c>
      <c r="I772" s="1" t="s">
        <v>33</v>
      </c>
      <c r="J772" s="1" t="s">
        <v>144</v>
      </c>
      <c r="K772" s="1" t="s">
        <v>145</v>
      </c>
      <c r="L772" s="1" t="s">
        <v>82</v>
      </c>
      <c r="M772" s="1" t="s">
        <v>88</v>
      </c>
      <c r="N772" s="1" t="s">
        <v>2384</v>
      </c>
      <c r="O772" s="1" t="s">
        <v>58</v>
      </c>
      <c r="P772" s="1">
        <v>4</v>
      </c>
      <c r="Q772" s="1">
        <v>863</v>
      </c>
      <c r="R772" s="1">
        <v>0</v>
      </c>
      <c r="S772" s="1">
        <v>3106.8</v>
      </c>
      <c r="T772" s="1">
        <f t="shared" si="63"/>
        <v>3452</v>
      </c>
      <c r="U772" s="1">
        <v>2376.62</v>
      </c>
      <c r="V772" s="3">
        <f>IF(T772=0,"",X772/T772)</f>
        <v>0.3115237543453071</v>
      </c>
      <c r="W772" s="1">
        <v>730.18</v>
      </c>
      <c r="X772" s="1">
        <f>T772-U772</f>
        <v>1075.3800000000001</v>
      </c>
      <c r="Y772" s="1" t="s">
        <v>40</v>
      </c>
      <c r="Z772" s="1" t="s">
        <v>41</v>
      </c>
      <c r="AA772" s="1">
        <f t="shared" si="60"/>
        <v>2</v>
      </c>
      <c r="AB772" s="2" t="str">
        <f t="shared" si="64"/>
        <v>Clean</v>
      </c>
      <c r="AC772" s="2"/>
    </row>
    <row r="773" spans="1:29">
      <c r="A773" s="1" t="s">
        <v>2385</v>
      </c>
      <c r="B773" s="2">
        <v>45633</v>
      </c>
      <c r="C773" s="2" t="str">
        <f t="shared" si="61"/>
        <v>December</v>
      </c>
      <c r="D773" s="1">
        <f t="shared" si="62"/>
        <v>2024</v>
      </c>
      <c r="E773" s="2">
        <v>45487</v>
      </c>
      <c r="F773" s="1" t="s">
        <v>478</v>
      </c>
      <c r="G773" s="1" t="s">
        <v>70</v>
      </c>
      <c r="H773" s="1" t="s">
        <v>32</v>
      </c>
      <c r="I773" s="1" t="s">
        <v>33</v>
      </c>
      <c r="J773" s="1" t="s">
        <v>245</v>
      </c>
      <c r="K773" s="1" t="s">
        <v>246</v>
      </c>
      <c r="L773" s="1" t="s">
        <v>82</v>
      </c>
      <c r="M773" s="1" t="s">
        <v>283</v>
      </c>
      <c r="N773" s="1" t="s">
        <v>2386</v>
      </c>
      <c r="O773" s="1" t="s">
        <v>39</v>
      </c>
      <c r="P773" s="1">
        <v>4</v>
      </c>
      <c r="Q773" s="1">
        <v>2131.41</v>
      </c>
      <c r="R773" s="1">
        <v>0</v>
      </c>
      <c r="S773" s="1">
        <v>6394.23</v>
      </c>
      <c r="T773" s="1">
        <f t="shared" si="63"/>
        <v>8525.64</v>
      </c>
      <c r="U773" s="1">
        <v>3520.69</v>
      </c>
      <c r="V773" s="3">
        <f>IF(T773=0,"",X773/T773)</f>
        <v>0.58704683753946907</v>
      </c>
      <c r="W773" s="1">
        <v>2873.54</v>
      </c>
      <c r="X773" s="1">
        <f>T773-U773</f>
        <v>5004.9499999999989</v>
      </c>
      <c r="Y773" s="1" t="s">
        <v>40</v>
      </c>
      <c r="Z773" s="1" t="s">
        <v>41</v>
      </c>
      <c r="AA773" s="4">
        <f t="shared" si="60"/>
        <v>-146</v>
      </c>
      <c r="AB773" s="2" t="str">
        <f t="shared" si="64"/>
        <v>Invalid</v>
      </c>
      <c r="AC773" s="2"/>
    </row>
    <row r="774" spans="1:29">
      <c r="A774" s="1" t="s">
        <v>2387</v>
      </c>
      <c r="B774" s="2">
        <v>45853</v>
      </c>
      <c r="C774" s="2" t="str">
        <f t="shared" si="61"/>
        <v>July</v>
      </c>
      <c r="D774" s="1">
        <f t="shared" si="62"/>
        <v>2025</v>
      </c>
      <c r="E774" s="2">
        <v>45857</v>
      </c>
      <c r="F774" s="1" t="s">
        <v>2388</v>
      </c>
      <c r="G774" s="1" t="s">
        <v>170</v>
      </c>
      <c r="H774" s="1" t="s">
        <v>32</v>
      </c>
      <c r="I774" s="1" t="s">
        <v>62</v>
      </c>
      <c r="J774" s="1" t="s">
        <v>256</v>
      </c>
      <c r="K774" s="1" t="s">
        <v>257</v>
      </c>
      <c r="L774" s="1" t="s">
        <v>49</v>
      </c>
      <c r="M774" s="1" t="s">
        <v>74</v>
      </c>
      <c r="N774" s="1" t="s">
        <v>2389</v>
      </c>
      <c r="O774" s="1" t="s">
        <v>52</v>
      </c>
      <c r="P774" s="1">
        <v>1</v>
      </c>
      <c r="Q774" s="1">
        <v>3903.22</v>
      </c>
      <c r="R774" s="1">
        <v>0.05</v>
      </c>
      <c r="S774" s="1">
        <v>3708.06</v>
      </c>
      <c r="T774" s="1">
        <f t="shared" si="63"/>
        <v>3708.0589999999997</v>
      </c>
      <c r="U774" s="1">
        <v>2760.29</v>
      </c>
      <c r="V774" s="3">
        <f>IF(T774=0,"",X774/T774)</f>
        <v>0.25559706574248142</v>
      </c>
      <c r="W774" s="1">
        <v>947.77</v>
      </c>
      <c r="X774" s="1">
        <f>T774-U774</f>
        <v>947.76899999999978</v>
      </c>
      <c r="Y774" s="1" t="s">
        <v>119</v>
      </c>
      <c r="Z774" s="1" t="s">
        <v>76</v>
      </c>
      <c r="AA774" s="1">
        <f t="shared" si="60"/>
        <v>4</v>
      </c>
      <c r="AB774" s="2" t="str">
        <f t="shared" si="64"/>
        <v>Clean</v>
      </c>
      <c r="AC774" s="2"/>
    </row>
    <row r="775" spans="1:29">
      <c r="A775" s="1" t="s">
        <v>2390</v>
      </c>
      <c r="B775" s="2">
        <v>45709</v>
      </c>
      <c r="C775" s="2" t="str">
        <f t="shared" si="61"/>
        <v>February</v>
      </c>
      <c r="D775" s="1">
        <f t="shared" si="62"/>
        <v>2025</v>
      </c>
      <c r="E775" s="2">
        <v>45709</v>
      </c>
      <c r="F775" s="1" t="s">
        <v>2391</v>
      </c>
      <c r="G775" s="1" t="s">
        <v>31</v>
      </c>
      <c r="H775" s="1" t="s">
        <v>103</v>
      </c>
      <c r="I775" s="1" t="s">
        <v>71</v>
      </c>
      <c r="J775" s="1" t="s">
        <v>188</v>
      </c>
      <c r="K775" s="1" t="s">
        <v>189</v>
      </c>
      <c r="L775" s="1" t="s">
        <v>82</v>
      </c>
      <c r="M775" s="1" t="s">
        <v>179</v>
      </c>
      <c r="N775" s="1" t="s">
        <v>2392</v>
      </c>
      <c r="O775" s="1" t="s">
        <v>213</v>
      </c>
      <c r="P775" s="1">
        <v>4</v>
      </c>
      <c r="Q775" s="1">
        <v>2945.07</v>
      </c>
      <c r="R775" s="1">
        <v>0.2</v>
      </c>
      <c r="S775" s="1">
        <v>9424.2199999999993</v>
      </c>
      <c r="T775" s="1">
        <f t="shared" si="63"/>
        <v>9424.2240000000002</v>
      </c>
      <c r="U775" s="1">
        <v>6178.92</v>
      </c>
      <c r="V775" s="3">
        <f>IF(T775=0,"",X775/T775)</f>
        <v>0.3443576892909167</v>
      </c>
      <c r="W775" s="1">
        <v>3245.3</v>
      </c>
      <c r="X775" s="1">
        <f>T775-U775</f>
        <v>3245.3040000000001</v>
      </c>
      <c r="Y775" s="1" t="s">
        <v>40</v>
      </c>
      <c r="Z775" s="1" t="s">
        <v>41</v>
      </c>
      <c r="AA775" s="1">
        <f t="shared" si="60"/>
        <v>0</v>
      </c>
      <c r="AB775" s="2" t="str">
        <f t="shared" si="64"/>
        <v>Warning</v>
      </c>
      <c r="AC775" s="2"/>
    </row>
    <row r="776" spans="1:29">
      <c r="A776" s="1" t="s">
        <v>2393</v>
      </c>
      <c r="B776" s="2">
        <v>45846</v>
      </c>
      <c r="C776" s="2" t="str">
        <f t="shared" si="61"/>
        <v>July</v>
      </c>
      <c r="D776" s="1">
        <f t="shared" si="62"/>
        <v>2025</v>
      </c>
      <c r="E776" s="2">
        <v>45846</v>
      </c>
      <c r="F776" s="1" t="s">
        <v>2394</v>
      </c>
      <c r="G776" s="1" t="s">
        <v>273</v>
      </c>
      <c r="H776" s="1" t="s">
        <v>32</v>
      </c>
      <c r="I776" s="1" t="s">
        <v>71</v>
      </c>
      <c r="J776" s="1" t="s">
        <v>34</v>
      </c>
      <c r="K776" s="1" t="s">
        <v>117</v>
      </c>
      <c r="L776" s="1" t="s">
        <v>82</v>
      </c>
      <c r="M776" s="1" t="s">
        <v>283</v>
      </c>
      <c r="N776" s="1" t="s">
        <v>2395</v>
      </c>
      <c r="O776" s="1" t="s">
        <v>213</v>
      </c>
      <c r="P776" s="1">
        <v>9</v>
      </c>
      <c r="Q776" s="1">
        <v>1076.75</v>
      </c>
      <c r="R776" s="1">
        <v>0.2</v>
      </c>
      <c r="S776" s="1">
        <v>7752.6</v>
      </c>
      <c r="T776" s="1">
        <f t="shared" si="63"/>
        <v>7752.6</v>
      </c>
      <c r="U776" s="1">
        <v>4689.3</v>
      </c>
      <c r="V776" s="3">
        <f>IF(T776=0,"",X776/T776)</f>
        <v>0.39513195573098059</v>
      </c>
      <c r="W776" s="1">
        <v>3063.3</v>
      </c>
      <c r="X776" s="1">
        <f>T776-U776</f>
        <v>3063.3</v>
      </c>
      <c r="Y776" s="1" t="s">
        <v>40</v>
      </c>
      <c r="Z776" s="1" t="s">
        <v>41</v>
      </c>
      <c r="AA776" s="1">
        <f t="shared" si="60"/>
        <v>0</v>
      </c>
      <c r="AB776" s="2" t="str">
        <f t="shared" si="64"/>
        <v>Warning</v>
      </c>
      <c r="AC776" s="2"/>
    </row>
    <row r="777" spans="1:29">
      <c r="A777" s="1" t="s">
        <v>2396</v>
      </c>
      <c r="B777" s="2">
        <v>45396</v>
      </c>
      <c r="C777" s="2" t="str">
        <f t="shared" si="61"/>
        <v>April</v>
      </c>
      <c r="D777" s="1">
        <f t="shared" si="62"/>
        <v>2024</v>
      </c>
      <c r="E777" s="2">
        <v>45404</v>
      </c>
      <c r="F777" s="1" t="s">
        <v>2397</v>
      </c>
      <c r="G777" s="1" t="s">
        <v>61</v>
      </c>
      <c r="H777" s="1" t="s">
        <v>32</v>
      </c>
      <c r="I777" s="1" t="s">
        <v>33</v>
      </c>
      <c r="J777" s="1" t="s">
        <v>245</v>
      </c>
      <c r="K777" s="1" t="s">
        <v>246</v>
      </c>
      <c r="L777" s="1" t="s">
        <v>82</v>
      </c>
      <c r="M777" s="1" t="s">
        <v>83</v>
      </c>
      <c r="N777" s="1" t="s">
        <v>2398</v>
      </c>
      <c r="O777" s="1" t="s">
        <v>67</v>
      </c>
      <c r="P777" s="1">
        <v>8</v>
      </c>
      <c r="Q777" s="1">
        <v>3956.12</v>
      </c>
      <c r="R777" s="1">
        <v>0.25</v>
      </c>
      <c r="S777" s="1">
        <v>23736.720000000001</v>
      </c>
      <c r="T777" s="1">
        <f t="shared" si="63"/>
        <v>23736.720000000001</v>
      </c>
      <c r="U777" s="1">
        <v>13890.9</v>
      </c>
      <c r="V777" s="3">
        <f>IF(T777=0,"",X777/T777)</f>
        <v>0.41479277676106896</v>
      </c>
      <c r="W777" s="1">
        <v>9845.82</v>
      </c>
      <c r="X777" s="1">
        <f>T777-U777</f>
        <v>9845.8200000000015</v>
      </c>
      <c r="Y777" s="1" t="s">
        <v>40</v>
      </c>
      <c r="Z777" s="1" t="s">
        <v>41</v>
      </c>
      <c r="AA777" s="1">
        <f t="shared" si="60"/>
        <v>8</v>
      </c>
      <c r="AB777" s="2" t="str">
        <f t="shared" si="64"/>
        <v>Clean</v>
      </c>
      <c r="AC777" s="2"/>
    </row>
    <row r="778" spans="1:29">
      <c r="A778" s="1" t="s">
        <v>2399</v>
      </c>
      <c r="B778" s="2">
        <v>45875</v>
      </c>
      <c r="C778" s="2" t="str">
        <f t="shared" si="61"/>
        <v>August</v>
      </c>
      <c r="D778" s="1">
        <f t="shared" si="62"/>
        <v>2025</v>
      </c>
      <c r="E778" s="2">
        <v>45821</v>
      </c>
      <c r="F778" s="1" t="s">
        <v>2400</v>
      </c>
      <c r="G778" s="1" t="s">
        <v>97</v>
      </c>
      <c r="H778" s="1" t="s">
        <v>45</v>
      </c>
      <c r="I778" s="1" t="s">
        <v>33</v>
      </c>
      <c r="J778" s="1" t="s">
        <v>34</v>
      </c>
      <c r="K778" s="1" t="s">
        <v>35</v>
      </c>
      <c r="L778" s="1" t="s">
        <v>82</v>
      </c>
      <c r="M778" s="1" t="s">
        <v>88</v>
      </c>
      <c r="N778" s="1" t="s">
        <v>2401</v>
      </c>
      <c r="O778" s="1" t="s">
        <v>39</v>
      </c>
      <c r="P778" s="1">
        <v>7</v>
      </c>
      <c r="Q778" s="1">
        <v>3857.13</v>
      </c>
      <c r="R778" s="1">
        <v>0</v>
      </c>
      <c r="S778" s="1">
        <v>26999.91</v>
      </c>
      <c r="T778" s="1">
        <f t="shared" si="63"/>
        <v>26999.91</v>
      </c>
      <c r="U778" s="1">
        <v>17815.98</v>
      </c>
      <c r="V778" s="3">
        <f>IF(T778=0,"",X778/T778)</f>
        <v>0.34014668937785347</v>
      </c>
      <c r="W778" s="1">
        <v>9183.93</v>
      </c>
      <c r="X778" s="1">
        <f>T778-U778</f>
        <v>9183.93</v>
      </c>
      <c r="Y778" s="1" t="s">
        <v>40</v>
      </c>
      <c r="Z778" s="1" t="s">
        <v>41</v>
      </c>
      <c r="AA778" s="4">
        <f t="shared" si="60"/>
        <v>-54</v>
      </c>
      <c r="AB778" s="2" t="str">
        <f t="shared" si="64"/>
        <v>Invalid</v>
      </c>
      <c r="AC778" s="2"/>
    </row>
    <row r="779" spans="1:29">
      <c r="A779" s="1" t="s">
        <v>2402</v>
      </c>
      <c r="B779" s="2">
        <v>45384</v>
      </c>
      <c r="C779" s="2" t="str">
        <f t="shared" si="61"/>
        <v>April</v>
      </c>
      <c r="D779" s="1">
        <f t="shared" si="62"/>
        <v>2024</v>
      </c>
      <c r="E779" s="2">
        <v>45445</v>
      </c>
      <c r="F779" s="1" t="s">
        <v>2403</v>
      </c>
      <c r="G779" s="1" t="s">
        <v>273</v>
      </c>
      <c r="H779" s="1" t="s">
        <v>45</v>
      </c>
      <c r="I779" s="1" t="s">
        <v>71</v>
      </c>
      <c r="J779" s="1" t="s">
        <v>80</v>
      </c>
      <c r="K779" s="1" t="s">
        <v>81</v>
      </c>
      <c r="L779" s="1" t="s">
        <v>82</v>
      </c>
      <c r="M779" s="1" t="s">
        <v>83</v>
      </c>
      <c r="N779" s="1" t="s">
        <v>2404</v>
      </c>
      <c r="O779" s="1" t="s">
        <v>39</v>
      </c>
      <c r="P779" s="1">
        <v>4</v>
      </c>
      <c r="Q779" s="1">
        <v>1489.74</v>
      </c>
      <c r="R779" s="1">
        <v>0.15</v>
      </c>
      <c r="S779" s="1">
        <v>5065.12</v>
      </c>
      <c r="T779" s="1">
        <f t="shared" si="63"/>
        <v>5065.116</v>
      </c>
      <c r="U779" s="1">
        <v>3530.12</v>
      </c>
      <c r="V779" s="3">
        <f>IF(T779=0,"",X779/T779)</f>
        <v>0.30305248685321323</v>
      </c>
      <c r="W779" s="1">
        <v>1535</v>
      </c>
      <c r="X779" s="1">
        <f>T779-U779</f>
        <v>1534.9960000000001</v>
      </c>
      <c r="Y779" s="1" t="s">
        <v>163</v>
      </c>
      <c r="Z779" s="1" t="s">
        <v>76</v>
      </c>
      <c r="AA779" s="1">
        <f t="shared" si="60"/>
        <v>61</v>
      </c>
      <c r="AB779" s="2" t="str">
        <f t="shared" si="64"/>
        <v>Clean</v>
      </c>
      <c r="AC779" s="2"/>
    </row>
    <row r="780" spans="1:29">
      <c r="A780" s="1" t="s">
        <v>2405</v>
      </c>
      <c r="B780" s="2">
        <v>45497</v>
      </c>
      <c r="C780" s="2" t="str">
        <f t="shared" si="61"/>
        <v>July</v>
      </c>
      <c r="D780" s="1">
        <f t="shared" si="62"/>
        <v>2024</v>
      </c>
      <c r="E780" s="2">
        <v>45497</v>
      </c>
      <c r="F780" s="1" t="s">
        <v>2406</v>
      </c>
      <c r="G780" s="1" t="s">
        <v>31</v>
      </c>
      <c r="H780" s="1" t="s">
        <v>45</v>
      </c>
      <c r="I780" s="1" t="s">
        <v>33</v>
      </c>
      <c r="J780" s="1" t="s">
        <v>245</v>
      </c>
      <c r="K780" s="1" t="s">
        <v>246</v>
      </c>
      <c r="L780" s="1" t="s">
        <v>82</v>
      </c>
      <c r="M780" s="1" t="s">
        <v>88</v>
      </c>
      <c r="N780" s="1" t="s">
        <v>2407</v>
      </c>
      <c r="O780" s="1" t="s">
        <v>39</v>
      </c>
      <c r="P780" s="1">
        <v>4</v>
      </c>
      <c r="Q780" s="1">
        <v>1676.88</v>
      </c>
      <c r="R780" s="1">
        <v>0</v>
      </c>
      <c r="S780" s="1">
        <v>6707.52</v>
      </c>
      <c r="T780" s="1">
        <f t="shared" si="63"/>
        <v>6707.52</v>
      </c>
      <c r="U780" s="1">
        <v>5672.57</v>
      </c>
      <c r="V780" s="3">
        <f>IF(T780=0,"",X780/T780)</f>
        <v>0.15429696817899918</v>
      </c>
      <c r="W780" s="1">
        <v>1034.95</v>
      </c>
      <c r="X780" s="1">
        <f>T780-U780</f>
        <v>1034.9500000000007</v>
      </c>
      <c r="Y780" s="1" t="s">
        <v>40</v>
      </c>
      <c r="Z780" s="1" t="s">
        <v>41</v>
      </c>
      <c r="AA780" s="1">
        <f t="shared" si="60"/>
        <v>0</v>
      </c>
      <c r="AB780" s="2" t="str">
        <f t="shared" si="64"/>
        <v>Clean</v>
      </c>
      <c r="AC780" s="2"/>
    </row>
    <row r="781" spans="1:29">
      <c r="A781" s="1" t="s">
        <v>2408</v>
      </c>
      <c r="B781" s="2">
        <v>45306</v>
      </c>
      <c r="C781" s="2" t="str">
        <f t="shared" si="61"/>
        <v>January</v>
      </c>
      <c r="D781" s="1">
        <f t="shared" si="62"/>
        <v>2024</v>
      </c>
      <c r="E781" s="2">
        <v>45311</v>
      </c>
      <c r="F781" s="1" t="s">
        <v>2409</v>
      </c>
      <c r="G781" s="1" t="s">
        <v>122</v>
      </c>
      <c r="H781" s="1" t="s">
        <v>45</v>
      </c>
      <c r="I781" s="1" t="s">
        <v>62</v>
      </c>
      <c r="J781" s="1" t="s">
        <v>92</v>
      </c>
      <c r="K781" s="1" t="s">
        <v>93</v>
      </c>
      <c r="L781" s="1" t="s">
        <v>49</v>
      </c>
      <c r="M781" s="1" t="s">
        <v>74</v>
      </c>
      <c r="N781" s="1" t="s">
        <v>2410</v>
      </c>
      <c r="O781" s="1" t="s">
        <v>67</v>
      </c>
      <c r="P781" s="1">
        <v>4</v>
      </c>
      <c r="Q781" s="1">
        <v>3153.54</v>
      </c>
      <c r="R781" s="1">
        <v>0.05</v>
      </c>
      <c r="S781" s="1">
        <v>11983.45</v>
      </c>
      <c r="T781" s="1">
        <f t="shared" si="63"/>
        <v>11983.451999999999</v>
      </c>
      <c r="U781" s="1">
        <v>8572.9</v>
      </c>
      <c r="V781" s="3">
        <f>IF(T781=0,"",X781/T781)</f>
        <v>0.2846051371507976</v>
      </c>
      <c r="W781" s="1">
        <v>3410.55</v>
      </c>
      <c r="X781" s="1">
        <f>T781-U781</f>
        <v>3410.5519999999997</v>
      </c>
      <c r="Y781" s="1" t="s">
        <v>40</v>
      </c>
      <c r="Z781" s="1" t="s">
        <v>41</v>
      </c>
      <c r="AA781" s="1">
        <f t="shared" si="60"/>
        <v>5</v>
      </c>
      <c r="AB781" s="2" t="str">
        <f t="shared" si="64"/>
        <v>Clean</v>
      </c>
      <c r="AC781" s="2"/>
    </row>
    <row r="782" spans="1:29">
      <c r="A782" s="1" t="s">
        <v>2411</v>
      </c>
      <c r="B782" s="2">
        <v>45390</v>
      </c>
      <c r="C782" s="2" t="str">
        <f t="shared" si="61"/>
        <v>April</v>
      </c>
      <c r="D782" s="1">
        <f t="shared" si="62"/>
        <v>2024</v>
      </c>
      <c r="E782" s="2">
        <v>45514</v>
      </c>
      <c r="F782" s="1" t="s">
        <v>2412</v>
      </c>
      <c r="G782" s="1" t="s">
        <v>170</v>
      </c>
      <c r="H782" s="1" t="s">
        <v>45</v>
      </c>
      <c r="I782" s="1" t="s">
        <v>71</v>
      </c>
      <c r="J782" s="1" t="s">
        <v>34</v>
      </c>
      <c r="K782" s="1" t="s">
        <v>117</v>
      </c>
      <c r="L782" s="1" t="s">
        <v>49</v>
      </c>
      <c r="M782" s="1" t="s">
        <v>74</v>
      </c>
      <c r="N782" s="1" t="s">
        <v>2413</v>
      </c>
      <c r="O782" s="1" t="s">
        <v>52</v>
      </c>
      <c r="P782" s="1">
        <v>4</v>
      </c>
      <c r="Q782" s="1">
        <v>426.43</v>
      </c>
      <c r="R782" s="1">
        <v>0.2</v>
      </c>
      <c r="S782" s="1">
        <v>1364.58</v>
      </c>
      <c r="T782" s="1">
        <f t="shared" si="63"/>
        <v>1364.576</v>
      </c>
      <c r="U782" s="1">
        <v>978.16</v>
      </c>
      <c r="V782" s="3">
        <f>IF(T782=0,"",X782/T782)</f>
        <v>0.28317660577351506</v>
      </c>
      <c r="W782" s="1">
        <v>386.42</v>
      </c>
      <c r="X782" s="1">
        <f>T782-U782</f>
        <v>386.41600000000005</v>
      </c>
      <c r="Y782" s="1" t="s">
        <v>40</v>
      </c>
      <c r="Z782" s="1" t="s">
        <v>41</v>
      </c>
      <c r="AA782" s="1">
        <f t="shared" si="60"/>
        <v>124</v>
      </c>
      <c r="AB782" s="2" t="str">
        <f t="shared" si="64"/>
        <v>Clean</v>
      </c>
      <c r="AC782" s="2"/>
    </row>
    <row r="783" spans="1:29">
      <c r="A783" s="1" t="s">
        <v>2414</v>
      </c>
      <c r="B783" s="2">
        <v>45324</v>
      </c>
      <c r="C783" s="2" t="str">
        <f t="shared" si="61"/>
        <v>February</v>
      </c>
      <c r="D783" s="1">
        <f t="shared" si="62"/>
        <v>2024</v>
      </c>
      <c r="E783" s="2">
        <v>45567</v>
      </c>
      <c r="F783" s="1" t="s">
        <v>2415</v>
      </c>
      <c r="G783" s="1" t="s">
        <v>31</v>
      </c>
      <c r="H783" s="1" t="s">
        <v>103</v>
      </c>
      <c r="I783" s="1" t="s">
        <v>71</v>
      </c>
      <c r="J783" s="1" t="s">
        <v>34</v>
      </c>
      <c r="K783" s="1" t="s">
        <v>117</v>
      </c>
      <c r="L783" s="1" t="s">
        <v>36</v>
      </c>
      <c r="M783" s="1" t="s">
        <v>99</v>
      </c>
      <c r="N783" s="1" t="s">
        <v>2416</v>
      </c>
      <c r="O783" s="1" t="s">
        <v>58</v>
      </c>
      <c r="P783" s="1">
        <v>3</v>
      </c>
      <c r="Q783" s="1">
        <v>383.4</v>
      </c>
      <c r="R783" s="1">
        <v>0.25</v>
      </c>
      <c r="S783" s="1">
        <v>862.65</v>
      </c>
      <c r="T783" s="1">
        <f t="shared" si="63"/>
        <v>862.64999999999986</v>
      </c>
      <c r="U783" s="1">
        <v>603.73</v>
      </c>
      <c r="V783" s="3">
        <f>IF(T783=0,"",X783/T783)</f>
        <v>0.30014490233582553</v>
      </c>
      <c r="W783" s="1">
        <v>258.92</v>
      </c>
      <c r="X783" s="1">
        <f>T783-U783</f>
        <v>258.91999999999985</v>
      </c>
      <c r="Y783" s="1" t="s">
        <v>119</v>
      </c>
      <c r="Z783" s="1" t="s">
        <v>111</v>
      </c>
      <c r="AA783" s="1">
        <f t="shared" si="60"/>
        <v>243</v>
      </c>
      <c r="AB783" s="2" t="str">
        <f t="shared" si="64"/>
        <v>Clean</v>
      </c>
      <c r="AC783" s="2"/>
    </row>
    <row r="784" spans="1:29">
      <c r="A784" s="1" t="s">
        <v>2417</v>
      </c>
      <c r="B784" s="2">
        <v>45730</v>
      </c>
      <c r="C784" s="2" t="str">
        <f t="shared" si="61"/>
        <v>March</v>
      </c>
      <c r="D784" s="1">
        <f t="shared" si="62"/>
        <v>2025</v>
      </c>
      <c r="E784" s="2">
        <v>45738</v>
      </c>
      <c r="F784" s="1" t="s">
        <v>2418</v>
      </c>
      <c r="G784" s="1" t="s">
        <v>44</v>
      </c>
      <c r="H784" s="1" t="s">
        <v>98</v>
      </c>
      <c r="I784" s="1" t="s">
        <v>46</v>
      </c>
      <c r="J784" s="1" t="s">
        <v>107</v>
      </c>
      <c r="K784" s="1" t="s">
        <v>108</v>
      </c>
      <c r="L784" s="1" t="s">
        <v>82</v>
      </c>
      <c r="M784" s="1" t="s">
        <v>88</v>
      </c>
      <c r="N784" s="1" t="s">
        <v>2419</v>
      </c>
      <c r="O784" s="1" t="s">
        <v>67</v>
      </c>
      <c r="P784" s="1">
        <v>2</v>
      </c>
      <c r="Q784" s="1">
        <v>669.63</v>
      </c>
      <c r="R784" s="1">
        <v>0.15</v>
      </c>
      <c r="S784" s="1">
        <v>1138.3699999999999</v>
      </c>
      <c r="T784" s="1">
        <f t="shared" si="63"/>
        <v>1138.3709999999999</v>
      </c>
      <c r="U784" s="1">
        <v>797.34</v>
      </c>
      <c r="V784" s="3">
        <f>IF(T784=0,"",X784/T784)</f>
        <v>0.29957808131092578</v>
      </c>
      <c r="W784" s="1">
        <v>341.03</v>
      </c>
      <c r="X784" s="1">
        <f>T784-U784</f>
        <v>341.03099999999984</v>
      </c>
      <c r="Y784" s="1" t="s">
        <v>40</v>
      </c>
      <c r="Z784" s="1" t="s">
        <v>41</v>
      </c>
      <c r="AA784" s="1">
        <f t="shared" si="60"/>
        <v>8</v>
      </c>
      <c r="AB784" s="2" t="str">
        <f t="shared" si="64"/>
        <v>Clean</v>
      </c>
      <c r="AC784" s="2"/>
    </row>
    <row r="785" spans="1:29">
      <c r="A785" s="1" t="s">
        <v>2420</v>
      </c>
      <c r="B785" s="2">
        <v>45479</v>
      </c>
      <c r="C785" s="2" t="str">
        <f t="shared" si="61"/>
        <v>July</v>
      </c>
      <c r="D785" s="1">
        <f t="shared" si="62"/>
        <v>2024</v>
      </c>
      <c r="E785" s="2">
        <v>45479</v>
      </c>
      <c r="F785" s="1" t="s">
        <v>2421</v>
      </c>
      <c r="G785" s="1" t="s">
        <v>136</v>
      </c>
      <c r="H785" s="1" t="s">
        <v>45</v>
      </c>
      <c r="I785" s="1" t="s">
        <v>46</v>
      </c>
      <c r="J785" s="1" t="s">
        <v>153</v>
      </c>
      <c r="K785" s="1" t="s">
        <v>154</v>
      </c>
      <c r="L785" s="1" t="s">
        <v>36</v>
      </c>
      <c r="M785" s="1" t="s">
        <v>56</v>
      </c>
      <c r="N785" s="1" t="s">
        <v>2422</v>
      </c>
      <c r="O785" s="1" t="s">
        <v>39</v>
      </c>
      <c r="P785" s="1">
        <v>1</v>
      </c>
      <c r="Q785" s="1">
        <v>2581.9299999999998</v>
      </c>
      <c r="R785" s="1">
        <v>0.05</v>
      </c>
      <c r="S785" s="1">
        <v>2452.83</v>
      </c>
      <c r="T785" s="1">
        <f t="shared" si="63"/>
        <v>2452.8334999999997</v>
      </c>
      <c r="U785" s="1">
        <v>1906.7</v>
      </c>
      <c r="V785" s="3">
        <f>IF(T785=0,"",X785/T785)</f>
        <v>0.22265412634000625</v>
      </c>
      <c r="W785" s="1">
        <v>546.13</v>
      </c>
      <c r="X785" s="1">
        <f>T785-U785</f>
        <v>546.13349999999969</v>
      </c>
      <c r="Y785" s="1" t="s">
        <v>40</v>
      </c>
      <c r="Z785" s="1" t="s">
        <v>41</v>
      </c>
      <c r="AA785" s="1">
        <f t="shared" si="60"/>
        <v>0</v>
      </c>
      <c r="AB785" s="2" t="str">
        <f t="shared" si="64"/>
        <v>Clean</v>
      </c>
      <c r="AC785" s="2"/>
    </row>
    <row r="786" spans="1:29">
      <c r="A786" s="1" t="s">
        <v>2423</v>
      </c>
      <c r="B786" s="2">
        <v>45934</v>
      </c>
      <c r="C786" s="2" t="str">
        <f t="shared" si="61"/>
        <v>October</v>
      </c>
      <c r="D786" s="1">
        <f t="shared" si="62"/>
        <v>2025</v>
      </c>
      <c r="E786" s="2">
        <v>45787</v>
      </c>
      <c r="F786" s="1" t="s">
        <v>2424</v>
      </c>
      <c r="G786" s="1" t="s">
        <v>122</v>
      </c>
      <c r="H786" s="1" t="s">
        <v>98</v>
      </c>
      <c r="I786" s="1" t="s">
        <v>33</v>
      </c>
      <c r="J786" s="1" t="s">
        <v>130</v>
      </c>
      <c r="K786" s="1" t="s">
        <v>131</v>
      </c>
      <c r="L786" s="1" t="s">
        <v>82</v>
      </c>
      <c r="M786" s="1" t="s">
        <v>88</v>
      </c>
      <c r="N786" s="1" t="s">
        <v>2425</v>
      </c>
      <c r="O786" s="1" t="s">
        <v>58</v>
      </c>
      <c r="P786" s="1">
        <v>4</v>
      </c>
      <c r="Q786" s="1">
        <v>418.18</v>
      </c>
      <c r="R786" s="1">
        <v>0.05</v>
      </c>
      <c r="S786" s="1">
        <v>1589.08</v>
      </c>
      <c r="T786" s="1">
        <f t="shared" si="63"/>
        <v>1589.0840000000001</v>
      </c>
      <c r="U786" s="1">
        <v>1084.6600000000001</v>
      </c>
      <c r="V786" s="3">
        <f>IF(T786=0,"",X786/T786)</f>
        <v>0.31743067075120002</v>
      </c>
      <c r="W786" s="1">
        <v>504.42</v>
      </c>
      <c r="X786" s="1">
        <f>T786-U786</f>
        <v>504.42399999999998</v>
      </c>
      <c r="Y786" s="1" t="s">
        <v>40</v>
      </c>
      <c r="Z786" s="1" t="s">
        <v>41</v>
      </c>
      <c r="AA786" s="4">
        <f t="shared" si="60"/>
        <v>-147</v>
      </c>
      <c r="AB786" s="2" t="str">
        <f t="shared" si="64"/>
        <v>Invalid</v>
      </c>
      <c r="AC786" s="2"/>
    </row>
    <row r="787" spans="1:29">
      <c r="A787" s="1" t="s">
        <v>2426</v>
      </c>
      <c r="B787" s="2">
        <v>45435</v>
      </c>
      <c r="C787" s="2" t="str">
        <f t="shared" si="61"/>
        <v>May</v>
      </c>
      <c r="D787" s="1">
        <f t="shared" si="62"/>
        <v>2024</v>
      </c>
      <c r="E787" s="2">
        <v>45441</v>
      </c>
      <c r="F787" s="1" t="s">
        <v>2427</v>
      </c>
      <c r="G787" s="1" t="s">
        <v>170</v>
      </c>
      <c r="H787" s="1" t="s">
        <v>45</v>
      </c>
      <c r="I787" s="1" t="s">
        <v>33</v>
      </c>
      <c r="J787" s="1" t="s">
        <v>245</v>
      </c>
      <c r="K787" s="1" t="s">
        <v>246</v>
      </c>
      <c r="L787" s="1" t="s">
        <v>36</v>
      </c>
      <c r="M787" s="1" t="s">
        <v>132</v>
      </c>
      <c r="N787" s="1" t="s">
        <v>2428</v>
      </c>
      <c r="O787" s="1" t="s">
        <v>52</v>
      </c>
      <c r="P787" s="1">
        <v>2</v>
      </c>
      <c r="Q787" s="1">
        <v>3012.94</v>
      </c>
      <c r="R787" s="1">
        <v>0.25</v>
      </c>
      <c r="S787" s="1">
        <v>4519.41</v>
      </c>
      <c r="T787" s="1">
        <f t="shared" si="63"/>
        <v>4519.41</v>
      </c>
      <c r="U787" s="1">
        <v>3504.16</v>
      </c>
      <c r="V787" s="3">
        <f>IF(T787=0,"",X787/T787)</f>
        <v>0.22464215461752751</v>
      </c>
      <c r="W787" s="1">
        <v>1275.55</v>
      </c>
      <c r="X787" s="1">
        <f>T787-U787</f>
        <v>1015.25</v>
      </c>
      <c r="Y787" s="1" t="s">
        <v>163</v>
      </c>
      <c r="Z787" s="1" t="s">
        <v>76</v>
      </c>
      <c r="AA787" s="1">
        <f t="shared" si="60"/>
        <v>6</v>
      </c>
      <c r="AB787" s="2" t="str">
        <f t="shared" si="64"/>
        <v>Clean</v>
      </c>
      <c r="AC787" s="2"/>
    </row>
    <row r="788" spans="1:29">
      <c r="A788" s="1" t="s">
        <v>2429</v>
      </c>
      <c r="B788" s="2">
        <v>45844</v>
      </c>
      <c r="C788" s="2" t="str">
        <f t="shared" si="61"/>
        <v>July</v>
      </c>
      <c r="D788" s="1">
        <f t="shared" si="62"/>
        <v>2025</v>
      </c>
      <c r="E788" s="2">
        <v>45876</v>
      </c>
      <c r="F788" s="1" t="s">
        <v>2430</v>
      </c>
      <c r="G788" s="1" t="s">
        <v>70</v>
      </c>
      <c r="H788" s="1" t="s">
        <v>98</v>
      </c>
      <c r="I788" s="1" t="s">
        <v>33</v>
      </c>
      <c r="J788" s="1" t="s">
        <v>34</v>
      </c>
      <c r="K788" s="1" t="s">
        <v>35</v>
      </c>
      <c r="L788" s="1" t="s">
        <v>49</v>
      </c>
      <c r="M788" s="1" t="s">
        <v>65</v>
      </c>
      <c r="N788" s="1" t="s">
        <v>2431</v>
      </c>
      <c r="O788" s="1" t="s">
        <v>213</v>
      </c>
      <c r="P788" s="1">
        <v>4</v>
      </c>
      <c r="Q788" s="1">
        <v>715.45</v>
      </c>
      <c r="R788" s="1">
        <v>0.05</v>
      </c>
      <c r="S788" s="1">
        <v>2718.71</v>
      </c>
      <c r="T788" s="1">
        <f t="shared" si="63"/>
        <v>2718.71</v>
      </c>
      <c r="U788" s="1">
        <v>2065.0500000000002</v>
      </c>
      <c r="V788" s="3">
        <f>IF(T788=0,"",X788/T788)</f>
        <v>0.24043020403058799</v>
      </c>
      <c r="W788" s="1">
        <v>653.66</v>
      </c>
      <c r="X788" s="1">
        <f>T788-U788</f>
        <v>653.65999999999985</v>
      </c>
      <c r="Y788" s="1" t="s">
        <v>110</v>
      </c>
      <c r="Z788" s="1" t="s">
        <v>111</v>
      </c>
      <c r="AA788" s="1">
        <f t="shared" si="60"/>
        <v>32</v>
      </c>
      <c r="AB788" s="2" t="str">
        <f t="shared" si="64"/>
        <v>Warning</v>
      </c>
      <c r="AC788" s="2"/>
    </row>
    <row r="789" spans="1:29">
      <c r="A789" s="1" t="s">
        <v>2432</v>
      </c>
      <c r="B789" s="2">
        <v>45635</v>
      </c>
      <c r="C789" s="2" t="str">
        <f t="shared" si="61"/>
        <v>December</v>
      </c>
      <c r="D789" s="1">
        <f t="shared" si="62"/>
        <v>2024</v>
      </c>
      <c r="E789" s="2">
        <v>45553</v>
      </c>
      <c r="F789" s="1" t="s">
        <v>2433</v>
      </c>
      <c r="G789" s="1" t="s">
        <v>70</v>
      </c>
      <c r="H789" s="1" t="s">
        <v>103</v>
      </c>
      <c r="I789" s="1" t="s">
        <v>46</v>
      </c>
      <c r="J789" s="1" t="s">
        <v>153</v>
      </c>
      <c r="K789" s="1" t="s">
        <v>154</v>
      </c>
      <c r="L789" s="1" t="s">
        <v>36</v>
      </c>
      <c r="M789" s="1" t="s">
        <v>37</v>
      </c>
      <c r="N789" s="1" t="s">
        <v>2434</v>
      </c>
      <c r="O789" s="1" t="s">
        <v>39</v>
      </c>
      <c r="P789" s="1">
        <v>2</v>
      </c>
      <c r="Q789" s="1">
        <v>3718.77</v>
      </c>
      <c r="R789" s="1">
        <v>0.05</v>
      </c>
      <c r="S789" s="1">
        <v>7065.66</v>
      </c>
      <c r="T789" s="1">
        <f t="shared" si="63"/>
        <v>7065.6629999999996</v>
      </c>
      <c r="U789" s="1">
        <v>4915.2700000000004</v>
      </c>
      <c r="V789" s="3">
        <f>IF(T789=0,"",X789/T789)</f>
        <v>0.30434412170521002</v>
      </c>
      <c r="W789" s="1">
        <v>2150.39</v>
      </c>
      <c r="X789" s="1">
        <f>T789-U789</f>
        <v>2150.3929999999991</v>
      </c>
      <c r="Y789" s="1" t="s">
        <v>40</v>
      </c>
      <c r="Z789" s="1" t="s">
        <v>41</v>
      </c>
      <c r="AA789" s="4">
        <f t="shared" si="60"/>
        <v>-82</v>
      </c>
      <c r="AB789" s="2" t="str">
        <f t="shared" si="64"/>
        <v>Invalid</v>
      </c>
      <c r="AC789" s="2"/>
    </row>
    <row r="790" spans="1:29">
      <c r="A790" s="1" t="s">
        <v>2435</v>
      </c>
      <c r="B790" s="2">
        <v>45299</v>
      </c>
      <c r="C790" s="2" t="str">
        <f t="shared" si="61"/>
        <v>January</v>
      </c>
      <c r="D790" s="1">
        <f t="shared" si="62"/>
        <v>2024</v>
      </c>
      <c r="E790" s="2">
        <v>45330</v>
      </c>
      <c r="F790" s="1" t="s">
        <v>2436</v>
      </c>
      <c r="G790" s="1" t="s">
        <v>55</v>
      </c>
      <c r="H790" s="1" t="s">
        <v>98</v>
      </c>
      <c r="I790" s="1" t="s">
        <v>33</v>
      </c>
      <c r="J790" s="1" t="s">
        <v>144</v>
      </c>
      <c r="K790" s="1" t="s">
        <v>145</v>
      </c>
      <c r="L790" s="1" t="s">
        <v>49</v>
      </c>
      <c r="M790" s="1" t="s">
        <v>74</v>
      </c>
      <c r="N790" s="1" t="s">
        <v>2437</v>
      </c>
      <c r="O790" s="1" t="s">
        <v>67</v>
      </c>
      <c r="P790" s="1">
        <v>8</v>
      </c>
      <c r="Q790" s="1">
        <v>2487.64</v>
      </c>
      <c r="R790" s="1">
        <v>0.1</v>
      </c>
      <c r="S790" s="1">
        <v>17911.009999999998</v>
      </c>
      <c r="T790" s="1">
        <f t="shared" si="63"/>
        <v>17911.007999999998</v>
      </c>
      <c r="U790" s="1">
        <v>11546.05</v>
      </c>
      <c r="V790" s="3">
        <f>IF(T790=0,"",X790/T790)</f>
        <v>0.35536570582738836</v>
      </c>
      <c r="W790" s="1">
        <v>6364.96</v>
      </c>
      <c r="X790" s="1">
        <f>T790-U790</f>
        <v>6364.9579999999987</v>
      </c>
      <c r="Y790" s="1" t="s">
        <v>163</v>
      </c>
      <c r="Z790" s="1" t="s">
        <v>111</v>
      </c>
      <c r="AA790" s="1">
        <f t="shared" si="60"/>
        <v>31</v>
      </c>
      <c r="AB790" s="2" t="str">
        <f t="shared" si="64"/>
        <v>Clean</v>
      </c>
      <c r="AC790" s="2"/>
    </row>
    <row r="791" spans="1:29">
      <c r="A791" s="1" t="s">
        <v>2438</v>
      </c>
      <c r="B791" s="2">
        <v>45841</v>
      </c>
      <c r="C791" s="2" t="str">
        <f t="shared" si="61"/>
        <v>July</v>
      </c>
      <c r="D791" s="1">
        <f t="shared" si="62"/>
        <v>2025</v>
      </c>
      <c r="E791" s="2">
        <v>45872</v>
      </c>
      <c r="F791" s="1" t="s">
        <v>2439</v>
      </c>
      <c r="G791" s="1" t="s">
        <v>122</v>
      </c>
      <c r="H791" s="1" t="s">
        <v>103</v>
      </c>
      <c r="I791" s="1" t="s">
        <v>213</v>
      </c>
      <c r="J791" s="1" t="s">
        <v>34</v>
      </c>
      <c r="K791" s="1" t="s">
        <v>117</v>
      </c>
      <c r="L791" s="1" t="s">
        <v>82</v>
      </c>
      <c r="M791" s="1" t="s">
        <v>88</v>
      </c>
      <c r="N791" s="1" t="s">
        <v>2440</v>
      </c>
      <c r="O791" s="1" t="s">
        <v>52</v>
      </c>
      <c r="P791" s="1">
        <v>4</v>
      </c>
      <c r="Q791" s="1">
        <v>3537.48</v>
      </c>
      <c r="R791" s="1">
        <v>0</v>
      </c>
      <c r="S791" s="1">
        <v>14149.92</v>
      </c>
      <c r="T791" s="1">
        <f t="shared" si="63"/>
        <v>14149.92</v>
      </c>
      <c r="U791" s="1">
        <v>9466.51</v>
      </c>
      <c r="V791" s="3">
        <f>IF(T791=0,"",X791/T791)</f>
        <v>0.33098491016203624</v>
      </c>
      <c r="W791" s="1">
        <v>4683.41</v>
      </c>
      <c r="X791" s="1">
        <f>T791-U791</f>
        <v>4683.41</v>
      </c>
      <c r="Y791" s="1" t="s">
        <v>40</v>
      </c>
      <c r="Z791" s="1" t="s">
        <v>41</v>
      </c>
      <c r="AA791" s="1">
        <f t="shared" si="60"/>
        <v>31</v>
      </c>
      <c r="AB791" s="2" t="str">
        <f t="shared" si="64"/>
        <v>Warning</v>
      </c>
      <c r="AC791" s="2"/>
    </row>
    <row r="792" spans="1:29">
      <c r="A792" s="1" t="s">
        <v>2441</v>
      </c>
      <c r="B792" s="2">
        <v>45443</v>
      </c>
      <c r="C792" s="2" t="str">
        <f t="shared" si="61"/>
        <v>May</v>
      </c>
      <c r="D792" s="1">
        <f t="shared" si="62"/>
        <v>2024</v>
      </c>
      <c r="E792" s="2">
        <v>45328</v>
      </c>
      <c r="F792" s="1" t="s">
        <v>2442</v>
      </c>
      <c r="G792" s="1" t="s">
        <v>126</v>
      </c>
      <c r="H792" s="1" t="s">
        <v>98</v>
      </c>
      <c r="I792" s="1" t="s">
        <v>62</v>
      </c>
      <c r="J792" s="1" t="s">
        <v>92</v>
      </c>
      <c r="K792" s="1" t="s">
        <v>93</v>
      </c>
      <c r="L792" s="1" t="s">
        <v>36</v>
      </c>
      <c r="M792" s="1" t="s">
        <v>56</v>
      </c>
      <c r="N792" s="1" t="s">
        <v>2443</v>
      </c>
      <c r="O792" s="1" t="s">
        <v>67</v>
      </c>
      <c r="P792" s="1">
        <v>8</v>
      </c>
      <c r="Q792" s="1">
        <v>667.59</v>
      </c>
      <c r="R792" s="1">
        <v>0.2</v>
      </c>
      <c r="S792" s="1">
        <v>4272.58</v>
      </c>
      <c r="T792" s="1">
        <f t="shared" si="63"/>
        <v>4272.576</v>
      </c>
      <c r="U792" s="1">
        <v>3328.92</v>
      </c>
      <c r="V792" s="3">
        <f>IF(T792=0,"",X792/T792)</f>
        <v>0.22086347908147214</v>
      </c>
      <c r="W792" s="1">
        <v>943.66</v>
      </c>
      <c r="X792" s="1">
        <f>T792-U792</f>
        <v>943.65599999999995</v>
      </c>
      <c r="Y792" s="1" t="s">
        <v>40</v>
      </c>
      <c r="Z792" s="1" t="s">
        <v>41</v>
      </c>
      <c r="AA792" s="4">
        <f t="shared" si="60"/>
        <v>-115</v>
      </c>
      <c r="AB792" s="2" t="str">
        <f t="shared" si="64"/>
        <v>Invalid</v>
      </c>
      <c r="AC792" s="2"/>
    </row>
    <row r="793" spans="1:29">
      <c r="A793" s="1" t="s">
        <v>2444</v>
      </c>
      <c r="B793" s="2">
        <v>45332</v>
      </c>
      <c r="C793" s="2" t="str">
        <f t="shared" si="61"/>
        <v>February</v>
      </c>
      <c r="D793" s="1">
        <f t="shared" si="62"/>
        <v>2024</v>
      </c>
      <c r="E793" s="2">
        <v>45453</v>
      </c>
      <c r="F793" s="1" t="s">
        <v>2445</v>
      </c>
      <c r="G793" s="1" t="s">
        <v>126</v>
      </c>
      <c r="H793" s="1" t="s">
        <v>103</v>
      </c>
      <c r="I793" s="1" t="s">
        <v>62</v>
      </c>
      <c r="J793" s="1" t="s">
        <v>183</v>
      </c>
      <c r="K793" s="1" t="s">
        <v>184</v>
      </c>
      <c r="L793" s="1" t="s">
        <v>49</v>
      </c>
      <c r="M793" s="1" t="s">
        <v>166</v>
      </c>
      <c r="N793" s="1" t="s">
        <v>2446</v>
      </c>
      <c r="O793" s="1" t="s">
        <v>52</v>
      </c>
      <c r="P793" s="1">
        <v>8</v>
      </c>
      <c r="Q793" s="1">
        <v>1558.77</v>
      </c>
      <c r="R793" s="1">
        <v>0.25</v>
      </c>
      <c r="S793" s="1">
        <v>9352.6200000000008</v>
      </c>
      <c r="T793" s="1">
        <f t="shared" si="63"/>
        <v>9352.619999999999</v>
      </c>
      <c r="U793" s="1">
        <v>5269.41</v>
      </c>
      <c r="V793" s="3">
        <f>IF(T793=0,"",X793/T793)</f>
        <v>0.43658461479243243</v>
      </c>
      <c r="W793" s="1">
        <v>4083.21</v>
      </c>
      <c r="X793" s="1">
        <f>T793-U793</f>
        <v>4083.2099999999991</v>
      </c>
      <c r="Y793" s="1" t="s">
        <v>40</v>
      </c>
      <c r="Z793" s="1" t="s">
        <v>41</v>
      </c>
      <c r="AA793" s="1">
        <f t="shared" si="60"/>
        <v>121</v>
      </c>
      <c r="AB793" s="2" t="str">
        <f t="shared" si="64"/>
        <v>Clean</v>
      </c>
      <c r="AC793" s="2"/>
    </row>
    <row r="794" spans="1:29">
      <c r="A794" s="1" t="s">
        <v>2447</v>
      </c>
      <c r="B794" s="2">
        <v>45753</v>
      </c>
      <c r="C794" s="2" t="str">
        <f t="shared" si="61"/>
        <v>April</v>
      </c>
      <c r="D794" s="1">
        <f t="shared" si="62"/>
        <v>2025</v>
      </c>
      <c r="E794" s="2">
        <v>45875</v>
      </c>
      <c r="F794" s="1" t="s">
        <v>2448</v>
      </c>
      <c r="G794" s="1" t="s">
        <v>61</v>
      </c>
      <c r="H794" s="1" t="s">
        <v>45</v>
      </c>
      <c r="I794" s="1" t="s">
        <v>46</v>
      </c>
      <c r="J794" s="1" t="s">
        <v>174</v>
      </c>
      <c r="K794" s="1" t="s">
        <v>175</v>
      </c>
      <c r="L794" s="1" t="s">
        <v>49</v>
      </c>
      <c r="M794" s="1" t="s">
        <v>65</v>
      </c>
      <c r="N794" s="1" t="s">
        <v>2449</v>
      </c>
      <c r="O794" s="1" t="s">
        <v>39</v>
      </c>
      <c r="P794" s="1">
        <v>1</v>
      </c>
      <c r="Q794" s="1">
        <v>3501.12</v>
      </c>
      <c r="R794" s="1">
        <v>0.2</v>
      </c>
      <c r="S794" s="1">
        <v>2800.9</v>
      </c>
      <c r="T794" s="1">
        <f t="shared" si="63"/>
        <v>2800.8960000000002</v>
      </c>
      <c r="U794" s="1">
        <v>1735.98</v>
      </c>
      <c r="V794" s="3">
        <f>IF(T794=0,"",X794/T794)</f>
        <v>0.38020547710446945</v>
      </c>
      <c r="W794" s="1">
        <v>1064.92</v>
      </c>
      <c r="X794" s="1">
        <f>T794-U794</f>
        <v>1064.9160000000002</v>
      </c>
      <c r="Y794" s="1" t="s">
        <v>40</v>
      </c>
      <c r="Z794" s="1" t="s">
        <v>111</v>
      </c>
      <c r="AA794" s="1">
        <f t="shared" si="60"/>
        <v>122</v>
      </c>
      <c r="AB794" s="2" t="str">
        <f t="shared" si="64"/>
        <v>Clean</v>
      </c>
      <c r="AC794" s="2"/>
    </row>
    <row r="795" spans="1:29">
      <c r="A795" s="1" t="s">
        <v>2450</v>
      </c>
      <c r="B795" s="2">
        <v>45440</v>
      </c>
      <c r="C795" s="2" t="str">
        <f t="shared" si="61"/>
        <v>May</v>
      </c>
      <c r="D795" s="1">
        <f t="shared" si="62"/>
        <v>2024</v>
      </c>
      <c r="E795" s="2">
        <v>45357</v>
      </c>
      <c r="F795" s="1" t="s">
        <v>2451</v>
      </c>
      <c r="G795" s="1" t="s">
        <v>79</v>
      </c>
      <c r="H795" s="1" t="s">
        <v>98</v>
      </c>
      <c r="I795" s="1" t="s">
        <v>33</v>
      </c>
      <c r="J795" s="1" t="s">
        <v>34</v>
      </c>
      <c r="K795" s="1" t="s">
        <v>35</v>
      </c>
      <c r="L795" s="1" t="s">
        <v>82</v>
      </c>
      <c r="M795" s="1" t="s">
        <v>88</v>
      </c>
      <c r="N795" s="1" t="s">
        <v>2452</v>
      </c>
      <c r="O795" s="1" t="s">
        <v>39</v>
      </c>
      <c r="P795" s="1">
        <v>5</v>
      </c>
      <c r="Q795" s="1">
        <v>4302.32</v>
      </c>
      <c r="R795" s="1">
        <v>0</v>
      </c>
      <c r="S795" s="1">
        <v>21511.599999999999</v>
      </c>
      <c r="T795" s="1">
        <f t="shared" si="63"/>
        <v>21511.599999999999</v>
      </c>
      <c r="U795" s="1">
        <v>15408.47</v>
      </c>
      <c r="V795" s="3">
        <f>IF(T795=0,"",X795/T795)</f>
        <v>0.28371343833094703</v>
      </c>
      <c r="W795" s="1">
        <v>6103.13</v>
      </c>
      <c r="X795" s="1">
        <f>T795-U795</f>
        <v>6103.1299999999992</v>
      </c>
      <c r="Y795" s="1" t="s">
        <v>40</v>
      </c>
      <c r="Z795" s="1" t="s">
        <v>41</v>
      </c>
      <c r="AA795" s="4">
        <f t="shared" si="60"/>
        <v>-83</v>
      </c>
      <c r="AB795" s="2" t="str">
        <f t="shared" si="64"/>
        <v>Invalid</v>
      </c>
      <c r="AC795" s="2"/>
    </row>
    <row r="796" spans="1:29">
      <c r="A796" s="1" t="s">
        <v>2453</v>
      </c>
      <c r="B796" s="2">
        <v>45830</v>
      </c>
      <c r="C796" s="2" t="str">
        <f t="shared" si="61"/>
        <v>June</v>
      </c>
      <c r="D796" s="1">
        <f t="shared" si="62"/>
        <v>2025</v>
      </c>
      <c r="E796" s="2">
        <v>45832</v>
      </c>
      <c r="F796" s="1" t="s">
        <v>2454</v>
      </c>
      <c r="G796" s="1" t="s">
        <v>140</v>
      </c>
      <c r="H796" s="1" t="s">
        <v>98</v>
      </c>
      <c r="I796" s="1" t="s">
        <v>46</v>
      </c>
      <c r="J796" s="1" t="s">
        <v>174</v>
      </c>
      <c r="K796" s="1" t="s">
        <v>175</v>
      </c>
      <c r="L796" s="1" t="s">
        <v>36</v>
      </c>
      <c r="M796" s="1" t="s">
        <v>37</v>
      </c>
      <c r="N796" s="1" t="s">
        <v>2455</v>
      </c>
      <c r="O796" s="1" t="s">
        <v>67</v>
      </c>
      <c r="P796" s="1">
        <v>9</v>
      </c>
      <c r="Q796" s="1">
        <v>951.55</v>
      </c>
      <c r="R796" s="1">
        <v>0.15</v>
      </c>
      <c r="S796" s="1">
        <v>7279.36</v>
      </c>
      <c r="T796" s="1">
        <f t="shared" si="63"/>
        <v>7279.3574999999992</v>
      </c>
      <c r="U796" s="1">
        <v>4870.3900000000003</v>
      </c>
      <c r="V796" s="3">
        <f>IF(T796=0,"",X796/T796)</f>
        <v>0.33093133562955235</v>
      </c>
      <c r="W796" s="1">
        <v>2408.9699999999998</v>
      </c>
      <c r="X796" s="1">
        <f>T796-U796</f>
        <v>2408.9674999999988</v>
      </c>
      <c r="Y796" s="1" t="s">
        <v>40</v>
      </c>
      <c r="Z796" s="1" t="s">
        <v>41</v>
      </c>
      <c r="AA796" s="1">
        <f t="shared" si="60"/>
        <v>2</v>
      </c>
      <c r="AB796" s="2" t="str">
        <f t="shared" si="64"/>
        <v>Clean</v>
      </c>
      <c r="AC796" s="2"/>
    </row>
    <row r="797" spans="1:29">
      <c r="A797" s="1" t="s">
        <v>2456</v>
      </c>
      <c r="B797" s="2">
        <v>45503</v>
      </c>
      <c r="C797" s="2" t="str">
        <f t="shared" si="61"/>
        <v>July</v>
      </c>
      <c r="D797" s="1">
        <f t="shared" si="62"/>
        <v>2024</v>
      </c>
      <c r="E797" s="2">
        <v>45503</v>
      </c>
      <c r="F797" s="1" t="s">
        <v>2457</v>
      </c>
      <c r="G797" s="1" t="s">
        <v>170</v>
      </c>
      <c r="H797" s="1" t="s">
        <v>103</v>
      </c>
      <c r="I797" s="1" t="s">
        <v>46</v>
      </c>
      <c r="J797" s="1" t="s">
        <v>47</v>
      </c>
      <c r="K797" s="1" t="s">
        <v>48</v>
      </c>
      <c r="L797" s="1" t="s">
        <v>82</v>
      </c>
      <c r="M797" s="1" t="s">
        <v>88</v>
      </c>
      <c r="N797" s="1" t="s">
        <v>2458</v>
      </c>
      <c r="O797" s="1" t="s">
        <v>52</v>
      </c>
      <c r="P797" s="1">
        <v>9</v>
      </c>
      <c r="Q797" s="1">
        <v>2894.66</v>
      </c>
      <c r="R797" s="1">
        <v>0</v>
      </c>
      <c r="S797" s="1">
        <v>26051.94</v>
      </c>
      <c r="T797" s="1">
        <f t="shared" si="63"/>
        <v>26051.94</v>
      </c>
      <c r="U797" s="1">
        <v>16883.59</v>
      </c>
      <c r="V797" s="3">
        <f>IF(T797=0,"",X797/T797)</f>
        <v>0.3519258066769691</v>
      </c>
      <c r="W797" s="1">
        <v>9168.35</v>
      </c>
      <c r="X797" s="1">
        <f>T797-U797</f>
        <v>9168.3499999999985</v>
      </c>
      <c r="Y797" s="1" t="s">
        <v>110</v>
      </c>
      <c r="Z797" s="1" t="s">
        <v>76</v>
      </c>
      <c r="AA797" s="1">
        <f t="shared" si="60"/>
        <v>0</v>
      </c>
      <c r="AB797" s="2" t="str">
        <f t="shared" si="64"/>
        <v>Clean</v>
      </c>
      <c r="AC797" s="2"/>
    </row>
    <row r="798" spans="1:29">
      <c r="A798" s="1" t="s">
        <v>2459</v>
      </c>
      <c r="B798" s="2">
        <v>45374</v>
      </c>
      <c r="C798" s="2" t="str">
        <f t="shared" si="61"/>
        <v>March</v>
      </c>
      <c r="D798" s="1">
        <f t="shared" si="62"/>
        <v>2024</v>
      </c>
      <c r="E798" s="2">
        <v>45381</v>
      </c>
      <c r="F798" s="1" t="s">
        <v>2460</v>
      </c>
      <c r="G798" s="1" t="s">
        <v>149</v>
      </c>
      <c r="H798" s="1" t="s">
        <v>45</v>
      </c>
      <c r="I798" s="1" t="s">
        <v>62</v>
      </c>
      <c r="J798" s="1" t="s">
        <v>92</v>
      </c>
      <c r="K798" s="1" t="s">
        <v>93</v>
      </c>
      <c r="L798" s="1" t="s">
        <v>82</v>
      </c>
      <c r="M798" s="1" t="s">
        <v>283</v>
      </c>
      <c r="N798" s="1" t="s">
        <v>2461</v>
      </c>
      <c r="O798" s="1" t="s">
        <v>58</v>
      </c>
      <c r="P798" s="1">
        <v>6</v>
      </c>
      <c r="Q798" s="1">
        <v>1894.44</v>
      </c>
      <c r="R798" s="1">
        <v>0.15</v>
      </c>
      <c r="S798" s="1">
        <v>9661.64</v>
      </c>
      <c r="T798" s="1">
        <f t="shared" si="63"/>
        <v>9661.6439999999984</v>
      </c>
      <c r="U798" s="1">
        <v>6303.77</v>
      </c>
      <c r="V798" s="3">
        <f>IF(T798=0,"",X798/T798)</f>
        <v>0.34754685641491223</v>
      </c>
      <c r="W798" s="1">
        <v>3357.87</v>
      </c>
      <c r="X798" s="1">
        <f>T798-U798</f>
        <v>3357.873999999998</v>
      </c>
      <c r="Y798" s="1" t="s">
        <v>40</v>
      </c>
      <c r="Z798" s="1" t="s">
        <v>41</v>
      </c>
      <c r="AA798" s="1">
        <f t="shared" si="60"/>
        <v>7</v>
      </c>
      <c r="AB798" s="2" t="str">
        <f t="shared" si="64"/>
        <v>Clean</v>
      </c>
      <c r="AC798" s="2"/>
    </row>
    <row r="799" spans="1:29">
      <c r="A799" s="1" t="s">
        <v>2462</v>
      </c>
      <c r="B799" s="2">
        <v>45400</v>
      </c>
      <c r="C799" s="2" t="str">
        <f t="shared" si="61"/>
        <v>April</v>
      </c>
      <c r="D799" s="1">
        <f t="shared" si="62"/>
        <v>2024</v>
      </c>
      <c r="E799" s="2">
        <v>45404</v>
      </c>
      <c r="F799" s="1" t="s">
        <v>2463</v>
      </c>
      <c r="G799" s="1" t="s">
        <v>136</v>
      </c>
      <c r="H799" s="1" t="s">
        <v>32</v>
      </c>
      <c r="I799" s="1" t="s">
        <v>46</v>
      </c>
      <c r="J799" s="1" t="s">
        <v>47</v>
      </c>
      <c r="K799" s="1" t="s">
        <v>48</v>
      </c>
      <c r="L799" s="1" t="s">
        <v>36</v>
      </c>
      <c r="M799" s="1" t="s">
        <v>161</v>
      </c>
      <c r="N799" s="1" t="s">
        <v>2464</v>
      </c>
      <c r="O799" s="1" t="s">
        <v>58</v>
      </c>
      <c r="P799" s="1">
        <v>8</v>
      </c>
      <c r="Q799" s="1">
        <v>1714.37</v>
      </c>
      <c r="R799" s="1">
        <v>0</v>
      </c>
      <c r="S799" s="1">
        <v>13714.96</v>
      </c>
      <c r="T799" s="1">
        <f t="shared" si="63"/>
        <v>13714.96</v>
      </c>
      <c r="U799" s="1">
        <v>10550.47</v>
      </c>
      <c r="V799" s="3">
        <f>IF(T799=0,"",X799/T799)</f>
        <v>0.23073271814135804</v>
      </c>
      <c r="W799" s="1">
        <v>3164.49</v>
      </c>
      <c r="X799" s="1">
        <f>T799-U799</f>
        <v>3164.49</v>
      </c>
      <c r="Y799" s="1" t="s">
        <v>163</v>
      </c>
      <c r="Z799" s="1" t="s">
        <v>76</v>
      </c>
      <c r="AA799" s="1">
        <f t="shared" si="60"/>
        <v>4</v>
      </c>
      <c r="AB799" s="2" t="str">
        <f t="shared" si="64"/>
        <v>Clean</v>
      </c>
      <c r="AC799" s="2"/>
    </row>
    <row r="800" spans="1:29">
      <c r="A800" s="1" t="s">
        <v>2465</v>
      </c>
      <c r="B800" s="2">
        <v>45968</v>
      </c>
      <c r="C800" s="2" t="str">
        <f t="shared" si="61"/>
        <v>November</v>
      </c>
      <c r="D800" s="1">
        <f t="shared" si="62"/>
        <v>2025</v>
      </c>
      <c r="E800" s="2">
        <v>45907</v>
      </c>
      <c r="F800" s="1" t="s">
        <v>2466</v>
      </c>
      <c r="G800" s="1" t="s">
        <v>97</v>
      </c>
      <c r="H800" s="1" t="s">
        <v>98</v>
      </c>
      <c r="I800" s="1" t="s">
        <v>33</v>
      </c>
      <c r="J800" s="1" t="s">
        <v>359</v>
      </c>
      <c r="K800" s="1" t="s">
        <v>360</v>
      </c>
      <c r="L800" s="1" t="s">
        <v>49</v>
      </c>
      <c r="M800" s="1" t="s">
        <v>65</v>
      </c>
      <c r="N800" s="1" t="s">
        <v>2467</v>
      </c>
      <c r="O800" s="1" t="s">
        <v>67</v>
      </c>
      <c r="P800" s="1">
        <v>9</v>
      </c>
      <c r="Q800" s="1">
        <v>1706.05</v>
      </c>
      <c r="R800" s="1">
        <v>0</v>
      </c>
      <c r="S800" s="1">
        <v>15354.45</v>
      </c>
      <c r="T800" s="1">
        <f t="shared" si="63"/>
        <v>15354.449999999999</v>
      </c>
      <c r="U800" s="1">
        <v>9656.5</v>
      </c>
      <c r="V800" s="3">
        <f>IF(T800=0,"",X800/T800)</f>
        <v>0.37109437329243311</v>
      </c>
      <c r="W800" s="1">
        <v>5697.95</v>
      </c>
      <c r="X800" s="1">
        <f>T800-U800</f>
        <v>5697.9499999999989</v>
      </c>
      <c r="Y800" s="1" t="s">
        <v>40</v>
      </c>
      <c r="Z800" s="1" t="s">
        <v>41</v>
      </c>
      <c r="AA800" s="4">
        <f t="shared" si="60"/>
        <v>-61</v>
      </c>
      <c r="AB800" s="2" t="str">
        <f t="shared" si="64"/>
        <v>Invalid</v>
      </c>
      <c r="AC800" s="2"/>
    </row>
    <row r="801" spans="1:29">
      <c r="A801" s="1" t="s">
        <v>2468</v>
      </c>
      <c r="B801" s="2">
        <v>45575</v>
      </c>
      <c r="C801" s="2" t="str">
        <f t="shared" si="61"/>
        <v>October</v>
      </c>
      <c r="D801" s="1">
        <f t="shared" si="62"/>
        <v>2024</v>
      </c>
      <c r="E801" s="2">
        <v>45582</v>
      </c>
      <c r="F801" s="1" t="s">
        <v>2469</v>
      </c>
      <c r="G801" s="1" t="s">
        <v>55</v>
      </c>
      <c r="H801" s="1" t="s">
        <v>103</v>
      </c>
      <c r="I801" s="1" t="s">
        <v>33</v>
      </c>
      <c r="J801" s="1" t="s">
        <v>245</v>
      </c>
      <c r="K801" s="1" t="s">
        <v>246</v>
      </c>
      <c r="L801" s="1" t="s">
        <v>82</v>
      </c>
      <c r="M801" s="1" t="s">
        <v>83</v>
      </c>
      <c r="N801" s="1" t="s">
        <v>2470</v>
      </c>
      <c r="O801" s="1" t="s">
        <v>213</v>
      </c>
      <c r="P801" s="1">
        <v>5</v>
      </c>
      <c r="Q801" s="1">
        <v>967.41</v>
      </c>
      <c r="R801" s="1">
        <v>0.05</v>
      </c>
      <c r="S801" s="1">
        <v>4595.2</v>
      </c>
      <c r="T801" s="1">
        <f t="shared" si="63"/>
        <v>4595.1975000000002</v>
      </c>
      <c r="U801" s="1">
        <v>3887.41</v>
      </c>
      <c r="V801" s="3">
        <f>IF(T801=0,"",X801/T801)</f>
        <v>0.15402765604742785</v>
      </c>
      <c r="W801" s="1">
        <v>707.79</v>
      </c>
      <c r="X801" s="1">
        <f>T801-U801</f>
        <v>707.78750000000036</v>
      </c>
      <c r="Y801" s="1" t="s">
        <v>40</v>
      </c>
      <c r="Z801" s="1" t="s">
        <v>111</v>
      </c>
      <c r="AA801" s="1">
        <f t="shared" si="60"/>
        <v>7</v>
      </c>
      <c r="AB801" s="2" t="str">
        <f t="shared" si="64"/>
        <v>Warning</v>
      </c>
      <c r="AC801" s="2"/>
    </row>
    <row r="802" spans="1:29">
      <c r="A802" s="1" t="s">
        <v>2471</v>
      </c>
      <c r="B802" s="2">
        <v>45294</v>
      </c>
      <c r="C802" s="2" t="str">
        <f t="shared" si="61"/>
        <v>January</v>
      </c>
      <c r="D802" s="1">
        <f t="shared" si="62"/>
        <v>2024</v>
      </c>
      <c r="E802" s="2">
        <v>45476</v>
      </c>
      <c r="F802" s="1" t="s">
        <v>2472</v>
      </c>
      <c r="G802" s="1" t="s">
        <v>79</v>
      </c>
      <c r="H802" s="1" t="s">
        <v>45</v>
      </c>
      <c r="I802" s="1" t="s">
        <v>71</v>
      </c>
      <c r="J802" s="1" t="s">
        <v>72</v>
      </c>
      <c r="K802" s="1" t="s">
        <v>73</v>
      </c>
      <c r="L802" s="1" t="s">
        <v>36</v>
      </c>
      <c r="M802" s="1" t="s">
        <v>132</v>
      </c>
      <c r="N802" s="1" t="s">
        <v>2473</v>
      </c>
      <c r="O802" s="1" t="s">
        <v>39</v>
      </c>
      <c r="P802" s="1">
        <v>6</v>
      </c>
      <c r="Q802" s="1">
        <v>4163.72</v>
      </c>
      <c r="R802" s="1">
        <v>0.15</v>
      </c>
      <c r="S802" s="1">
        <v>21234.97</v>
      </c>
      <c r="T802" s="1">
        <f t="shared" si="63"/>
        <v>21234.971999999998</v>
      </c>
      <c r="U802" s="1">
        <v>16736.09</v>
      </c>
      <c r="V802" s="3">
        <f>IF(T802=0,"",X802/T802)</f>
        <v>0.21186192286950029</v>
      </c>
      <c r="W802" s="1">
        <v>4498.88</v>
      </c>
      <c r="X802" s="1">
        <f>T802-U802</f>
        <v>4498.8819999999978</v>
      </c>
      <c r="Y802" s="1" t="s">
        <v>40</v>
      </c>
      <c r="Z802" s="1" t="s">
        <v>41</v>
      </c>
      <c r="AA802" s="1">
        <f t="shared" si="60"/>
        <v>182</v>
      </c>
      <c r="AB802" s="2" t="str">
        <f t="shared" si="64"/>
        <v>Clean</v>
      </c>
      <c r="AC802" s="2"/>
    </row>
    <row r="803" spans="1:29">
      <c r="A803" s="1" t="s">
        <v>2474</v>
      </c>
      <c r="B803" s="2">
        <v>45879</v>
      </c>
      <c r="C803" s="2" t="str">
        <f t="shared" si="61"/>
        <v>August</v>
      </c>
      <c r="D803" s="1">
        <f t="shared" si="62"/>
        <v>2025</v>
      </c>
      <c r="E803" s="2">
        <v>45945</v>
      </c>
      <c r="F803" s="1" t="s">
        <v>2475</v>
      </c>
      <c r="G803" s="1" t="s">
        <v>136</v>
      </c>
      <c r="H803" s="1" t="s">
        <v>103</v>
      </c>
      <c r="I803" s="1" t="s">
        <v>46</v>
      </c>
      <c r="J803" s="1" t="s">
        <v>47</v>
      </c>
      <c r="K803" s="1" t="s">
        <v>48</v>
      </c>
      <c r="L803" s="1" t="s">
        <v>82</v>
      </c>
      <c r="M803" s="1" t="s">
        <v>83</v>
      </c>
      <c r="N803" s="1" t="s">
        <v>2476</v>
      </c>
      <c r="O803" s="1" t="s">
        <v>39</v>
      </c>
      <c r="P803" s="1">
        <v>3</v>
      </c>
      <c r="Q803" s="1">
        <v>3372.21</v>
      </c>
      <c r="R803" s="1">
        <v>0.2</v>
      </c>
      <c r="S803" s="1">
        <v>8093.3</v>
      </c>
      <c r="T803" s="1">
        <f t="shared" si="63"/>
        <v>8093.304000000001</v>
      </c>
      <c r="U803" s="1">
        <v>6052.43</v>
      </c>
      <c r="V803" s="3">
        <f>IF(T803=0,"",X803/T803)</f>
        <v>0.25216821214179036</v>
      </c>
      <c r="W803" s="1">
        <v>2040.87</v>
      </c>
      <c r="X803" s="1">
        <f>T803-U803</f>
        <v>2040.8740000000007</v>
      </c>
      <c r="Y803" s="1" t="s">
        <v>119</v>
      </c>
      <c r="Z803" s="1" t="s">
        <v>76</v>
      </c>
      <c r="AA803" s="1">
        <f t="shared" si="60"/>
        <v>66</v>
      </c>
      <c r="AB803" s="2" t="str">
        <f t="shared" si="64"/>
        <v>Clean</v>
      </c>
      <c r="AC803" s="2"/>
    </row>
    <row r="804" spans="1:29">
      <c r="A804" s="1" t="s">
        <v>2477</v>
      </c>
      <c r="B804" s="2">
        <v>45704</v>
      </c>
      <c r="C804" s="2" t="str">
        <f t="shared" si="61"/>
        <v>February</v>
      </c>
      <c r="D804" s="1">
        <f t="shared" si="62"/>
        <v>2025</v>
      </c>
      <c r="E804" s="2">
        <v>45704</v>
      </c>
      <c r="F804" s="1" t="s">
        <v>2478</v>
      </c>
      <c r="G804" s="1" t="s">
        <v>149</v>
      </c>
      <c r="H804" s="1" t="s">
        <v>45</v>
      </c>
      <c r="I804" s="1" t="s">
        <v>46</v>
      </c>
      <c r="J804" s="1" t="s">
        <v>174</v>
      </c>
      <c r="K804" s="1" t="s">
        <v>175</v>
      </c>
      <c r="L804" s="1" t="s">
        <v>49</v>
      </c>
      <c r="M804" s="1" t="s">
        <v>65</v>
      </c>
      <c r="N804" s="1" t="s">
        <v>2479</v>
      </c>
      <c r="O804" s="1" t="s">
        <v>39</v>
      </c>
      <c r="P804" s="1">
        <v>6</v>
      </c>
      <c r="Q804" s="1">
        <v>1441.91</v>
      </c>
      <c r="R804" s="1">
        <v>0</v>
      </c>
      <c r="S804" s="1">
        <v>8651.4599999999991</v>
      </c>
      <c r="T804" s="1">
        <f t="shared" si="63"/>
        <v>8651.4600000000009</v>
      </c>
      <c r="U804" s="1">
        <v>5254.62</v>
      </c>
      <c r="V804" s="3">
        <f>IF(T804=0,"",X804/T804)</f>
        <v>0.39263199506210522</v>
      </c>
      <c r="W804" s="1">
        <v>3396.84</v>
      </c>
      <c r="X804" s="1">
        <f>T804-U804</f>
        <v>3396.8400000000011</v>
      </c>
      <c r="Y804" s="1" t="s">
        <v>2480</v>
      </c>
      <c r="Z804" s="1" t="s">
        <v>111</v>
      </c>
      <c r="AA804" s="1">
        <f t="shared" si="60"/>
        <v>0</v>
      </c>
      <c r="AB804" s="2" t="str">
        <f t="shared" si="64"/>
        <v>Clean</v>
      </c>
      <c r="AC804" s="2"/>
    </row>
    <row r="805" spans="1:29">
      <c r="A805" s="1" t="s">
        <v>2481</v>
      </c>
      <c r="B805" s="2">
        <v>45547</v>
      </c>
      <c r="C805" s="2" t="str">
        <f t="shared" si="61"/>
        <v>September</v>
      </c>
      <c r="D805" s="1">
        <f t="shared" si="62"/>
        <v>2024</v>
      </c>
      <c r="E805" s="2">
        <v>45639</v>
      </c>
      <c r="F805" s="1" t="s">
        <v>2482</v>
      </c>
      <c r="G805" s="1" t="s">
        <v>149</v>
      </c>
      <c r="H805" s="1" t="s">
        <v>32</v>
      </c>
      <c r="I805" s="1" t="s">
        <v>213</v>
      </c>
      <c r="J805" s="1" t="s">
        <v>237</v>
      </c>
      <c r="K805" s="1" t="s">
        <v>238</v>
      </c>
      <c r="L805" s="1" t="s">
        <v>36</v>
      </c>
      <c r="M805" s="1" t="s">
        <v>99</v>
      </c>
      <c r="N805" s="1" t="s">
        <v>2483</v>
      </c>
      <c r="O805" s="1" t="s">
        <v>58</v>
      </c>
      <c r="P805" s="1">
        <v>1</v>
      </c>
      <c r="Q805" s="1">
        <v>4306.6499999999996</v>
      </c>
      <c r="R805" s="1">
        <v>0</v>
      </c>
      <c r="S805" s="1">
        <v>4306.6499999999996</v>
      </c>
      <c r="T805" s="1">
        <f t="shared" si="63"/>
        <v>4306.6499999999996</v>
      </c>
      <c r="U805" s="1">
        <v>2568.8200000000002</v>
      </c>
      <c r="V805" s="3">
        <f>IF(T805=0,"",X805/T805)</f>
        <v>0.40352245945224235</v>
      </c>
      <c r="W805" s="1">
        <v>1737.83</v>
      </c>
      <c r="X805" s="1">
        <f>T805-U805</f>
        <v>1737.8299999999995</v>
      </c>
      <c r="Y805" s="1" t="s">
        <v>40</v>
      </c>
      <c r="Z805" s="1" t="s">
        <v>41</v>
      </c>
      <c r="AA805" s="1">
        <f t="shared" si="60"/>
        <v>92</v>
      </c>
      <c r="AB805" s="2" t="str">
        <f t="shared" si="64"/>
        <v>Warning</v>
      </c>
      <c r="AC805" s="2"/>
    </row>
    <row r="806" spans="1:29">
      <c r="A806" s="1" t="s">
        <v>2484</v>
      </c>
      <c r="B806" s="2">
        <v>45939</v>
      </c>
      <c r="C806" s="2" t="str">
        <f t="shared" si="61"/>
        <v>October</v>
      </c>
      <c r="D806" s="1">
        <f t="shared" si="62"/>
        <v>2025</v>
      </c>
      <c r="E806" s="2">
        <v>45918</v>
      </c>
      <c r="F806" s="1" t="s">
        <v>2485</v>
      </c>
      <c r="G806" s="1" t="s">
        <v>126</v>
      </c>
      <c r="H806" s="1" t="s">
        <v>103</v>
      </c>
      <c r="I806" s="1" t="s">
        <v>62</v>
      </c>
      <c r="J806" s="1" t="s">
        <v>63</v>
      </c>
      <c r="K806" s="1" t="s">
        <v>64</v>
      </c>
      <c r="L806" s="1" t="s">
        <v>49</v>
      </c>
      <c r="M806" s="1" t="s">
        <v>65</v>
      </c>
      <c r="N806" s="1" t="s">
        <v>2486</v>
      </c>
      <c r="O806" s="1" t="s">
        <v>67</v>
      </c>
      <c r="P806" s="1">
        <v>1</v>
      </c>
      <c r="Q806" s="1">
        <v>2050.62</v>
      </c>
      <c r="R806" s="1">
        <v>0.05</v>
      </c>
      <c r="S806" s="1">
        <v>1948.09</v>
      </c>
      <c r="T806" s="1">
        <f t="shared" si="63"/>
        <v>1948.0889999999997</v>
      </c>
      <c r="U806" s="1">
        <v>1507.08</v>
      </c>
      <c r="V806" s="3">
        <f>IF(T806=0,"",X806/T806)</f>
        <v>0.22638031424642296</v>
      </c>
      <c r="W806" s="1">
        <v>441.01</v>
      </c>
      <c r="X806" s="1">
        <f>T806-U806</f>
        <v>441.00899999999979</v>
      </c>
      <c r="Y806" s="1" t="s">
        <v>40</v>
      </c>
      <c r="Z806" s="1" t="s">
        <v>41</v>
      </c>
      <c r="AA806" s="4">
        <f t="shared" si="60"/>
        <v>-21</v>
      </c>
      <c r="AB806" s="2" t="str">
        <f t="shared" si="64"/>
        <v>Invalid</v>
      </c>
      <c r="AC806" s="2"/>
    </row>
    <row r="807" spans="1:29">
      <c r="A807" s="1" t="s">
        <v>2487</v>
      </c>
      <c r="B807" s="2">
        <v>45812</v>
      </c>
      <c r="C807" s="2" t="str">
        <f t="shared" si="61"/>
        <v>June</v>
      </c>
      <c r="D807" s="1">
        <f t="shared" si="62"/>
        <v>2025</v>
      </c>
      <c r="E807" s="2">
        <v>45842</v>
      </c>
      <c r="F807" s="1" t="s">
        <v>2351</v>
      </c>
      <c r="G807" s="1" t="s">
        <v>122</v>
      </c>
      <c r="H807" s="1" t="s">
        <v>103</v>
      </c>
      <c r="I807" s="1" t="s">
        <v>46</v>
      </c>
      <c r="J807" s="1" t="s">
        <v>174</v>
      </c>
      <c r="K807" s="1" t="s">
        <v>175</v>
      </c>
      <c r="L807" s="1" t="s">
        <v>36</v>
      </c>
      <c r="M807" s="1" t="s">
        <v>161</v>
      </c>
      <c r="N807" s="1" t="s">
        <v>2488</v>
      </c>
      <c r="O807" s="1" t="s">
        <v>39</v>
      </c>
      <c r="P807" s="1">
        <v>2</v>
      </c>
      <c r="Q807" s="1">
        <v>2030.06</v>
      </c>
      <c r="R807" s="1">
        <v>0.25</v>
      </c>
      <c r="S807" s="1">
        <v>3045.09</v>
      </c>
      <c r="T807" s="1">
        <f t="shared" si="63"/>
        <v>3045.09</v>
      </c>
      <c r="U807" s="1">
        <v>2601.09</v>
      </c>
      <c r="V807" s="3">
        <f>IF(T807=0,"",X807/T807)</f>
        <v>0.14580849827098705</v>
      </c>
      <c r="W807" s="1">
        <v>444</v>
      </c>
      <c r="X807" s="1">
        <f>T807-U807</f>
        <v>444</v>
      </c>
      <c r="Y807" s="1" t="s">
        <v>40</v>
      </c>
      <c r="Z807" s="1" t="s">
        <v>41</v>
      </c>
      <c r="AA807" s="1">
        <f t="shared" si="60"/>
        <v>30</v>
      </c>
      <c r="AB807" s="2" t="str">
        <f t="shared" si="64"/>
        <v>Clean</v>
      </c>
      <c r="AC807" s="2"/>
    </row>
    <row r="808" spans="1:29">
      <c r="A808" s="1" t="s">
        <v>2489</v>
      </c>
      <c r="B808" s="2">
        <v>45546</v>
      </c>
      <c r="C808" s="2" t="str">
        <f t="shared" si="61"/>
        <v>September</v>
      </c>
      <c r="D808" s="1">
        <f t="shared" si="62"/>
        <v>2024</v>
      </c>
      <c r="E808" s="2">
        <v>45611</v>
      </c>
      <c r="F808" s="1" t="s">
        <v>2490</v>
      </c>
      <c r="G808" s="1" t="s">
        <v>55</v>
      </c>
      <c r="H808" s="1" t="s">
        <v>103</v>
      </c>
      <c r="I808" s="1" t="s">
        <v>33</v>
      </c>
      <c r="J808" s="1" t="s">
        <v>34</v>
      </c>
      <c r="K808" s="1" t="s">
        <v>35</v>
      </c>
      <c r="L808" s="1" t="s">
        <v>82</v>
      </c>
      <c r="M808" s="1" t="s">
        <v>88</v>
      </c>
      <c r="N808" s="1" t="s">
        <v>2491</v>
      </c>
      <c r="O808" s="1" t="s">
        <v>67</v>
      </c>
      <c r="P808" s="1">
        <v>1</v>
      </c>
      <c r="Q808" s="1">
        <v>3665.97</v>
      </c>
      <c r="R808" s="1">
        <v>0.2</v>
      </c>
      <c r="S808" s="1">
        <v>2932.78</v>
      </c>
      <c r="T808" s="1">
        <f t="shared" si="63"/>
        <v>2932.7759999999998</v>
      </c>
      <c r="U808" s="1">
        <v>1900.35</v>
      </c>
      <c r="V808" s="3">
        <f>IF(T808=0,"",X808/T808)</f>
        <v>0.35203029484692999</v>
      </c>
      <c r="W808" s="1">
        <v>1032.43</v>
      </c>
      <c r="X808" s="1">
        <f>T808-U808</f>
        <v>1032.4259999999999</v>
      </c>
      <c r="Y808" s="1" t="s">
        <v>163</v>
      </c>
      <c r="Z808" s="1" t="s">
        <v>76</v>
      </c>
      <c r="AA808" s="1">
        <f t="shared" si="60"/>
        <v>65</v>
      </c>
      <c r="AB808" s="2" t="str">
        <f t="shared" si="64"/>
        <v>Clean</v>
      </c>
      <c r="AC808" s="2"/>
    </row>
    <row r="809" spans="1:29">
      <c r="A809" s="1" t="s">
        <v>2492</v>
      </c>
      <c r="B809" s="2">
        <v>45840</v>
      </c>
      <c r="C809" s="2" t="str">
        <f t="shared" si="61"/>
        <v>July</v>
      </c>
      <c r="D809" s="1">
        <f t="shared" si="62"/>
        <v>2025</v>
      </c>
      <c r="E809" s="2">
        <v>45871</v>
      </c>
      <c r="F809" s="1" t="s">
        <v>2493</v>
      </c>
      <c r="G809" s="1" t="s">
        <v>31</v>
      </c>
      <c r="H809" s="1" t="s">
        <v>45</v>
      </c>
      <c r="I809" s="1" t="s">
        <v>62</v>
      </c>
      <c r="J809" s="1" t="s">
        <v>63</v>
      </c>
      <c r="K809" s="1" t="s">
        <v>64</v>
      </c>
      <c r="L809" s="1" t="s">
        <v>36</v>
      </c>
      <c r="M809" s="1" t="s">
        <v>99</v>
      </c>
      <c r="N809" s="1" t="s">
        <v>2494</v>
      </c>
      <c r="O809" s="1" t="s">
        <v>67</v>
      </c>
      <c r="P809" s="1">
        <v>2</v>
      </c>
      <c r="Q809" s="1">
        <v>2432.98</v>
      </c>
      <c r="R809" s="1">
        <v>0.1</v>
      </c>
      <c r="S809" s="1">
        <v>4379.3599999999997</v>
      </c>
      <c r="T809" s="1">
        <f t="shared" si="63"/>
        <v>4379.3640000000005</v>
      </c>
      <c r="U809" s="1">
        <v>3723.93</v>
      </c>
      <c r="V809" s="3">
        <f>IF(T809=0,"",X809/T809)</f>
        <v>0.14966419781502532</v>
      </c>
      <c r="W809" s="1">
        <v>655.43</v>
      </c>
      <c r="X809" s="1">
        <f>T809-U809</f>
        <v>655.43400000000065</v>
      </c>
      <c r="Y809" s="1" t="s">
        <v>40</v>
      </c>
      <c r="Z809" s="1" t="s">
        <v>41</v>
      </c>
      <c r="AA809" s="1">
        <f t="shared" si="60"/>
        <v>31</v>
      </c>
      <c r="AB809" s="2" t="str">
        <f t="shared" si="64"/>
        <v>Clean</v>
      </c>
      <c r="AC809" s="2"/>
    </row>
    <row r="810" spans="1:29">
      <c r="A810" s="1" t="s">
        <v>2495</v>
      </c>
      <c r="B810" s="2">
        <v>45900</v>
      </c>
      <c r="C810" s="2" t="str">
        <f t="shared" si="61"/>
        <v>August</v>
      </c>
      <c r="D810" s="1">
        <f t="shared" si="62"/>
        <v>2025</v>
      </c>
      <c r="E810" s="2">
        <v>45897</v>
      </c>
      <c r="F810" s="1" t="s">
        <v>2496</v>
      </c>
      <c r="G810" s="1" t="s">
        <v>136</v>
      </c>
      <c r="H810" s="1" t="s">
        <v>45</v>
      </c>
      <c r="I810" s="1" t="s">
        <v>62</v>
      </c>
      <c r="J810" s="1" t="s">
        <v>256</v>
      </c>
      <c r="K810" s="1" t="s">
        <v>257</v>
      </c>
      <c r="L810" s="1" t="s">
        <v>49</v>
      </c>
      <c r="M810" s="1" t="s">
        <v>65</v>
      </c>
      <c r="N810" s="1" t="s">
        <v>2497</v>
      </c>
      <c r="O810" s="1" t="s">
        <v>58</v>
      </c>
      <c r="P810" s="1">
        <v>7</v>
      </c>
      <c r="Q810" s="1">
        <v>977.28</v>
      </c>
      <c r="R810" s="1">
        <v>0.2</v>
      </c>
      <c r="S810" s="1">
        <v>5472.77</v>
      </c>
      <c r="T810" s="1">
        <f t="shared" si="63"/>
        <v>5472.768</v>
      </c>
      <c r="U810" s="1">
        <v>4477.33</v>
      </c>
      <c r="V810" s="3">
        <f>IF(T810=0,"",X810/T810)</f>
        <v>0.18188931085695575</v>
      </c>
      <c r="W810" s="1">
        <v>995.44</v>
      </c>
      <c r="X810" s="1">
        <f>T810-U810</f>
        <v>995.4380000000001</v>
      </c>
      <c r="Y810" s="1" t="s">
        <v>40</v>
      </c>
      <c r="Z810" s="1" t="s">
        <v>41</v>
      </c>
      <c r="AA810" s="4">
        <f t="shared" si="60"/>
        <v>-3</v>
      </c>
      <c r="AB810" s="2" t="str">
        <f t="shared" si="64"/>
        <v>Invalid</v>
      </c>
      <c r="AC810" s="2"/>
    </row>
    <row r="811" spans="1:29">
      <c r="A811" s="1" t="s">
        <v>2498</v>
      </c>
      <c r="B811" s="2">
        <v>45833</v>
      </c>
      <c r="C811" s="2" t="str">
        <f t="shared" si="61"/>
        <v>June</v>
      </c>
      <c r="D811" s="1">
        <f t="shared" si="62"/>
        <v>2025</v>
      </c>
      <c r="E811" s="2">
        <v>45833</v>
      </c>
      <c r="F811" s="1" t="s">
        <v>2499</v>
      </c>
      <c r="G811" s="1" t="s">
        <v>61</v>
      </c>
      <c r="H811" s="1" t="s">
        <v>45</v>
      </c>
      <c r="I811" s="1" t="s">
        <v>213</v>
      </c>
      <c r="J811" s="1" t="s">
        <v>130</v>
      </c>
      <c r="K811" s="1" t="s">
        <v>131</v>
      </c>
      <c r="L811" s="1" t="s">
        <v>36</v>
      </c>
      <c r="M811" s="1" t="s">
        <v>161</v>
      </c>
      <c r="N811" s="1" t="s">
        <v>2500</v>
      </c>
      <c r="O811" s="1" t="s">
        <v>39</v>
      </c>
      <c r="P811" s="1">
        <v>6</v>
      </c>
      <c r="Q811" s="1">
        <v>1366.13</v>
      </c>
      <c r="R811" s="1">
        <v>0.1</v>
      </c>
      <c r="S811" s="1">
        <v>7377.1</v>
      </c>
      <c r="T811" s="1">
        <f t="shared" si="63"/>
        <v>7377.1020000000008</v>
      </c>
      <c r="U811" s="1">
        <v>5085.21</v>
      </c>
      <c r="V811" s="3">
        <f>IF(T811=0,"",X811/T811)</f>
        <v>0.31067646888981615</v>
      </c>
      <c r="W811" s="1">
        <v>2291.89</v>
      </c>
      <c r="X811" s="1">
        <f>T811-U811</f>
        <v>2291.8920000000007</v>
      </c>
      <c r="Y811" s="1" t="s">
        <v>40</v>
      </c>
      <c r="Z811" s="1" t="s">
        <v>41</v>
      </c>
      <c r="AA811" s="1">
        <f t="shared" si="60"/>
        <v>0</v>
      </c>
      <c r="AB811" s="2" t="str">
        <f t="shared" si="64"/>
        <v>Warning</v>
      </c>
      <c r="AC811" s="2"/>
    </row>
    <row r="812" spans="1:29">
      <c r="A812" s="1" t="s">
        <v>2501</v>
      </c>
      <c r="B812" s="2">
        <v>45385</v>
      </c>
      <c r="C812" s="2" t="str">
        <f t="shared" si="61"/>
        <v>April</v>
      </c>
      <c r="D812" s="1">
        <f t="shared" si="62"/>
        <v>2024</v>
      </c>
      <c r="E812" s="2">
        <v>45508</v>
      </c>
      <c r="F812" s="1" t="s">
        <v>1666</v>
      </c>
      <c r="G812" s="1" t="s">
        <v>273</v>
      </c>
      <c r="H812" s="1" t="s">
        <v>103</v>
      </c>
      <c r="I812" s="1" t="s">
        <v>71</v>
      </c>
      <c r="J812" s="1" t="s">
        <v>188</v>
      </c>
      <c r="K812" s="1" t="s">
        <v>189</v>
      </c>
      <c r="L812" s="1" t="s">
        <v>82</v>
      </c>
      <c r="M812" s="1" t="s">
        <v>88</v>
      </c>
      <c r="N812" s="1" t="s">
        <v>2502</v>
      </c>
      <c r="O812" s="1" t="s">
        <v>58</v>
      </c>
      <c r="P812" s="1">
        <v>1</v>
      </c>
      <c r="Q812" s="1">
        <v>3151.85</v>
      </c>
      <c r="R812" s="1">
        <v>0.25</v>
      </c>
      <c r="S812" s="1">
        <v>2363.89</v>
      </c>
      <c r="T812" s="1">
        <f t="shared" si="63"/>
        <v>2363.8874999999998</v>
      </c>
      <c r="U812" s="1">
        <v>1471.51</v>
      </c>
      <c r="V812" s="3">
        <f>IF(T812=0,"",X812/T812)</f>
        <v>0.37750421710000998</v>
      </c>
      <c r="W812" s="1">
        <v>892.38</v>
      </c>
      <c r="X812" s="1">
        <f>T812-U812</f>
        <v>892.37749999999983</v>
      </c>
      <c r="Y812" s="1" t="s">
        <v>40</v>
      </c>
      <c r="Z812" s="1" t="s">
        <v>41</v>
      </c>
      <c r="AA812" s="1">
        <f t="shared" si="60"/>
        <v>123</v>
      </c>
      <c r="AB812" s="2" t="str">
        <f t="shared" si="64"/>
        <v>Clean</v>
      </c>
      <c r="AC812" s="2"/>
    </row>
    <row r="813" spans="1:29">
      <c r="A813" s="1" t="s">
        <v>2503</v>
      </c>
      <c r="B813" s="2">
        <v>45638</v>
      </c>
      <c r="C813" s="2" t="str">
        <f t="shared" si="61"/>
        <v>December</v>
      </c>
      <c r="D813" s="1">
        <f t="shared" si="62"/>
        <v>2024</v>
      </c>
      <c r="E813" s="2">
        <v>45645</v>
      </c>
      <c r="F813" s="1" t="s">
        <v>2504</v>
      </c>
      <c r="G813" s="1" t="s">
        <v>149</v>
      </c>
      <c r="H813" s="1" t="s">
        <v>103</v>
      </c>
      <c r="I813" s="1" t="s">
        <v>33</v>
      </c>
      <c r="J813" s="1" t="s">
        <v>245</v>
      </c>
      <c r="K813" s="1" t="s">
        <v>246</v>
      </c>
      <c r="L813" s="1" t="s">
        <v>82</v>
      </c>
      <c r="M813" s="1" t="s">
        <v>83</v>
      </c>
      <c r="N813" s="1" t="s">
        <v>2505</v>
      </c>
      <c r="O813" s="1" t="s">
        <v>58</v>
      </c>
      <c r="P813" s="1">
        <v>2</v>
      </c>
      <c r="Q813" s="1">
        <v>1610.75</v>
      </c>
      <c r="R813" s="1">
        <v>0.2</v>
      </c>
      <c r="S813" s="1">
        <v>2577.1999999999998</v>
      </c>
      <c r="T813" s="1">
        <f t="shared" si="63"/>
        <v>2577.2000000000003</v>
      </c>
      <c r="U813" s="1">
        <v>1475.87</v>
      </c>
      <c r="V813" s="3">
        <f>IF(T813=0,"",X813/T813)</f>
        <v>0.42733586838429316</v>
      </c>
      <c r="W813" s="1">
        <v>1101.33</v>
      </c>
      <c r="X813" s="1">
        <f>T813-U813</f>
        <v>1101.3300000000004</v>
      </c>
      <c r="Y813" s="1" t="s">
        <v>40</v>
      </c>
      <c r="Z813" s="1" t="s">
        <v>41</v>
      </c>
      <c r="AA813" s="1">
        <f t="shared" si="60"/>
        <v>7</v>
      </c>
      <c r="AB813" s="2" t="str">
        <f t="shared" si="64"/>
        <v>Clean</v>
      </c>
      <c r="AC813" s="2"/>
    </row>
    <row r="814" spans="1:29">
      <c r="A814" s="1" t="s">
        <v>2506</v>
      </c>
      <c r="B814" s="2">
        <v>45458</v>
      </c>
      <c r="C814" s="2" t="str">
        <f t="shared" si="61"/>
        <v>June</v>
      </c>
      <c r="D814" s="1">
        <f t="shared" si="62"/>
        <v>2024</v>
      </c>
      <c r="E814" s="2">
        <v>45463</v>
      </c>
      <c r="F814" s="1" t="s">
        <v>2507</v>
      </c>
      <c r="G814" s="1" t="s">
        <v>140</v>
      </c>
      <c r="H814" s="1" t="s">
        <v>45</v>
      </c>
      <c r="I814" s="1" t="s">
        <v>46</v>
      </c>
      <c r="J814" s="1" t="s">
        <v>237</v>
      </c>
      <c r="K814" s="1" t="s">
        <v>238</v>
      </c>
      <c r="L814" s="1" t="s">
        <v>49</v>
      </c>
      <c r="M814" s="1" t="s">
        <v>50</v>
      </c>
      <c r="N814" s="1" t="s">
        <v>2508</v>
      </c>
      <c r="O814" s="1" t="s">
        <v>58</v>
      </c>
      <c r="P814" s="1">
        <v>8</v>
      </c>
      <c r="Q814" s="1">
        <v>2228.4699999999998</v>
      </c>
      <c r="R814" s="1">
        <v>0</v>
      </c>
      <c r="S814" s="1">
        <v>17827.759999999998</v>
      </c>
      <c r="T814" s="1">
        <f t="shared" si="63"/>
        <v>17827.759999999998</v>
      </c>
      <c r="U814" s="1">
        <v>14122.13</v>
      </c>
      <c r="V814" s="3">
        <f>IF(T814=0,"",X814/T814)</f>
        <v>0.20785729671029896</v>
      </c>
      <c r="W814" s="1">
        <v>3705.63</v>
      </c>
      <c r="X814" s="1">
        <f>T814-U814</f>
        <v>3705.6299999999992</v>
      </c>
      <c r="Y814" s="1" t="s">
        <v>40</v>
      </c>
      <c r="Z814" s="1" t="s">
        <v>41</v>
      </c>
      <c r="AA814" s="1">
        <f t="shared" si="60"/>
        <v>5</v>
      </c>
      <c r="AB814" s="2" t="str">
        <f t="shared" si="64"/>
        <v>Clean</v>
      </c>
      <c r="AC814" s="2"/>
    </row>
    <row r="815" spans="1:29">
      <c r="A815" s="1" t="s">
        <v>2509</v>
      </c>
      <c r="B815" s="2">
        <v>45753</v>
      </c>
      <c r="C815" s="2" t="str">
        <f t="shared" si="61"/>
        <v>April</v>
      </c>
      <c r="D815" s="1">
        <f t="shared" si="62"/>
        <v>2025</v>
      </c>
      <c r="E815" s="2">
        <v>45934</v>
      </c>
      <c r="F815" s="1" t="s">
        <v>2510</v>
      </c>
      <c r="G815" s="1" t="s">
        <v>149</v>
      </c>
      <c r="H815" s="1" t="s">
        <v>32</v>
      </c>
      <c r="I815" s="1" t="s">
        <v>46</v>
      </c>
      <c r="J815" s="1" t="s">
        <v>47</v>
      </c>
      <c r="K815" s="1" t="s">
        <v>48</v>
      </c>
      <c r="L815" s="1" t="s">
        <v>49</v>
      </c>
      <c r="M815" s="1" t="s">
        <v>166</v>
      </c>
      <c r="N815" s="1" t="s">
        <v>1122</v>
      </c>
      <c r="O815" s="1" t="s">
        <v>67</v>
      </c>
      <c r="P815" s="1">
        <v>2</v>
      </c>
      <c r="Q815" s="1">
        <v>1337.67</v>
      </c>
      <c r="R815" s="1">
        <v>0</v>
      </c>
      <c r="S815" s="1">
        <v>2675.34</v>
      </c>
      <c r="T815" s="1">
        <f t="shared" si="63"/>
        <v>2675.34</v>
      </c>
      <c r="U815" s="1">
        <v>1595.87</v>
      </c>
      <c r="V815" s="3">
        <f>IF(T815=0,"",X815/T815)</f>
        <v>0.40348890234512258</v>
      </c>
      <c r="W815" s="1">
        <v>1079.47</v>
      </c>
      <c r="X815" s="1">
        <f>T815-U815</f>
        <v>1079.4700000000003</v>
      </c>
      <c r="Y815" s="1" t="s">
        <v>40</v>
      </c>
      <c r="Z815" s="1" t="s">
        <v>41</v>
      </c>
      <c r="AA815" s="1">
        <f t="shared" si="60"/>
        <v>181</v>
      </c>
      <c r="AB815" s="2" t="str">
        <f t="shared" si="64"/>
        <v>Clean</v>
      </c>
      <c r="AC815" s="2"/>
    </row>
    <row r="816" spans="1:29">
      <c r="A816" s="1" t="s">
        <v>2511</v>
      </c>
      <c r="B816" s="2">
        <v>45816</v>
      </c>
      <c r="C816" s="2" t="str">
        <f t="shared" si="61"/>
        <v>June</v>
      </c>
      <c r="D816" s="1">
        <f t="shared" si="62"/>
        <v>2025</v>
      </c>
      <c r="E816" s="2">
        <v>45969</v>
      </c>
      <c r="F816" s="1" t="s">
        <v>2512</v>
      </c>
      <c r="G816" s="1" t="s">
        <v>61</v>
      </c>
      <c r="H816" s="1" t="s">
        <v>32</v>
      </c>
      <c r="I816" s="1" t="s">
        <v>71</v>
      </c>
      <c r="J816" s="1" t="s">
        <v>80</v>
      </c>
      <c r="K816" s="1" t="s">
        <v>81</v>
      </c>
      <c r="L816" s="1" t="s">
        <v>36</v>
      </c>
      <c r="M816" s="1" t="s">
        <v>99</v>
      </c>
      <c r="N816" s="1" t="s">
        <v>2513</v>
      </c>
      <c r="O816" s="1" t="s">
        <v>58</v>
      </c>
      <c r="P816" s="1">
        <v>2</v>
      </c>
      <c r="Q816" s="1">
        <v>2375.94</v>
      </c>
      <c r="R816" s="1">
        <v>0.25</v>
      </c>
      <c r="S816" s="1">
        <v>3563.91</v>
      </c>
      <c r="T816" s="1">
        <f t="shared" si="63"/>
        <v>3563.91</v>
      </c>
      <c r="U816" s="1">
        <v>2639.7</v>
      </c>
      <c r="V816" s="3">
        <f>IF(T816=0,"",X816/T816)</f>
        <v>0.25932473042248544</v>
      </c>
      <c r="W816" s="1">
        <v>924.21</v>
      </c>
      <c r="X816" s="1">
        <f>T816-U816</f>
        <v>924.21</v>
      </c>
      <c r="Y816" s="1" t="s">
        <v>40</v>
      </c>
      <c r="Z816" s="1" t="s">
        <v>41</v>
      </c>
      <c r="AA816" s="1">
        <f t="shared" si="60"/>
        <v>153</v>
      </c>
      <c r="AB816" s="2" t="str">
        <f t="shared" si="64"/>
        <v>Clean</v>
      </c>
      <c r="AC816" s="2"/>
    </row>
    <row r="817" spans="1:29">
      <c r="A817" s="1" t="s">
        <v>2514</v>
      </c>
      <c r="B817" s="2">
        <v>45383</v>
      </c>
      <c r="C817" s="2" t="str">
        <f t="shared" si="61"/>
        <v>April</v>
      </c>
      <c r="D817" s="1">
        <f t="shared" si="62"/>
        <v>2024</v>
      </c>
      <c r="E817" s="2">
        <v>45508</v>
      </c>
      <c r="F817" s="1" t="s">
        <v>2515</v>
      </c>
      <c r="G817" s="1" t="s">
        <v>170</v>
      </c>
      <c r="H817" s="1" t="s">
        <v>32</v>
      </c>
      <c r="I817" s="1" t="s">
        <v>46</v>
      </c>
      <c r="J817" s="1" t="s">
        <v>47</v>
      </c>
      <c r="K817" s="1" t="s">
        <v>48</v>
      </c>
      <c r="L817" s="1" t="s">
        <v>82</v>
      </c>
      <c r="M817" s="1" t="s">
        <v>283</v>
      </c>
      <c r="N817" s="1" t="s">
        <v>2516</v>
      </c>
      <c r="O817" s="1" t="s">
        <v>67</v>
      </c>
      <c r="P817" s="1">
        <v>7</v>
      </c>
      <c r="Q817" s="1">
        <v>715.81</v>
      </c>
      <c r="R817" s="1">
        <v>0.15</v>
      </c>
      <c r="S817" s="1">
        <v>4259.07</v>
      </c>
      <c r="T817" s="1">
        <f t="shared" si="63"/>
        <v>4259.0694999999996</v>
      </c>
      <c r="U817" s="1">
        <v>3130.32</v>
      </c>
      <c r="V817" s="3">
        <f>IF(T817=0,"",X817/T817)</f>
        <v>0.26502255950507486</v>
      </c>
      <c r="W817" s="1">
        <v>1128.75</v>
      </c>
      <c r="X817" s="1">
        <f>T817-U817</f>
        <v>1128.7494999999994</v>
      </c>
      <c r="Y817" s="1" t="s">
        <v>119</v>
      </c>
      <c r="Z817" s="1" t="s">
        <v>76</v>
      </c>
      <c r="AA817" s="1">
        <f t="shared" si="60"/>
        <v>125</v>
      </c>
      <c r="AB817" s="2" t="str">
        <f t="shared" si="64"/>
        <v>Clean</v>
      </c>
      <c r="AC817" s="2"/>
    </row>
    <row r="818" spans="1:29">
      <c r="A818" s="1" t="s">
        <v>2517</v>
      </c>
      <c r="B818" s="2">
        <v>45623</v>
      </c>
      <c r="C818" s="2" t="str">
        <f t="shared" si="61"/>
        <v>November</v>
      </c>
      <c r="D818" s="1">
        <f t="shared" si="62"/>
        <v>2024</v>
      </c>
      <c r="E818" s="2">
        <v>45626</v>
      </c>
      <c r="F818" s="1" t="s">
        <v>2518</v>
      </c>
      <c r="G818" s="1" t="s">
        <v>126</v>
      </c>
      <c r="H818" s="1" t="s">
        <v>45</v>
      </c>
      <c r="I818" s="1" t="s">
        <v>46</v>
      </c>
      <c r="J818" s="1" t="s">
        <v>237</v>
      </c>
      <c r="K818" s="1" t="s">
        <v>238</v>
      </c>
      <c r="L818" s="1" t="s">
        <v>49</v>
      </c>
      <c r="M818" s="1" t="s">
        <v>65</v>
      </c>
      <c r="N818" s="1" t="s">
        <v>2519</v>
      </c>
      <c r="O818" s="1" t="s">
        <v>58</v>
      </c>
      <c r="P818" s="1">
        <v>1</v>
      </c>
      <c r="Q818" s="1">
        <v>874.3</v>
      </c>
      <c r="R818" s="1">
        <v>0.1</v>
      </c>
      <c r="S818" s="1">
        <v>786.87</v>
      </c>
      <c r="T818" s="1">
        <f t="shared" si="63"/>
        <v>786.87</v>
      </c>
      <c r="U818" s="1">
        <v>498.5</v>
      </c>
      <c r="V818" s="3">
        <f>IF(T818=0,"",X818/T818)</f>
        <v>0.36647730883119195</v>
      </c>
      <c r="W818" s="1">
        <v>288.37</v>
      </c>
      <c r="X818" s="1">
        <f>T818-U818</f>
        <v>288.37</v>
      </c>
      <c r="Y818" s="1" t="s">
        <v>40</v>
      </c>
      <c r="Z818" s="1" t="s">
        <v>41</v>
      </c>
      <c r="AA818" s="1">
        <f t="shared" si="60"/>
        <v>3</v>
      </c>
      <c r="AB818" s="2" t="str">
        <f t="shared" si="64"/>
        <v>Clean</v>
      </c>
      <c r="AC818" s="2"/>
    </row>
    <row r="819" spans="1:29">
      <c r="A819" s="1" t="s">
        <v>2520</v>
      </c>
      <c r="B819" s="2">
        <v>45781</v>
      </c>
      <c r="C819" s="2" t="str">
        <f t="shared" si="61"/>
        <v>May</v>
      </c>
      <c r="D819" s="1">
        <f t="shared" si="62"/>
        <v>2025</v>
      </c>
      <c r="E819" s="2">
        <v>45752</v>
      </c>
      <c r="F819" s="1" t="s">
        <v>2521</v>
      </c>
      <c r="G819" s="1" t="s">
        <v>140</v>
      </c>
      <c r="H819" s="1" t="s">
        <v>32</v>
      </c>
      <c r="I819" s="1" t="s">
        <v>46</v>
      </c>
      <c r="J819" s="1" t="s">
        <v>153</v>
      </c>
      <c r="K819" s="1" t="s">
        <v>154</v>
      </c>
      <c r="L819" s="1" t="s">
        <v>36</v>
      </c>
      <c r="M819" s="1" t="s">
        <v>161</v>
      </c>
      <c r="N819" s="1" t="s">
        <v>2522</v>
      </c>
      <c r="O819" s="1" t="s">
        <v>67</v>
      </c>
      <c r="P819" s="1">
        <v>6</v>
      </c>
      <c r="Q819" s="1">
        <v>1829.69</v>
      </c>
      <c r="R819" s="1">
        <v>0.25</v>
      </c>
      <c r="S819" s="1">
        <v>8233.6</v>
      </c>
      <c r="T819" s="1">
        <f t="shared" si="63"/>
        <v>8233.6049999999996</v>
      </c>
      <c r="U819" s="1">
        <v>4713.79</v>
      </c>
      <c r="V819" s="3">
        <f>IF(T819=0,"",X819/T819)</f>
        <v>0.42749378917254349</v>
      </c>
      <c r="W819" s="1">
        <v>3519.81</v>
      </c>
      <c r="X819" s="1">
        <f>T819-U819</f>
        <v>3519.8149999999996</v>
      </c>
      <c r="Y819" s="1" t="s">
        <v>40</v>
      </c>
      <c r="Z819" s="1" t="s">
        <v>41</v>
      </c>
      <c r="AA819" s="4">
        <f t="shared" si="60"/>
        <v>-29</v>
      </c>
      <c r="AB819" s="2" t="str">
        <f t="shared" si="64"/>
        <v>Invalid</v>
      </c>
      <c r="AC819" s="2"/>
    </row>
    <row r="820" spans="1:29">
      <c r="A820" s="1" t="s">
        <v>2523</v>
      </c>
      <c r="B820" s="2">
        <v>45564</v>
      </c>
      <c r="C820" s="2" t="str">
        <f t="shared" si="61"/>
        <v>September</v>
      </c>
      <c r="D820" s="1">
        <f t="shared" si="62"/>
        <v>2024</v>
      </c>
      <c r="E820" s="2">
        <v>45422</v>
      </c>
      <c r="F820" s="1" t="s">
        <v>2524</v>
      </c>
      <c r="G820" s="1" t="s">
        <v>122</v>
      </c>
      <c r="H820" s="1" t="s">
        <v>45</v>
      </c>
      <c r="I820" s="1" t="s">
        <v>71</v>
      </c>
      <c r="J820" s="1" t="s">
        <v>72</v>
      </c>
      <c r="K820" s="1" t="s">
        <v>73</v>
      </c>
      <c r="L820" s="1" t="s">
        <v>36</v>
      </c>
      <c r="M820" s="1" t="s">
        <v>99</v>
      </c>
      <c r="N820" s="1" t="s">
        <v>2525</v>
      </c>
      <c r="O820" s="1" t="s">
        <v>58</v>
      </c>
      <c r="P820" s="1">
        <v>8</v>
      </c>
      <c r="Q820" s="1">
        <v>1981.04</v>
      </c>
      <c r="R820" s="4">
        <v>-0.14000000000000001</v>
      </c>
      <c r="S820" s="1">
        <v>12678.66</v>
      </c>
      <c r="T820" s="4">
        <f t="shared" si="63"/>
        <v>18067.084800000001</v>
      </c>
      <c r="U820" s="1">
        <v>10088.65</v>
      </c>
      <c r="V820" s="3"/>
      <c r="W820" s="1">
        <v>2590.0100000000002</v>
      </c>
      <c r="X820" s="1"/>
      <c r="Y820" s="1" t="s">
        <v>40</v>
      </c>
      <c r="Z820" s="1" t="s">
        <v>41</v>
      </c>
      <c r="AA820" s="4">
        <f t="shared" si="60"/>
        <v>-142</v>
      </c>
      <c r="AB820" s="2" t="str">
        <f t="shared" si="64"/>
        <v>Invalid</v>
      </c>
      <c r="AC820" s="2"/>
    </row>
    <row r="821" spans="1:29">
      <c r="A821" s="1" t="s">
        <v>2526</v>
      </c>
      <c r="B821" s="2">
        <v>45504</v>
      </c>
      <c r="C821" s="2" t="str">
        <f t="shared" si="61"/>
        <v>July</v>
      </c>
      <c r="D821" s="1">
        <f t="shared" si="62"/>
        <v>2024</v>
      </c>
      <c r="E821" s="2">
        <v>45504</v>
      </c>
      <c r="F821" s="1" t="s">
        <v>2527</v>
      </c>
      <c r="G821" s="1" t="s">
        <v>31</v>
      </c>
      <c r="H821" s="1" t="s">
        <v>103</v>
      </c>
      <c r="I821" s="1" t="s">
        <v>62</v>
      </c>
      <c r="J821" s="1" t="s">
        <v>193</v>
      </c>
      <c r="K821" s="1" t="s">
        <v>194</v>
      </c>
      <c r="L821" s="1" t="s">
        <v>82</v>
      </c>
      <c r="M821" s="1" t="s">
        <v>283</v>
      </c>
      <c r="N821" s="1" t="s">
        <v>2528</v>
      </c>
      <c r="O821" s="1" t="s">
        <v>67</v>
      </c>
      <c r="P821" s="1">
        <v>8</v>
      </c>
      <c r="Q821" s="1">
        <v>4246.01</v>
      </c>
      <c r="R821" s="1">
        <v>0</v>
      </c>
      <c r="S821" s="1">
        <v>33968.080000000002</v>
      </c>
      <c r="T821" s="1">
        <f t="shared" si="63"/>
        <v>33968.080000000002</v>
      </c>
      <c r="U821" s="1">
        <v>26902.44</v>
      </c>
      <c r="V821" s="3">
        <f>IF(T821=0,"",X821/T821)</f>
        <v>0.20800822419165294</v>
      </c>
      <c r="W821" s="1">
        <v>7065.64</v>
      </c>
      <c r="X821" s="1">
        <f>T821-U821</f>
        <v>7065.6400000000031</v>
      </c>
      <c r="Y821" s="1" t="s">
        <v>163</v>
      </c>
      <c r="Z821" s="1" t="s">
        <v>76</v>
      </c>
      <c r="AA821" s="1">
        <f t="shared" si="60"/>
        <v>0</v>
      </c>
      <c r="AB821" s="2" t="str">
        <f t="shared" si="64"/>
        <v>Clean</v>
      </c>
      <c r="AC821" s="2"/>
    </row>
    <row r="822" spans="1:29">
      <c r="A822" s="1" t="s">
        <v>2529</v>
      </c>
      <c r="B822" s="2">
        <v>45810</v>
      </c>
      <c r="C822" s="2" t="str">
        <f t="shared" si="61"/>
        <v>June</v>
      </c>
      <c r="D822" s="1">
        <f t="shared" si="62"/>
        <v>2025</v>
      </c>
      <c r="E822" s="2">
        <v>45932</v>
      </c>
      <c r="F822" s="1" t="s">
        <v>2530</v>
      </c>
      <c r="G822" s="1" t="s">
        <v>70</v>
      </c>
      <c r="H822" s="1" t="s">
        <v>103</v>
      </c>
      <c r="I822" s="1" t="s">
        <v>33</v>
      </c>
      <c r="J822" s="1" t="s">
        <v>144</v>
      </c>
      <c r="K822" s="1" t="s">
        <v>145</v>
      </c>
      <c r="L822" s="1" t="s">
        <v>49</v>
      </c>
      <c r="M822" s="1" t="s">
        <v>166</v>
      </c>
      <c r="N822" s="1" t="s">
        <v>2531</v>
      </c>
      <c r="O822" s="1" t="s">
        <v>67</v>
      </c>
      <c r="P822" s="1">
        <v>2</v>
      </c>
      <c r="Q822" s="1">
        <v>319.57</v>
      </c>
      <c r="R822" s="1">
        <v>0.2</v>
      </c>
      <c r="S822" s="1">
        <v>511.31</v>
      </c>
      <c r="T822" s="1">
        <f t="shared" si="63"/>
        <v>511.31200000000001</v>
      </c>
      <c r="U822" s="1">
        <v>436.43</v>
      </c>
      <c r="V822" s="3">
        <f>IF(T822=0,"",X822/T822)</f>
        <v>0.14645069937728825</v>
      </c>
      <c r="W822" s="1">
        <v>74.88</v>
      </c>
      <c r="X822" s="1">
        <f>T822-U822</f>
        <v>74.882000000000005</v>
      </c>
      <c r="Y822" s="1" t="s">
        <v>40</v>
      </c>
      <c r="Z822" s="1" t="s">
        <v>41</v>
      </c>
      <c r="AA822" s="1">
        <f t="shared" si="60"/>
        <v>122</v>
      </c>
      <c r="AB822" s="2" t="str">
        <f t="shared" si="64"/>
        <v>Clean</v>
      </c>
      <c r="AC822" s="2"/>
    </row>
    <row r="823" spans="1:29">
      <c r="A823" s="1" t="s">
        <v>2532</v>
      </c>
      <c r="B823" s="2">
        <v>45358</v>
      </c>
      <c r="C823" s="2" t="str">
        <f t="shared" si="61"/>
        <v>March</v>
      </c>
      <c r="D823" s="1">
        <f t="shared" si="62"/>
        <v>2024</v>
      </c>
      <c r="E823" s="2">
        <v>45450</v>
      </c>
      <c r="F823" s="1" t="s">
        <v>2533</v>
      </c>
      <c r="G823" s="1" t="s">
        <v>136</v>
      </c>
      <c r="H823" s="1" t="s">
        <v>98</v>
      </c>
      <c r="I823" s="1" t="s">
        <v>62</v>
      </c>
      <c r="J823" s="1" t="s">
        <v>183</v>
      </c>
      <c r="K823" s="1" t="s">
        <v>184</v>
      </c>
      <c r="L823" s="1" t="s">
        <v>82</v>
      </c>
      <c r="M823" s="1" t="s">
        <v>83</v>
      </c>
      <c r="N823" s="1" t="s">
        <v>2534</v>
      </c>
      <c r="O823" s="1" t="s">
        <v>58</v>
      </c>
      <c r="P823" s="1">
        <v>7</v>
      </c>
      <c r="Q823" s="1">
        <v>1942.49</v>
      </c>
      <c r="R823" s="1">
        <v>0.2</v>
      </c>
      <c r="S823" s="1">
        <v>10877.94</v>
      </c>
      <c r="T823" s="1">
        <f t="shared" si="63"/>
        <v>10877.944000000001</v>
      </c>
      <c r="U823" s="1">
        <v>9110.14</v>
      </c>
      <c r="V823" s="3">
        <f>IF(T823=0,"",X823/T823)</f>
        <v>0.16251269541376584</v>
      </c>
      <c r="W823" s="1">
        <v>1767.8</v>
      </c>
      <c r="X823" s="1">
        <f>T823-U823</f>
        <v>1767.8040000000019</v>
      </c>
      <c r="Y823" s="1" t="s">
        <v>40</v>
      </c>
      <c r="Z823" s="1" t="s">
        <v>41</v>
      </c>
      <c r="AA823" s="1">
        <f t="shared" si="60"/>
        <v>92</v>
      </c>
      <c r="AB823" s="2" t="str">
        <f t="shared" si="64"/>
        <v>Clean</v>
      </c>
      <c r="AC823" s="2"/>
    </row>
    <row r="824" spans="1:29">
      <c r="A824" s="1" t="s">
        <v>2535</v>
      </c>
      <c r="B824" s="2">
        <v>45577</v>
      </c>
      <c r="C824" s="2" t="str">
        <f t="shared" si="61"/>
        <v>October</v>
      </c>
      <c r="D824" s="1">
        <f t="shared" si="62"/>
        <v>2024</v>
      </c>
      <c r="E824" s="2">
        <v>45514</v>
      </c>
      <c r="F824" s="1" t="s">
        <v>2536</v>
      </c>
      <c r="G824" s="1" t="s">
        <v>44</v>
      </c>
      <c r="H824" s="1" t="s">
        <v>98</v>
      </c>
      <c r="I824" s="1" t="s">
        <v>46</v>
      </c>
      <c r="J824" s="1" t="s">
        <v>174</v>
      </c>
      <c r="K824" s="1" t="s">
        <v>175</v>
      </c>
      <c r="L824" s="1" t="s">
        <v>49</v>
      </c>
      <c r="M824" s="1" t="s">
        <v>65</v>
      </c>
      <c r="N824" s="1" t="s">
        <v>2537</v>
      </c>
      <c r="O824" s="1" t="s">
        <v>39</v>
      </c>
      <c r="P824" s="1">
        <v>4</v>
      </c>
      <c r="Q824" s="1">
        <v>3202.04</v>
      </c>
      <c r="R824" s="1">
        <v>0.2</v>
      </c>
      <c r="S824" s="1">
        <v>10246.530000000001</v>
      </c>
      <c r="T824" s="1">
        <f t="shared" si="63"/>
        <v>10246.528</v>
      </c>
      <c r="U824" s="1">
        <v>8634.42</v>
      </c>
      <c r="V824" s="3">
        <f>IF(T824=0,"",X824/T824)</f>
        <v>0.15733212264681268</v>
      </c>
      <c r="W824" s="1">
        <v>1612.11</v>
      </c>
      <c r="X824" s="1">
        <f>T824-U824</f>
        <v>1612.1080000000002</v>
      </c>
      <c r="Y824" s="1" t="s">
        <v>119</v>
      </c>
      <c r="Z824" s="1" t="s">
        <v>111</v>
      </c>
      <c r="AA824" s="4">
        <f t="shared" si="60"/>
        <v>-63</v>
      </c>
      <c r="AB824" s="2" t="str">
        <f t="shared" si="64"/>
        <v>Invalid</v>
      </c>
      <c r="AC824" s="2"/>
    </row>
    <row r="825" spans="1:29">
      <c r="A825" s="1" t="s">
        <v>2538</v>
      </c>
      <c r="B825" s="2">
        <v>45809</v>
      </c>
      <c r="C825" s="2" t="str">
        <f t="shared" si="61"/>
        <v>June</v>
      </c>
      <c r="D825" s="1">
        <f t="shared" si="62"/>
        <v>2025</v>
      </c>
      <c r="E825" s="2">
        <v>45992</v>
      </c>
      <c r="F825" s="1" t="s">
        <v>2539</v>
      </c>
      <c r="G825" s="1" t="s">
        <v>44</v>
      </c>
      <c r="H825" s="1" t="s">
        <v>103</v>
      </c>
      <c r="I825" s="1" t="s">
        <v>71</v>
      </c>
      <c r="J825" s="1" t="s">
        <v>198</v>
      </c>
      <c r="K825" s="1" t="s">
        <v>199</v>
      </c>
      <c r="L825" s="1" t="s">
        <v>36</v>
      </c>
      <c r="M825" s="1" t="s">
        <v>37</v>
      </c>
      <c r="N825" s="1" t="s">
        <v>2540</v>
      </c>
      <c r="O825" s="1" t="s">
        <v>52</v>
      </c>
      <c r="P825" s="1">
        <v>3</v>
      </c>
      <c r="Q825" s="1">
        <v>668.33</v>
      </c>
      <c r="R825" s="1">
        <v>0.15</v>
      </c>
      <c r="S825" s="1">
        <v>1704.24</v>
      </c>
      <c r="T825" s="1">
        <f t="shared" si="63"/>
        <v>1704.2415000000001</v>
      </c>
      <c r="U825" s="1">
        <v>957.55</v>
      </c>
      <c r="V825" s="3">
        <f>IF(T825=0,"",X825/T825)</f>
        <v>0.43813714194848563</v>
      </c>
      <c r="W825" s="1">
        <v>746.69</v>
      </c>
      <c r="X825" s="1">
        <f>T825-U825</f>
        <v>746.69150000000013</v>
      </c>
      <c r="Y825" s="1" t="s">
        <v>40</v>
      </c>
      <c r="Z825" s="1" t="s">
        <v>41</v>
      </c>
      <c r="AA825" s="1">
        <f t="shared" si="60"/>
        <v>183</v>
      </c>
      <c r="AB825" s="2" t="str">
        <f t="shared" si="64"/>
        <v>Clean</v>
      </c>
      <c r="AC825" s="2"/>
    </row>
    <row r="826" spans="1:29">
      <c r="A826" s="1" t="s">
        <v>2541</v>
      </c>
      <c r="B826" s="2">
        <v>45737</v>
      </c>
      <c r="C826" s="2" t="str">
        <f t="shared" si="61"/>
        <v>March</v>
      </c>
      <c r="D826" s="1">
        <f t="shared" si="62"/>
        <v>2025</v>
      </c>
      <c r="E826" s="2">
        <v>45738</v>
      </c>
      <c r="F826" s="1" t="s">
        <v>2542</v>
      </c>
      <c r="G826" s="1" t="s">
        <v>122</v>
      </c>
      <c r="H826" s="1" t="s">
        <v>32</v>
      </c>
      <c r="I826" s="1" t="s">
        <v>71</v>
      </c>
      <c r="J826" s="1" t="s">
        <v>198</v>
      </c>
      <c r="K826" s="1" t="s">
        <v>199</v>
      </c>
      <c r="L826" s="1" t="s">
        <v>36</v>
      </c>
      <c r="M826" s="1" t="s">
        <v>37</v>
      </c>
      <c r="N826" s="1" t="s">
        <v>2543</v>
      </c>
      <c r="O826" s="1" t="s">
        <v>58</v>
      </c>
      <c r="P826" s="1">
        <v>8</v>
      </c>
      <c r="Q826" s="1">
        <v>4436.74</v>
      </c>
      <c r="R826" s="1">
        <v>0.05</v>
      </c>
      <c r="S826" s="1">
        <v>33719.22</v>
      </c>
      <c r="T826" s="1">
        <f t="shared" si="63"/>
        <v>33719.223999999995</v>
      </c>
      <c r="U826" s="1">
        <v>28924.43</v>
      </c>
      <c r="V826" s="3">
        <f>IF(T826=0,"",X826/T826)</f>
        <v>0.14219763776295669</v>
      </c>
      <c r="W826" s="1">
        <v>4794.79</v>
      </c>
      <c r="X826" s="1">
        <f>T826-U826</f>
        <v>4794.7939999999944</v>
      </c>
      <c r="Y826" s="1" t="s">
        <v>40</v>
      </c>
      <c r="Z826" s="1" t="s">
        <v>41</v>
      </c>
      <c r="AA826" s="1">
        <f t="shared" si="60"/>
        <v>1</v>
      </c>
      <c r="AB826" s="2" t="str">
        <f t="shared" si="64"/>
        <v>Clean</v>
      </c>
      <c r="AC826" s="2"/>
    </row>
    <row r="827" spans="1:29">
      <c r="A827" s="1" t="s">
        <v>2544</v>
      </c>
      <c r="B827" s="2">
        <v>45763</v>
      </c>
      <c r="C827" s="2" t="str">
        <f t="shared" si="61"/>
        <v>April</v>
      </c>
      <c r="D827" s="1">
        <f t="shared" si="62"/>
        <v>2025</v>
      </c>
      <c r="E827" s="2">
        <v>45764</v>
      </c>
      <c r="F827" s="1" t="s">
        <v>2545</v>
      </c>
      <c r="G827" s="1" t="s">
        <v>79</v>
      </c>
      <c r="H827" s="1" t="s">
        <v>45</v>
      </c>
      <c r="I827" s="1" t="s">
        <v>33</v>
      </c>
      <c r="J827" s="1" t="s">
        <v>144</v>
      </c>
      <c r="K827" s="1" t="s">
        <v>145</v>
      </c>
      <c r="L827" s="1" t="s">
        <v>82</v>
      </c>
      <c r="M827" s="1" t="s">
        <v>283</v>
      </c>
      <c r="N827" s="1" t="s">
        <v>2546</v>
      </c>
      <c r="O827" s="1" t="s">
        <v>58</v>
      </c>
      <c r="P827" s="1">
        <v>1</v>
      </c>
      <c r="Q827" s="1">
        <v>2720.17</v>
      </c>
      <c r="R827" s="1">
        <v>0</v>
      </c>
      <c r="S827" s="1">
        <v>2720.17</v>
      </c>
      <c r="T827" s="1">
        <f t="shared" si="63"/>
        <v>2720.17</v>
      </c>
      <c r="U827" s="1">
        <v>1834.23</v>
      </c>
      <c r="V827" s="3">
        <f>IF(T827=0,"",X827/T827)</f>
        <v>0.3256928794891496</v>
      </c>
      <c r="W827" s="1">
        <v>885.94</v>
      </c>
      <c r="X827" s="1">
        <f>T827-U827</f>
        <v>885.94</v>
      </c>
      <c r="Y827" s="1" t="s">
        <v>40</v>
      </c>
      <c r="Z827" s="1" t="s">
        <v>41</v>
      </c>
      <c r="AA827" s="1">
        <f t="shared" si="60"/>
        <v>1</v>
      </c>
      <c r="AB827" s="2" t="str">
        <f t="shared" si="64"/>
        <v>Clean</v>
      </c>
      <c r="AC827" s="2"/>
    </row>
    <row r="828" spans="1:29">
      <c r="A828" s="1" t="s">
        <v>2547</v>
      </c>
      <c r="B828" s="2">
        <v>45938</v>
      </c>
      <c r="C828" s="2" t="str">
        <f t="shared" si="61"/>
        <v>October</v>
      </c>
      <c r="D828" s="1">
        <f t="shared" si="62"/>
        <v>2025</v>
      </c>
      <c r="E828" s="2">
        <v>45883</v>
      </c>
      <c r="F828" s="1" t="s">
        <v>2548</v>
      </c>
      <c r="G828" s="1" t="s">
        <v>97</v>
      </c>
      <c r="H828" s="1" t="s">
        <v>32</v>
      </c>
      <c r="I828" s="1" t="s">
        <v>71</v>
      </c>
      <c r="J828" s="1" t="s">
        <v>34</v>
      </c>
      <c r="K828" s="1" t="s">
        <v>117</v>
      </c>
      <c r="L828" s="1" t="s">
        <v>82</v>
      </c>
      <c r="M828" s="1" t="s">
        <v>83</v>
      </c>
      <c r="N828" s="1" t="s">
        <v>2549</v>
      </c>
      <c r="O828" s="1" t="s">
        <v>67</v>
      </c>
      <c r="P828" s="1">
        <v>5</v>
      </c>
      <c r="Q828" s="1">
        <v>2190.14</v>
      </c>
      <c r="R828" s="1">
        <v>0.25</v>
      </c>
      <c r="S828" s="1">
        <v>8213.02</v>
      </c>
      <c r="T828" s="1">
        <f t="shared" si="63"/>
        <v>8213.0249999999996</v>
      </c>
      <c r="U828" s="1">
        <v>5569.3</v>
      </c>
      <c r="V828" s="3">
        <f>IF(T828=0,"",X828/T828)</f>
        <v>0.32189418636860345</v>
      </c>
      <c r="W828" s="1">
        <v>2643.72</v>
      </c>
      <c r="X828" s="1">
        <f>T828-U828</f>
        <v>2643.7249999999995</v>
      </c>
      <c r="Y828" s="1" t="s">
        <v>40</v>
      </c>
      <c r="Z828" s="1" t="s">
        <v>41</v>
      </c>
      <c r="AA828" s="4">
        <f t="shared" si="60"/>
        <v>-55</v>
      </c>
      <c r="AB828" s="2" t="str">
        <f t="shared" si="64"/>
        <v>Invalid</v>
      </c>
      <c r="AC828" s="2"/>
    </row>
    <row r="829" spans="1:29">
      <c r="A829" s="1" t="s">
        <v>2550</v>
      </c>
      <c r="B829" s="2">
        <v>45620</v>
      </c>
      <c r="C829" s="2" t="str">
        <f t="shared" si="61"/>
        <v>November</v>
      </c>
      <c r="D829" s="1">
        <f t="shared" si="62"/>
        <v>2024</v>
      </c>
      <c r="E829" s="2">
        <v>45303</v>
      </c>
      <c r="F829" s="1" t="s">
        <v>2551</v>
      </c>
      <c r="G829" s="1" t="s">
        <v>122</v>
      </c>
      <c r="H829" s="1" t="s">
        <v>103</v>
      </c>
      <c r="I829" s="1" t="s">
        <v>62</v>
      </c>
      <c r="J829" s="1" t="s">
        <v>256</v>
      </c>
      <c r="K829" s="1" t="s">
        <v>257</v>
      </c>
      <c r="L829" s="1" t="s">
        <v>36</v>
      </c>
      <c r="M829" s="1" t="s">
        <v>37</v>
      </c>
      <c r="N829" s="1" t="s">
        <v>2552</v>
      </c>
      <c r="O829" s="1" t="s">
        <v>52</v>
      </c>
      <c r="P829" s="1">
        <v>1</v>
      </c>
      <c r="Q829" s="1">
        <v>844.89</v>
      </c>
      <c r="R829" s="1">
        <v>0.25</v>
      </c>
      <c r="S829" s="1">
        <v>633.66999999999996</v>
      </c>
      <c r="T829" s="1">
        <f t="shared" si="63"/>
        <v>633.66750000000002</v>
      </c>
      <c r="U829" s="1">
        <v>520.47</v>
      </c>
      <c r="V829" s="3">
        <f>IF(T829=0,"",X829/T829)</f>
        <v>0.17863863934950111</v>
      </c>
      <c r="W829" s="1">
        <v>113.2</v>
      </c>
      <c r="X829" s="1">
        <f>T829-U829</f>
        <v>113.19749999999999</v>
      </c>
      <c r="Y829" s="1" t="s">
        <v>40</v>
      </c>
      <c r="Z829" s="1" t="s">
        <v>76</v>
      </c>
      <c r="AA829" s="4">
        <f t="shared" si="60"/>
        <v>-317</v>
      </c>
      <c r="AB829" s="2" t="str">
        <f t="shared" si="64"/>
        <v>Invalid</v>
      </c>
      <c r="AC829" s="2"/>
    </row>
    <row r="830" spans="1:29">
      <c r="A830" s="1" t="s">
        <v>2553</v>
      </c>
      <c r="B830" s="2">
        <v>45940</v>
      </c>
      <c r="C830" s="2" t="str">
        <f t="shared" si="61"/>
        <v>October</v>
      </c>
      <c r="D830" s="1">
        <f t="shared" si="62"/>
        <v>2025</v>
      </c>
      <c r="E830" s="2">
        <v>45971</v>
      </c>
      <c r="F830" s="1" t="s">
        <v>2554</v>
      </c>
      <c r="G830" s="1" t="s">
        <v>31</v>
      </c>
      <c r="H830" s="1" t="s">
        <v>98</v>
      </c>
      <c r="I830" s="1" t="s">
        <v>46</v>
      </c>
      <c r="J830" s="1" t="s">
        <v>47</v>
      </c>
      <c r="K830" s="1" t="s">
        <v>48</v>
      </c>
      <c r="L830" s="1" t="s">
        <v>49</v>
      </c>
      <c r="M830" s="1" t="s">
        <v>74</v>
      </c>
      <c r="N830" s="1" t="s">
        <v>2555</v>
      </c>
      <c r="O830" s="1" t="s">
        <v>39</v>
      </c>
      <c r="P830" s="1">
        <v>7</v>
      </c>
      <c r="Q830" s="1">
        <v>3791.96</v>
      </c>
      <c r="R830" s="1">
        <v>0.05</v>
      </c>
      <c r="S830" s="1">
        <v>25216.53</v>
      </c>
      <c r="T830" s="1">
        <f t="shared" si="63"/>
        <v>25216.534</v>
      </c>
      <c r="U830" s="1">
        <v>14216.94</v>
      </c>
      <c r="V830" s="3">
        <f>IF(T830=0,"",X830/T830)</f>
        <v>0.4362056260388521</v>
      </c>
      <c r="W830" s="1">
        <v>10999.59</v>
      </c>
      <c r="X830" s="1">
        <f>T830-U830</f>
        <v>10999.593999999999</v>
      </c>
      <c r="Y830" s="1" t="s">
        <v>163</v>
      </c>
      <c r="Z830" s="1" t="s">
        <v>76</v>
      </c>
      <c r="AA830" s="1">
        <f t="shared" si="60"/>
        <v>31</v>
      </c>
      <c r="AB830" s="2" t="str">
        <f t="shared" si="64"/>
        <v>Clean</v>
      </c>
      <c r="AC830" s="2"/>
    </row>
    <row r="831" spans="1:29">
      <c r="A831" s="1" t="s">
        <v>2556</v>
      </c>
      <c r="B831" s="2">
        <v>45348</v>
      </c>
      <c r="C831" s="2" t="str">
        <f t="shared" si="61"/>
        <v>February</v>
      </c>
      <c r="D831" s="1">
        <f t="shared" si="62"/>
        <v>2024</v>
      </c>
      <c r="E831" s="2">
        <v>45350</v>
      </c>
      <c r="F831" s="1" t="s">
        <v>2557</v>
      </c>
      <c r="G831" s="1" t="s">
        <v>97</v>
      </c>
      <c r="H831" s="1" t="s">
        <v>45</v>
      </c>
      <c r="I831" s="1" t="s">
        <v>71</v>
      </c>
      <c r="J831" s="1" t="s">
        <v>198</v>
      </c>
      <c r="K831" s="1" t="s">
        <v>199</v>
      </c>
      <c r="L831" s="1" t="s">
        <v>49</v>
      </c>
      <c r="M831" s="1" t="s">
        <v>65</v>
      </c>
      <c r="N831" s="1" t="s">
        <v>2558</v>
      </c>
      <c r="O831" s="1" t="s">
        <v>39</v>
      </c>
      <c r="P831" s="1">
        <v>7</v>
      </c>
      <c r="Q831" s="1">
        <v>1035.1400000000001</v>
      </c>
      <c r="R831" s="1">
        <v>0.1</v>
      </c>
      <c r="S831" s="1">
        <v>6521.38</v>
      </c>
      <c r="T831" s="1">
        <f t="shared" si="63"/>
        <v>6521.3820000000005</v>
      </c>
      <c r="U831" s="1">
        <v>4511.1000000000004</v>
      </c>
      <c r="V831" s="3">
        <f>IF(T831=0,"",X831/T831)</f>
        <v>0.30826012032418892</v>
      </c>
      <c r="W831" s="1">
        <v>2010.28</v>
      </c>
      <c r="X831" s="1">
        <f>T831-U831</f>
        <v>2010.2820000000002</v>
      </c>
      <c r="Y831" s="1" t="s">
        <v>40</v>
      </c>
      <c r="Z831" s="1" t="s">
        <v>41</v>
      </c>
      <c r="AA831" s="1">
        <f t="shared" si="60"/>
        <v>2</v>
      </c>
      <c r="AB831" s="2" t="str">
        <f t="shared" si="64"/>
        <v>Clean</v>
      </c>
      <c r="AC831" s="2"/>
    </row>
    <row r="832" spans="1:29">
      <c r="A832" s="1" t="s">
        <v>2559</v>
      </c>
      <c r="B832" s="2">
        <v>45853</v>
      </c>
      <c r="C832" s="2" t="str">
        <f t="shared" si="61"/>
        <v>July</v>
      </c>
      <c r="D832" s="1">
        <f t="shared" si="62"/>
        <v>2025</v>
      </c>
      <c r="E832" s="2">
        <v>45856</v>
      </c>
      <c r="F832" s="1" t="s">
        <v>2560</v>
      </c>
      <c r="G832" s="1" t="s">
        <v>97</v>
      </c>
      <c r="H832" s="1" t="s">
        <v>45</v>
      </c>
      <c r="I832" s="1" t="s">
        <v>213</v>
      </c>
      <c r="J832" s="1" t="s">
        <v>256</v>
      </c>
      <c r="K832" s="1" t="s">
        <v>257</v>
      </c>
      <c r="L832" s="1" t="s">
        <v>82</v>
      </c>
      <c r="M832" s="1" t="s">
        <v>283</v>
      </c>
      <c r="N832" s="1" t="s">
        <v>2561</v>
      </c>
      <c r="O832" s="1" t="s">
        <v>58</v>
      </c>
      <c r="P832" s="1">
        <v>6</v>
      </c>
      <c r="Q832" s="1">
        <v>2382.88</v>
      </c>
      <c r="R832" s="1">
        <v>0.1</v>
      </c>
      <c r="S832" s="1">
        <v>12867.55</v>
      </c>
      <c r="T832" s="1">
        <f t="shared" si="63"/>
        <v>12867.552000000001</v>
      </c>
      <c r="U832" s="1">
        <v>10068.94</v>
      </c>
      <c r="V832" s="3">
        <f>IF(T832=0,"",X832/T832)</f>
        <v>0.21749373929089236</v>
      </c>
      <c r="W832" s="1">
        <v>2798.61</v>
      </c>
      <c r="X832" s="1">
        <f>T832-U832</f>
        <v>2798.612000000001</v>
      </c>
      <c r="Y832" s="1" t="s">
        <v>40</v>
      </c>
      <c r="Z832" s="1" t="s">
        <v>41</v>
      </c>
      <c r="AA832" s="1">
        <f t="shared" si="60"/>
        <v>3</v>
      </c>
      <c r="AB832" s="2" t="str">
        <f t="shared" si="64"/>
        <v>Warning</v>
      </c>
      <c r="AC832" s="2"/>
    </row>
    <row r="833" spans="1:29">
      <c r="A833" s="1" t="s">
        <v>2562</v>
      </c>
      <c r="B833" s="2">
        <v>45750</v>
      </c>
      <c r="C833" s="2" t="str">
        <f t="shared" si="61"/>
        <v>April</v>
      </c>
      <c r="D833" s="1">
        <f t="shared" si="62"/>
        <v>2025</v>
      </c>
      <c r="E833" s="2">
        <v>45720</v>
      </c>
      <c r="F833" s="1" t="s">
        <v>2563</v>
      </c>
      <c r="G833" s="1" t="s">
        <v>170</v>
      </c>
      <c r="H833" s="1" t="s">
        <v>103</v>
      </c>
      <c r="I833" s="1" t="s">
        <v>213</v>
      </c>
      <c r="J833" s="1" t="s">
        <v>245</v>
      </c>
      <c r="K833" s="1" t="s">
        <v>246</v>
      </c>
      <c r="L833" s="1" t="s">
        <v>49</v>
      </c>
      <c r="M833" s="1" t="s">
        <v>74</v>
      </c>
      <c r="N833" s="1" t="s">
        <v>2564</v>
      </c>
      <c r="O833" s="1" t="s">
        <v>58</v>
      </c>
      <c r="P833" s="1">
        <v>9</v>
      </c>
      <c r="Q833" s="1">
        <v>3462.7</v>
      </c>
      <c r="R833" s="1">
        <v>0.15</v>
      </c>
      <c r="S833" s="1">
        <v>26489.65</v>
      </c>
      <c r="T833" s="1">
        <f t="shared" si="63"/>
        <v>26489.654999999999</v>
      </c>
      <c r="U833" s="1">
        <v>15818.46</v>
      </c>
      <c r="V833" s="3">
        <f>IF(T833=0,"",X833/T833)</f>
        <v>0.40284386489744772</v>
      </c>
      <c r="W833" s="1">
        <v>10671.19</v>
      </c>
      <c r="X833" s="1">
        <f>T833-U833</f>
        <v>10671.195</v>
      </c>
      <c r="Y833" s="1" t="s">
        <v>163</v>
      </c>
      <c r="Z833" s="1" t="s">
        <v>111</v>
      </c>
      <c r="AA833" s="4">
        <f t="shared" si="60"/>
        <v>-30</v>
      </c>
      <c r="AB833" s="2" t="s">
        <v>459</v>
      </c>
      <c r="AC833" s="2"/>
    </row>
    <row r="834" spans="1:29">
      <c r="A834" s="1" t="s">
        <v>2565</v>
      </c>
      <c r="B834" s="2">
        <v>45803</v>
      </c>
      <c r="C834" s="2" t="str">
        <f t="shared" si="61"/>
        <v>May</v>
      </c>
      <c r="D834" s="1">
        <f t="shared" si="62"/>
        <v>2025</v>
      </c>
      <c r="E834" s="2">
        <v>45805</v>
      </c>
      <c r="F834" s="1" t="s">
        <v>2566</v>
      </c>
      <c r="G834" s="1" t="s">
        <v>273</v>
      </c>
      <c r="H834" s="1" t="s">
        <v>45</v>
      </c>
      <c r="I834" s="1" t="s">
        <v>62</v>
      </c>
      <c r="J834" s="1" t="s">
        <v>92</v>
      </c>
      <c r="K834" s="1" t="s">
        <v>93</v>
      </c>
      <c r="L834" s="1" t="s">
        <v>82</v>
      </c>
      <c r="M834" s="1" t="s">
        <v>179</v>
      </c>
      <c r="N834" s="1" t="s">
        <v>2567</v>
      </c>
      <c r="O834" s="1" t="s">
        <v>39</v>
      </c>
      <c r="P834" s="1">
        <v>9</v>
      </c>
      <c r="Q834" s="1">
        <v>4302.0200000000004</v>
      </c>
      <c r="R834" s="1">
        <v>0.05</v>
      </c>
      <c r="S834" s="1">
        <v>36782.269999999997</v>
      </c>
      <c r="T834" s="1">
        <f t="shared" si="63"/>
        <v>36782.271000000008</v>
      </c>
      <c r="U834" s="1">
        <v>25902.81</v>
      </c>
      <c r="V834" s="3">
        <f>IF(T834=0,"",X834/T834)</f>
        <v>0.29578002402298664</v>
      </c>
      <c r="W834" s="1">
        <v>10879.46</v>
      </c>
      <c r="X834" s="1">
        <f>T834-U834</f>
        <v>10879.461000000007</v>
      </c>
      <c r="Y834" s="1" t="s">
        <v>40</v>
      </c>
      <c r="Z834" s="1" t="s">
        <v>41</v>
      </c>
      <c r="AA834" s="1">
        <f t="shared" ref="AA834:AA897" si="65">E834-B834</f>
        <v>2</v>
      </c>
      <c r="AB834" s="2" t="str">
        <f t="shared" si="64"/>
        <v>Clean</v>
      </c>
      <c r="AC834" s="2"/>
    </row>
    <row r="835" spans="1:29">
      <c r="A835" s="1" t="s">
        <v>2568</v>
      </c>
      <c r="B835" s="2">
        <v>45388</v>
      </c>
      <c r="C835" s="2" t="str">
        <f t="shared" ref="C835:C898" si="66">TEXT(B835,"mmmm")</f>
        <v>April</v>
      </c>
      <c r="D835" s="1">
        <f t="shared" ref="D835:D898" si="67">YEAR(B835)</f>
        <v>2024</v>
      </c>
      <c r="E835" s="2">
        <v>45447</v>
      </c>
      <c r="F835" s="1" t="s">
        <v>2569</v>
      </c>
      <c r="G835" s="1" t="s">
        <v>126</v>
      </c>
      <c r="H835" s="1" t="s">
        <v>103</v>
      </c>
      <c r="I835" s="1" t="s">
        <v>46</v>
      </c>
      <c r="J835" s="1" t="s">
        <v>107</v>
      </c>
      <c r="K835" s="1" t="s">
        <v>108</v>
      </c>
      <c r="L835" s="1" t="s">
        <v>49</v>
      </c>
      <c r="M835" s="1" t="s">
        <v>166</v>
      </c>
      <c r="N835" s="1" t="s">
        <v>2570</v>
      </c>
      <c r="O835" s="1" t="s">
        <v>58</v>
      </c>
      <c r="P835" s="1">
        <v>6</v>
      </c>
      <c r="Q835" s="1">
        <v>3949.4</v>
      </c>
      <c r="R835" s="1">
        <v>0</v>
      </c>
      <c r="S835" s="1">
        <v>23696.400000000001</v>
      </c>
      <c r="T835" s="1">
        <f t="shared" ref="T835:T898" si="68">P835*Q835*(1-R835)</f>
        <v>23696.400000000001</v>
      </c>
      <c r="U835" s="1">
        <v>18109.77</v>
      </c>
      <c r="V835" s="3">
        <f>IF(T835=0,"",X835/T835)</f>
        <v>0.23575859624246723</v>
      </c>
      <c r="W835" s="1">
        <v>5586.63</v>
      </c>
      <c r="X835" s="1">
        <f>T835-U835</f>
        <v>5586.630000000001</v>
      </c>
      <c r="Y835" s="1" t="s">
        <v>40</v>
      </c>
      <c r="Z835" s="1" t="s">
        <v>41</v>
      </c>
      <c r="AA835" s="1">
        <f t="shared" si="65"/>
        <v>59</v>
      </c>
      <c r="AB835" s="2" t="str">
        <f t="shared" ref="AB835:AB898" si="69">IF(OR(AA835&lt;0,R835&lt;0),"Invalid",IF(OR(I835="Unknown",O835="Unknown"),"Warning","Clean"))</f>
        <v>Clean</v>
      </c>
      <c r="AC835" s="2"/>
    </row>
    <row r="836" spans="1:29">
      <c r="A836" s="1" t="s">
        <v>2571</v>
      </c>
      <c r="B836" s="2">
        <v>45583</v>
      </c>
      <c r="C836" s="2" t="str">
        <f t="shared" si="66"/>
        <v>October</v>
      </c>
      <c r="D836" s="1">
        <f t="shared" si="67"/>
        <v>2024</v>
      </c>
      <c r="E836" s="2">
        <v>45587</v>
      </c>
      <c r="F836" s="1" t="s">
        <v>2572</v>
      </c>
      <c r="G836" s="1" t="s">
        <v>136</v>
      </c>
      <c r="H836" s="1" t="s">
        <v>103</v>
      </c>
      <c r="I836" s="1" t="s">
        <v>62</v>
      </c>
      <c r="J836" s="1" t="s">
        <v>63</v>
      </c>
      <c r="K836" s="1" t="s">
        <v>64</v>
      </c>
      <c r="L836" s="1" t="s">
        <v>36</v>
      </c>
      <c r="M836" s="1" t="s">
        <v>56</v>
      </c>
      <c r="N836" s="1" t="s">
        <v>2573</v>
      </c>
      <c r="O836" s="1" t="s">
        <v>58</v>
      </c>
      <c r="P836" s="1">
        <v>6</v>
      </c>
      <c r="Q836" s="1">
        <v>674.61</v>
      </c>
      <c r="R836" s="1">
        <v>0</v>
      </c>
      <c r="S836" s="1">
        <v>4047.66</v>
      </c>
      <c r="T836" s="1">
        <f t="shared" si="68"/>
        <v>4047.66</v>
      </c>
      <c r="U836" s="1">
        <v>3078.93</v>
      </c>
      <c r="V836" s="3">
        <f>IF(T836=0,"",X836/T836)</f>
        <v>0.23933087265234729</v>
      </c>
      <c r="W836" s="1">
        <v>1279.79</v>
      </c>
      <c r="X836" s="1">
        <f>T836-U836</f>
        <v>968.73</v>
      </c>
      <c r="Y836" s="1" t="s">
        <v>40</v>
      </c>
      <c r="Z836" s="1" t="s">
        <v>41</v>
      </c>
      <c r="AA836" s="1">
        <f t="shared" si="65"/>
        <v>4</v>
      </c>
      <c r="AB836" s="2" t="str">
        <f t="shared" si="69"/>
        <v>Clean</v>
      </c>
      <c r="AC836" s="2"/>
    </row>
    <row r="837" spans="1:29">
      <c r="A837" s="1" t="s">
        <v>2574</v>
      </c>
      <c r="B837" s="2">
        <v>45926</v>
      </c>
      <c r="C837" s="2" t="str">
        <f t="shared" si="66"/>
        <v>September</v>
      </c>
      <c r="D837" s="1">
        <f t="shared" si="67"/>
        <v>2025</v>
      </c>
      <c r="E837" s="2">
        <v>45757</v>
      </c>
      <c r="F837" s="1" t="s">
        <v>2575</v>
      </c>
      <c r="G837" s="1" t="s">
        <v>122</v>
      </c>
      <c r="H837" s="1" t="s">
        <v>45</v>
      </c>
      <c r="I837" s="1" t="s">
        <v>46</v>
      </c>
      <c r="J837" s="1" t="s">
        <v>174</v>
      </c>
      <c r="K837" s="1" t="s">
        <v>175</v>
      </c>
      <c r="L837" s="1" t="s">
        <v>82</v>
      </c>
      <c r="M837" s="1" t="s">
        <v>179</v>
      </c>
      <c r="N837" s="1" t="s">
        <v>2576</v>
      </c>
      <c r="O837" s="1" t="s">
        <v>39</v>
      </c>
      <c r="P837" s="1">
        <v>7</v>
      </c>
      <c r="Q837" s="1">
        <v>1509.59</v>
      </c>
      <c r="R837" s="1">
        <v>0.05</v>
      </c>
      <c r="S837" s="1">
        <v>10038.77</v>
      </c>
      <c r="T837" s="1">
        <f t="shared" si="68"/>
        <v>10038.773499999999</v>
      </c>
      <c r="U837" s="1">
        <v>5673.1</v>
      </c>
      <c r="V837" s="3">
        <f>IF(T837=0,"",X837/T837)</f>
        <v>0.43488116352062323</v>
      </c>
      <c r="W837" s="1">
        <v>4365.67</v>
      </c>
      <c r="X837" s="1">
        <f>T837-U837</f>
        <v>4365.673499999999</v>
      </c>
      <c r="Y837" s="1" t="s">
        <v>40</v>
      </c>
      <c r="Z837" s="1" t="s">
        <v>41</v>
      </c>
      <c r="AA837" s="4">
        <f t="shared" si="65"/>
        <v>-169</v>
      </c>
      <c r="AB837" s="2" t="str">
        <f t="shared" si="69"/>
        <v>Invalid</v>
      </c>
      <c r="AC837" s="2"/>
    </row>
    <row r="838" spans="1:29">
      <c r="A838" s="1" t="s">
        <v>2577</v>
      </c>
      <c r="B838" s="2">
        <v>45641</v>
      </c>
      <c r="C838" s="2" t="str">
        <f t="shared" si="66"/>
        <v>December</v>
      </c>
      <c r="D838" s="1">
        <f t="shared" si="67"/>
        <v>2024</v>
      </c>
      <c r="E838" s="2">
        <v>45644</v>
      </c>
      <c r="F838" s="1" t="s">
        <v>2578</v>
      </c>
      <c r="G838" s="1" t="s">
        <v>55</v>
      </c>
      <c r="H838" s="1" t="s">
        <v>45</v>
      </c>
      <c r="I838" s="1" t="s">
        <v>33</v>
      </c>
      <c r="J838" s="1" t="s">
        <v>34</v>
      </c>
      <c r="K838" s="1" t="s">
        <v>35</v>
      </c>
      <c r="L838" s="1" t="s">
        <v>36</v>
      </c>
      <c r="M838" s="1" t="s">
        <v>99</v>
      </c>
      <c r="N838" s="1" t="s">
        <v>2579</v>
      </c>
      <c r="O838" s="1" t="s">
        <v>39</v>
      </c>
      <c r="P838" s="1">
        <v>2</v>
      </c>
      <c r="Q838" s="1">
        <v>537.11</v>
      </c>
      <c r="R838" s="1">
        <v>0</v>
      </c>
      <c r="S838" s="1">
        <v>1074.22</v>
      </c>
      <c r="T838" s="1">
        <f t="shared" si="68"/>
        <v>1074.22</v>
      </c>
      <c r="U838" s="1">
        <v>850.86</v>
      </c>
      <c r="V838" s="3">
        <f>IF(T838=0,"",X838/T838)</f>
        <v>0.20792761259332354</v>
      </c>
      <c r="W838" s="1">
        <v>223.36</v>
      </c>
      <c r="X838" s="1">
        <f>T838-U838</f>
        <v>223.36</v>
      </c>
      <c r="Y838" s="1" t="s">
        <v>40</v>
      </c>
      <c r="Z838" s="1" t="s">
        <v>41</v>
      </c>
      <c r="AA838" s="1">
        <f t="shared" si="65"/>
        <v>3</v>
      </c>
      <c r="AB838" s="2" t="str">
        <f t="shared" si="69"/>
        <v>Clean</v>
      </c>
      <c r="AC838" s="2"/>
    </row>
    <row r="839" spans="1:29">
      <c r="A839" s="1" t="s">
        <v>2580</v>
      </c>
      <c r="B839" s="2">
        <v>45927</v>
      </c>
      <c r="C839" s="2" t="str">
        <f t="shared" si="66"/>
        <v>September</v>
      </c>
      <c r="D839" s="1">
        <f t="shared" si="67"/>
        <v>2025</v>
      </c>
      <c r="E839" s="2">
        <v>45928</v>
      </c>
      <c r="F839" s="1" t="s">
        <v>2581</v>
      </c>
      <c r="G839" s="1" t="s">
        <v>31</v>
      </c>
      <c r="H839" s="1" t="s">
        <v>103</v>
      </c>
      <c r="I839" s="1" t="s">
        <v>71</v>
      </c>
      <c r="J839" s="1" t="s">
        <v>72</v>
      </c>
      <c r="K839" s="1" t="s">
        <v>73</v>
      </c>
      <c r="L839" s="1" t="s">
        <v>36</v>
      </c>
      <c r="M839" s="1" t="s">
        <v>37</v>
      </c>
      <c r="N839" s="1" t="s">
        <v>2582</v>
      </c>
      <c r="O839" s="1" t="s">
        <v>58</v>
      </c>
      <c r="P839" s="1">
        <v>3</v>
      </c>
      <c r="Q839" s="1">
        <v>4177.63</v>
      </c>
      <c r="R839" s="1">
        <v>0.25</v>
      </c>
      <c r="S839" s="1">
        <v>9399.67</v>
      </c>
      <c r="T839" s="1">
        <f t="shared" si="68"/>
        <v>9399.6674999999996</v>
      </c>
      <c r="U839" s="1">
        <v>6540.37</v>
      </c>
      <c r="V839" s="3">
        <f>IF(T839=0,"",X839/T839)</f>
        <v>0.30419134506619516</v>
      </c>
      <c r="W839" s="1">
        <v>2859.3</v>
      </c>
      <c r="X839" s="1">
        <f>T839-U839</f>
        <v>2859.2974999999997</v>
      </c>
      <c r="Y839" s="1" t="s">
        <v>40</v>
      </c>
      <c r="Z839" s="1" t="s">
        <v>41</v>
      </c>
      <c r="AA839" s="1">
        <f t="shared" si="65"/>
        <v>1</v>
      </c>
      <c r="AB839" s="2" t="str">
        <f t="shared" si="69"/>
        <v>Clean</v>
      </c>
      <c r="AC839" s="2"/>
    </row>
    <row r="840" spans="1:29">
      <c r="A840" s="1" t="s">
        <v>2583</v>
      </c>
      <c r="B840" s="2">
        <v>45750</v>
      </c>
      <c r="C840" s="2" t="str">
        <f t="shared" si="66"/>
        <v>April</v>
      </c>
      <c r="D840" s="1">
        <f t="shared" si="67"/>
        <v>2025</v>
      </c>
      <c r="E840" s="2">
        <v>45842</v>
      </c>
      <c r="F840" s="1" t="s">
        <v>2584</v>
      </c>
      <c r="G840" s="1" t="s">
        <v>70</v>
      </c>
      <c r="H840" s="1" t="s">
        <v>45</v>
      </c>
      <c r="I840" s="1" t="s">
        <v>71</v>
      </c>
      <c r="J840" s="1" t="s">
        <v>198</v>
      </c>
      <c r="K840" s="1" t="s">
        <v>199</v>
      </c>
      <c r="L840" s="1" t="s">
        <v>36</v>
      </c>
      <c r="M840" s="1" t="s">
        <v>37</v>
      </c>
      <c r="N840" s="1" t="s">
        <v>2585</v>
      </c>
      <c r="O840" s="1" t="s">
        <v>52</v>
      </c>
      <c r="P840" s="1">
        <v>1</v>
      </c>
      <c r="Q840" s="1">
        <v>1470.57</v>
      </c>
      <c r="R840" s="1">
        <v>0</v>
      </c>
      <c r="S840" s="1">
        <v>1470.57</v>
      </c>
      <c r="T840" s="1">
        <f t="shared" si="68"/>
        <v>1470.57</v>
      </c>
      <c r="U840" s="1">
        <v>834.02</v>
      </c>
      <c r="V840" s="3">
        <f>IF(T840=0,"",X840/T840)</f>
        <v>0.43285936745615644</v>
      </c>
      <c r="W840" s="1">
        <v>636.54999999999995</v>
      </c>
      <c r="X840" s="1">
        <f>T840-U840</f>
        <v>636.54999999999995</v>
      </c>
      <c r="Y840" s="1" t="s">
        <v>40</v>
      </c>
      <c r="Z840" s="1" t="s">
        <v>111</v>
      </c>
      <c r="AA840" s="1">
        <f t="shared" si="65"/>
        <v>92</v>
      </c>
      <c r="AB840" s="2" t="str">
        <f t="shared" si="69"/>
        <v>Clean</v>
      </c>
      <c r="AC840" s="2"/>
    </row>
    <row r="841" spans="1:29">
      <c r="A841" s="1" t="s">
        <v>2586</v>
      </c>
      <c r="B841" s="2">
        <v>45555</v>
      </c>
      <c r="C841" s="2" t="str">
        <f t="shared" si="66"/>
        <v>September</v>
      </c>
      <c r="D841" s="1">
        <f t="shared" si="67"/>
        <v>2024</v>
      </c>
      <c r="E841" s="2">
        <v>45557</v>
      </c>
      <c r="F841" s="1" t="s">
        <v>2587</v>
      </c>
      <c r="G841" s="1" t="s">
        <v>149</v>
      </c>
      <c r="H841" s="1" t="s">
        <v>103</v>
      </c>
      <c r="I841" s="1" t="s">
        <v>46</v>
      </c>
      <c r="J841" s="1" t="s">
        <v>47</v>
      </c>
      <c r="K841" s="1" t="s">
        <v>48</v>
      </c>
      <c r="L841" s="1" t="s">
        <v>82</v>
      </c>
      <c r="M841" s="1" t="s">
        <v>179</v>
      </c>
      <c r="N841" s="1" t="s">
        <v>2588</v>
      </c>
      <c r="O841" s="1" t="s">
        <v>67</v>
      </c>
      <c r="P841" s="1">
        <v>8</v>
      </c>
      <c r="Q841" s="1">
        <v>531.42999999999995</v>
      </c>
      <c r="R841" s="1">
        <v>0.1</v>
      </c>
      <c r="S841" s="1">
        <v>3826.3</v>
      </c>
      <c r="T841" s="1">
        <f t="shared" si="68"/>
        <v>3826.2959999999998</v>
      </c>
      <c r="U841" s="1">
        <v>2194.12</v>
      </c>
      <c r="V841" s="3">
        <f>IF(T841=0,"",X841/T841)</f>
        <v>0.42656814841298218</v>
      </c>
      <c r="W841" s="1">
        <v>1632.18</v>
      </c>
      <c r="X841" s="1">
        <f>T841-U841</f>
        <v>1632.1759999999999</v>
      </c>
      <c r="Y841" s="1" t="s">
        <v>40</v>
      </c>
      <c r="Z841" s="1" t="s">
        <v>41</v>
      </c>
      <c r="AA841" s="1">
        <f t="shared" si="65"/>
        <v>2</v>
      </c>
      <c r="AB841" s="2" t="str">
        <f t="shared" si="69"/>
        <v>Clean</v>
      </c>
      <c r="AC841" s="2"/>
    </row>
    <row r="842" spans="1:29">
      <c r="A842" s="1" t="s">
        <v>2589</v>
      </c>
      <c r="B842" s="2">
        <v>45919</v>
      </c>
      <c r="C842" s="2" t="str">
        <f t="shared" si="66"/>
        <v>September</v>
      </c>
      <c r="D842" s="1">
        <f t="shared" si="67"/>
        <v>2025</v>
      </c>
      <c r="E842" s="2">
        <v>45919</v>
      </c>
      <c r="F842" s="1" t="s">
        <v>2590</v>
      </c>
      <c r="G842" s="1" t="s">
        <v>87</v>
      </c>
      <c r="H842" s="1" t="s">
        <v>103</v>
      </c>
      <c r="I842" s="1" t="s">
        <v>33</v>
      </c>
      <c r="J842" s="1" t="s">
        <v>359</v>
      </c>
      <c r="K842" s="1" t="s">
        <v>360</v>
      </c>
      <c r="L842" s="1" t="s">
        <v>49</v>
      </c>
      <c r="M842" s="1" t="s">
        <v>74</v>
      </c>
      <c r="N842" s="1" t="s">
        <v>2591</v>
      </c>
      <c r="O842" s="1" t="s">
        <v>52</v>
      </c>
      <c r="P842" s="1">
        <v>4</v>
      </c>
      <c r="Q842" s="1">
        <v>1584.11</v>
      </c>
      <c r="R842" s="1">
        <v>0</v>
      </c>
      <c r="S842" s="1">
        <v>6336.44</v>
      </c>
      <c r="T842" s="1">
        <f t="shared" si="68"/>
        <v>6336.44</v>
      </c>
      <c r="U842" s="1">
        <v>4680.68</v>
      </c>
      <c r="V842" s="3">
        <f>IF(T842=0,"",X842/T842)</f>
        <v>0.26130761121386764</v>
      </c>
      <c r="W842" s="1">
        <v>1655.76</v>
      </c>
      <c r="X842" s="1">
        <f>T842-U842</f>
        <v>1655.7599999999993</v>
      </c>
      <c r="Y842" s="1" t="s">
        <v>40</v>
      </c>
      <c r="Z842" s="1" t="s">
        <v>41</v>
      </c>
      <c r="AA842" s="1">
        <f t="shared" si="65"/>
        <v>0</v>
      </c>
      <c r="AB842" s="2" t="str">
        <f t="shared" si="69"/>
        <v>Clean</v>
      </c>
      <c r="AC842" s="2"/>
    </row>
    <row r="843" spans="1:29">
      <c r="A843" s="1" t="s">
        <v>2592</v>
      </c>
      <c r="B843" s="2">
        <v>45810</v>
      </c>
      <c r="C843" s="2" t="str">
        <f t="shared" si="66"/>
        <v>June</v>
      </c>
      <c r="D843" s="1">
        <f t="shared" si="67"/>
        <v>2025</v>
      </c>
      <c r="E843" s="2">
        <v>45993</v>
      </c>
      <c r="F843" s="1" t="s">
        <v>2593</v>
      </c>
      <c r="G843" s="1" t="s">
        <v>70</v>
      </c>
      <c r="H843" s="1" t="s">
        <v>45</v>
      </c>
      <c r="I843" s="1" t="s">
        <v>46</v>
      </c>
      <c r="J843" s="1" t="s">
        <v>153</v>
      </c>
      <c r="K843" s="1" t="s">
        <v>154</v>
      </c>
      <c r="L843" s="1" t="s">
        <v>36</v>
      </c>
      <c r="M843" s="1" t="s">
        <v>56</v>
      </c>
      <c r="N843" s="1" t="s">
        <v>2594</v>
      </c>
      <c r="O843" s="1" t="s">
        <v>67</v>
      </c>
      <c r="P843" s="1">
        <v>9</v>
      </c>
      <c r="Q843" s="1">
        <v>3237.16</v>
      </c>
      <c r="R843" s="1">
        <v>0.25</v>
      </c>
      <c r="S843" s="1">
        <v>21850.83</v>
      </c>
      <c r="T843" s="1">
        <f t="shared" si="68"/>
        <v>21850.829999999998</v>
      </c>
      <c r="U843" s="1">
        <v>16600.13</v>
      </c>
      <c r="V843" s="3">
        <f>IF(T843=0,"",X843/T843)</f>
        <v>0.2402975081495759</v>
      </c>
      <c r="W843" s="1">
        <v>5250.7</v>
      </c>
      <c r="X843" s="1">
        <f>T843-U843</f>
        <v>5250.6999999999971</v>
      </c>
      <c r="Y843" s="1" t="s">
        <v>40</v>
      </c>
      <c r="Z843" s="1" t="s">
        <v>41</v>
      </c>
      <c r="AA843" s="1">
        <f t="shared" si="65"/>
        <v>183</v>
      </c>
      <c r="AB843" s="2" t="str">
        <f t="shared" si="69"/>
        <v>Clean</v>
      </c>
      <c r="AC843" s="2"/>
    </row>
    <row r="844" spans="1:29">
      <c r="A844" s="1" t="s">
        <v>2595</v>
      </c>
      <c r="B844" s="2">
        <v>45382</v>
      </c>
      <c r="C844" s="2" t="str">
        <f t="shared" si="66"/>
        <v>March</v>
      </c>
      <c r="D844" s="1">
        <f t="shared" si="67"/>
        <v>2024</v>
      </c>
      <c r="E844" s="2">
        <v>45381</v>
      </c>
      <c r="F844" s="1" t="s">
        <v>2596</v>
      </c>
      <c r="G844" s="1" t="s">
        <v>273</v>
      </c>
      <c r="H844" s="1" t="s">
        <v>32</v>
      </c>
      <c r="I844" s="1" t="s">
        <v>33</v>
      </c>
      <c r="J844" s="1" t="s">
        <v>245</v>
      </c>
      <c r="K844" s="1" t="s">
        <v>246</v>
      </c>
      <c r="L844" s="1" t="s">
        <v>82</v>
      </c>
      <c r="M844" s="1" t="s">
        <v>283</v>
      </c>
      <c r="N844" s="1" t="s">
        <v>2597</v>
      </c>
      <c r="O844" s="1" t="s">
        <v>58</v>
      </c>
      <c r="P844" s="1">
        <v>4</v>
      </c>
      <c r="Q844" s="1">
        <v>2192.08</v>
      </c>
      <c r="R844" s="1">
        <v>0.15</v>
      </c>
      <c r="S844" s="1">
        <v>7453.07</v>
      </c>
      <c r="T844" s="1">
        <f t="shared" si="68"/>
        <v>7453.0719999999992</v>
      </c>
      <c r="U844" s="1">
        <v>5133.78</v>
      </c>
      <c r="V844" s="3">
        <f>IF(T844=0,"",X844/T844)</f>
        <v>0.31118604516365866</v>
      </c>
      <c r="W844" s="1">
        <v>2319.29</v>
      </c>
      <c r="X844" s="1">
        <f>T844-U844</f>
        <v>2319.2919999999995</v>
      </c>
      <c r="Y844" s="1" t="s">
        <v>40</v>
      </c>
      <c r="Z844" s="1" t="s">
        <v>111</v>
      </c>
      <c r="AA844" s="4">
        <f t="shared" si="65"/>
        <v>-1</v>
      </c>
      <c r="AB844" s="2" t="str">
        <f t="shared" si="69"/>
        <v>Invalid</v>
      </c>
      <c r="AC844" s="2"/>
    </row>
    <row r="845" spans="1:29">
      <c r="A845" s="1" t="s">
        <v>2598</v>
      </c>
      <c r="B845" s="2">
        <v>45856</v>
      </c>
      <c r="C845" s="2" t="str">
        <f t="shared" si="66"/>
        <v>July</v>
      </c>
      <c r="D845" s="1">
        <f t="shared" si="67"/>
        <v>2025</v>
      </c>
      <c r="E845" s="2">
        <v>45863</v>
      </c>
      <c r="F845" s="1" t="s">
        <v>2599</v>
      </c>
      <c r="G845" s="1" t="s">
        <v>122</v>
      </c>
      <c r="H845" s="1" t="s">
        <v>45</v>
      </c>
      <c r="I845" s="1" t="s">
        <v>33</v>
      </c>
      <c r="J845" s="1" t="s">
        <v>144</v>
      </c>
      <c r="K845" s="1" t="s">
        <v>145</v>
      </c>
      <c r="L845" s="1" t="s">
        <v>82</v>
      </c>
      <c r="M845" s="1" t="s">
        <v>179</v>
      </c>
      <c r="N845" s="1" t="s">
        <v>2600</v>
      </c>
      <c r="O845" s="1" t="s">
        <v>58</v>
      </c>
      <c r="P845" s="1">
        <v>9</v>
      </c>
      <c r="Q845" s="1">
        <v>3989.52</v>
      </c>
      <c r="R845" s="4">
        <v>-0.02</v>
      </c>
      <c r="S845" s="1">
        <v>35905.68</v>
      </c>
      <c r="T845" s="4">
        <f t="shared" si="68"/>
        <v>36623.793600000005</v>
      </c>
      <c r="U845" s="1">
        <v>23916.1</v>
      </c>
      <c r="V845" s="3"/>
      <c r="W845" s="1">
        <v>11989.58</v>
      </c>
      <c r="X845" s="1"/>
      <c r="Y845" s="1" t="s">
        <v>40</v>
      </c>
      <c r="Z845" s="1" t="s">
        <v>41</v>
      </c>
      <c r="AA845" s="1">
        <f t="shared" si="65"/>
        <v>7</v>
      </c>
      <c r="AB845" s="2" t="str">
        <f t="shared" si="69"/>
        <v>Invalid</v>
      </c>
      <c r="AC845" s="2"/>
    </row>
    <row r="846" spans="1:29">
      <c r="A846" s="1" t="s">
        <v>2601</v>
      </c>
      <c r="B846" s="2">
        <v>45677</v>
      </c>
      <c r="C846" s="2" t="str">
        <f t="shared" si="66"/>
        <v>January</v>
      </c>
      <c r="D846" s="1">
        <f t="shared" si="67"/>
        <v>2025</v>
      </c>
      <c r="E846" s="2">
        <v>45682</v>
      </c>
      <c r="F846" s="1" t="s">
        <v>2602</v>
      </c>
      <c r="G846" s="1" t="s">
        <v>97</v>
      </c>
      <c r="H846" s="1" t="s">
        <v>103</v>
      </c>
      <c r="I846" s="1" t="s">
        <v>71</v>
      </c>
      <c r="J846" s="1" t="s">
        <v>198</v>
      </c>
      <c r="K846" s="1" t="s">
        <v>199</v>
      </c>
      <c r="L846" s="1" t="s">
        <v>36</v>
      </c>
      <c r="M846" s="1" t="s">
        <v>56</v>
      </c>
      <c r="N846" s="1" t="s">
        <v>2603</v>
      </c>
      <c r="O846" s="1" t="s">
        <v>58</v>
      </c>
      <c r="P846" s="1">
        <v>1</v>
      </c>
      <c r="Q846" s="1">
        <v>3515.15</v>
      </c>
      <c r="R846" s="1">
        <v>0</v>
      </c>
      <c r="S846" s="1">
        <v>3515.15</v>
      </c>
      <c r="T846" s="1">
        <f t="shared" si="68"/>
        <v>3515.15</v>
      </c>
      <c r="U846" s="1">
        <v>2216.34</v>
      </c>
      <c r="V846" s="3">
        <f>IF(T846=0,"",X846/T846)</f>
        <v>0.36948921098672882</v>
      </c>
      <c r="W846" s="1">
        <v>1298.81</v>
      </c>
      <c r="X846" s="1">
        <f>T846-U846</f>
        <v>1298.81</v>
      </c>
      <c r="Y846" s="1" t="s">
        <v>40</v>
      </c>
      <c r="Z846" s="1" t="s">
        <v>41</v>
      </c>
      <c r="AA846" s="1">
        <f t="shared" si="65"/>
        <v>5</v>
      </c>
      <c r="AB846" s="2" t="str">
        <f t="shared" si="69"/>
        <v>Clean</v>
      </c>
      <c r="AC846" s="2"/>
    </row>
    <row r="847" spans="1:29">
      <c r="A847" s="1" t="s">
        <v>2604</v>
      </c>
      <c r="B847" s="2">
        <v>45345</v>
      </c>
      <c r="C847" s="2" t="str">
        <f t="shared" si="66"/>
        <v>February</v>
      </c>
      <c r="D847" s="1">
        <f t="shared" si="67"/>
        <v>2024</v>
      </c>
      <c r="E847" s="2">
        <v>45349</v>
      </c>
      <c r="F847" s="1" t="s">
        <v>600</v>
      </c>
      <c r="G847" s="1" t="s">
        <v>31</v>
      </c>
      <c r="H847" s="1" t="s">
        <v>32</v>
      </c>
      <c r="I847" s="1" t="s">
        <v>46</v>
      </c>
      <c r="J847" s="1" t="s">
        <v>47</v>
      </c>
      <c r="K847" s="1" t="s">
        <v>48</v>
      </c>
      <c r="L847" s="1" t="s">
        <v>49</v>
      </c>
      <c r="M847" s="1" t="s">
        <v>50</v>
      </c>
      <c r="N847" s="1" t="s">
        <v>2605</v>
      </c>
      <c r="O847" s="1" t="s">
        <v>58</v>
      </c>
      <c r="P847" s="1">
        <v>9</v>
      </c>
      <c r="Q847" s="1">
        <v>3616.23</v>
      </c>
      <c r="R847" s="1">
        <v>0.25</v>
      </c>
      <c r="S847" s="1">
        <v>24409.55</v>
      </c>
      <c r="T847" s="1">
        <f t="shared" si="68"/>
        <v>24409.552499999998</v>
      </c>
      <c r="U847" s="1">
        <v>17157.580000000002</v>
      </c>
      <c r="V847" s="3">
        <f>IF(T847=0,"",X847/T847)</f>
        <v>0.29709567596538267</v>
      </c>
      <c r="W847" s="1">
        <v>7251.97</v>
      </c>
      <c r="X847" s="1">
        <f>T847-U847</f>
        <v>7251.9724999999962</v>
      </c>
      <c r="Y847" s="1" t="s">
        <v>119</v>
      </c>
      <c r="Z847" s="1" t="s">
        <v>111</v>
      </c>
      <c r="AA847" s="1">
        <f t="shared" si="65"/>
        <v>4</v>
      </c>
      <c r="AB847" s="2" t="str">
        <f t="shared" si="69"/>
        <v>Clean</v>
      </c>
      <c r="AC847" s="2"/>
    </row>
    <row r="848" spans="1:29">
      <c r="A848" s="1" t="s">
        <v>2606</v>
      </c>
      <c r="B848" s="2">
        <v>45396</v>
      </c>
      <c r="C848" s="2" t="str">
        <f t="shared" si="66"/>
        <v>April</v>
      </c>
      <c r="D848" s="1">
        <f t="shared" si="67"/>
        <v>2024</v>
      </c>
      <c r="E848" s="2">
        <v>45404</v>
      </c>
      <c r="F848" s="1" t="s">
        <v>2607</v>
      </c>
      <c r="G848" s="1" t="s">
        <v>122</v>
      </c>
      <c r="H848" s="1" t="s">
        <v>45</v>
      </c>
      <c r="I848" s="1" t="s">
        <v>71</v>
      </c>
      <c r="J848" s="1" t="s">
        <v>188</v>
      </c>
      <c r="K848" s="1" t="s">
        <v>189</v>
      </c>
      <c r="L848" s="1" t="s">
        <v>49</v>
      </c>
      <c r="M848" s="1" t="s">
        <v>166</v>
      </c>
      <c r="N848" s="1" t="s">
        <v>2608</v>
      </c>
      <c r="O848" s="1" t="s">
        <v>67</v>
      </c>
      <c r="P848" s="1">
        <v>2</v>
      </c>
      <c r="Q848" s="1">
        <v>3977.52</v>
      </c>
      <c r="R848" s="1">
        <v>0</v>
      </c>
      <c r="S848" s="1">
        <v>7955.04</v>
      </c>
      <c r="T848" s="1">
        <f t="shared" si="68"/>
        <v>7955.04</v>
      </c>
      <c r="U848" s="1">
        <v>5580.68</v>
      </c>
      <c r="V848" s="3">
        <f>IF(T848=0,"",X848/T848)</f>
        <v>0.29847241497214339</v>
      </c>
      <c r="W848" s="1">
        <v>2374.36</v>
      </c>
      <c r="X848" s="1">
        <f>T848-U848</f>
        <v>2374.3599999999997</v>
      </c>
      <c r="Y848" s="1" t="s">
        <v>119</v>
      </c>
      <c r="Z848" s="1" t="s">
        <v>111</v>
      </c>
      <c r="AA848" s="1">
        <f t="shared" si="65"/>
        <v>8</v>
      </c>
      <c r="AB848" s="2" t="str">
        <f t="shared" si="69"/>
        <v>Clean</v>
      </c>
      <c r="AC848" s="2"/>
    </row>
    <row r="849" spans="1:29">
      <c r="A849" s="1" t="s">
        <v>2609</v>
      </c>
      <c r="B849" s="2">
        <v>45797</v>
      </c>
      <c r="C849" s="2" t="str">
        <f t="shared" si="66"/>
        <v>May</v>
      </c>
      <c r="D849" s="1">
        <f t="shared" si="67"/>
        <v>2025</v>
      </c>
      <c r="E849" s="2">
        <v>45799</v>
      </c>
      <c r="F849" s="1" t="s">
        <v>2610</v>
      </c>
      <c r="G849" s="1" t="s">
        <v>170</v>
      </c>
      <c r="H849" s="1" t="s">
        <v>103</v>
      </c>
      <c r="I849" s="1" t="s">
        <v>46</v>
      </c>
      <c r="J849" s="1" t="s">
        <v>47</v>
      </c>
      <c r="K849" s="1" t="s">
        <v>48</v>
      </c>
      <c r="L849" s="1" t="s">
        <v>49</v>
      </c>
      <c r="M849" s="1" t="s">
        <v>50</v>
      </c>
      <c r="N849" s="1" t="s">
        <v>2611</v>
      </c>
      <c r="O849" s="1" t="s">
        <v>39</v>
      </c>
      <c r="P849" s="1">
        <v>2</v>
      </c>
      <c r="Q849" s="1">
        <v>210.08</v>
      </c>
      <c r="R849" s="1">
        <v>0.2</v>
      </c>
      <c r="S849" s="1">
        <v>336.13</v>
      </c>
      <c r="T849" s="1">
        <f t="shared" si="68"/>
        <v>336.12800000000004</v>
      </c>
      <c r="U849" s="1">
        <v>242.19</v>
      </c>
      <c r="V849" s="3">
        <f>IF(T849=0,"",X849/T849)</f>
        <v>0.27947091584158423</v>
      </c>
      <c r="W849" s="1">
        <v>93.94</v>
      </c>
      <c r="X849" s="1">
        <f>T849-U849</f>
        <v>93.938000000000045</v>
      </c>
      <c r="Y849" s="1" t="s">
        <v>40</v>
      </c>
      <c r="Z849" s="1" t="s">
        <v>41</v>
      </c>
      <c r="AA849" s="1">
        <f t="shared" si="65"/>
        <v>2</v>
      </c>
      <c r="AB849" s="2" t="str">
        <f t="shared" si="69"/>
        <v>Clean</v>
      </c>
      <c r="AC849" s="2"/>
    </row>
    <row r="850" spans="1:29">
      <c r="A850" s="1" t="s">
        <v>2612</v>
      </c>
      <c r="B850" s="2">
        <v>45804</v>
      </c>
      <c r="C850" s="2" t="str">
        <f t="shared" si="66"/>
        <v>May</v>
      </c>
      <c r="D850" s="1">
        <f t="shared" si="67"/>
        <v>2025</v>
      </c>
      <c r="E850" s="2">
        <v>45806</v>
      </c>
      <c r="F850" s="1" t="s">
        <v>2613</v>
      </c>
      <c r="G850" s="1" t="s">
        <v>126</v>
      </c>
      <c r="H850" s="1" t="s">
        <v>103</v>
      </c>
      <c r="I850" s="1" t="s">
        <v>62</v>
      </c>
      <c r="J850" s="1" t="s">
        <v>256</v>
      </c>
      <c r="K850" s="1" t="s">
        <v>257</v>
      </c>
      <c r="L850" s="1" t="s">
        <v>49</v>
      </c>
      <c r="M850" s="1" t="s">
        <v>65</v>
      </c>
      <c r="N850" s="1" t="s">
        <v>2614</v>
      </c>
      <c r="O850" s="1" t="s">
        <v>39</v>
      </c>
      <c r="P850" s="1">
        <v>1</v>
      </c>
      <c r="Q850" s="1">
        <v>1744.35</v>
      </c>
      <c r="R850" s="1">
        <v>0.25</v>
      </c>
      <c r="S850" s="1">
        <v>1308.26</v>
      </c>
      <c r="T850" s="1">
        <f t="shared" si="68"/>
        <v>1308.2624999999998</v>
      </c>
      <c r="U850" s="1">
        <v>1083.56</v>
      </c>
      <c r="V850" s="3">
        <f>IF(T850=0,"",X850/T850)</f>
        <v>0.17175643267310645</v>
      </c>
      <c r="W850" s="1">
        <v>224.7</v>
      </c>
      <c r="X850" s="1">
        <f>T850-U850</f>
        <v>224.70249999999987</v>
      </c>
      <c r="Y850" s="1" t="s">
        <v>40</v>
      </c>
      <c r="Z850" s="1" t="s">
        <v>41</v>
      </c>
      <c r="AA850" s="1">
        <f t="shared" si="65"/>
        <v>2</v>
      </c>
      <c r="AB850" s="2" t="str">
        <f t="shared" si="69"/>
        <v>Clean</v>
      </c>
      <c r="AC850" s="2"/>
    </row>
    <row r="851" spans="1:29">
      <c r="A851" s="1" t="s">
        <v>2615</v>
      </c>
      <c r="B851" s="2">
        <v>45446</v>
      </c>
      <c r="C851" s="2" t="str">
        <f t="shared" si="66"/>
        <v>June</v>
      </c>
      <c r="D851" s="1">
        <f t="shared" si="67"/>
        <v>2024</v>
      </c>
      <c r="E851" s="2">
        <v>45629</v>
      </c>
      <c r="F851" s="1" t="s">
        <v>2616</v>
      </c>
      <c r="G851" s="1" t="s">
        <v>55</v>
      </c>
      <c r="H851" s="1" t="s">
        <v>103</v>
      </c>
      <c r="I851" s="1" t="s">
        <v>71</v>
      </c>
      <c r="J851" s="1" t="s">
        <v>188</v>
      </c>
      <c r="K851" s="1" t="s">
        <v>189</v>
      </c>
      <c r="L851" s="1" t="s">
        <v>49</v>
      </c>
      <c r="M851" s="1" t="s">
        <v>166</v>
      </c>
      <c r="N851" s="1" t="s">
        <v>2617</v>
      </c>
      <c r="O851" s="1" t="s">
        <v>67</v>
      </c>
      <c r="P851" s="1">
        <v>3</v>
      </c>
      <c r="Q851" s="1">
        <v>679.63</v>
      </c>
      <c r="R851" s="1">
        <v>0.2</v>
      </c>
      <c r="S851" s="1">
        <v>1631.11</v>
      </c>
      <c r="T851" s="1">
        <f t="shared" si="68"/>
        <v>1631.1120000000001</v>
      </c>
      <c r="U851" s="1">
        <v>898.73</v>
      </c>
      <c r="V851" s="3">
        <f>IF(T851=0,"",X851/T851)</f>
        <v>0.44900779345624336</v>
      </c>
      <c r="W851" s="1">
        <v>396.58</v>
      </c>
      <c r="X851" s="1">
        <f>T851-U851</f>
        <v>732.38200000000006</v>
      </c>
      <c r="Y851" s="1" t="s">
        <v>40</v>
      </c>
      <c r="Z851" s="1" t="s">
        <v>41</v>
      </c>
      <c r="AA851" s="1">
        <f t="shared" si="65"/>
        <v>183</v>
      </c>
      <c r="AB851" s="2" t="str">
        <f t="shared" si="69"/>
        <v>Clean</v>
      </c>
      <c r="AC851" s="2"/>
    </row>
    <row r="852" spans="1:29">
      <c r="A852" s="1" t="s">
        <v>2618</v>
      </c>
      <c r="B852" s="2">
        <v>45473</v>
      </c>
      <c r="C852" s="2" t="str">
        <f t="shared" si="66"/>
        <v>June</v>
      </c>
      <c r="D852" s="1">
        <f t="shared" si="67"/>
        <v>2024</v>
      </c>
      <c r="E852" s="2">
        <v>45358</v>
      </c>
      <c r="F852" s="1" t="s">
        <v>2619</v>
      </c>
      <c r="G852" s="1" t="s">
        <v>122</v>
      </c>
      <c r="H852" s="1" t="s">
        <v>103</v>
      </c>
      <c r="I852" s="1" t="s">
        <v>46</v>
      </c>
      <c r="J852" s="1" t="s">
        <v>107</v>
      </c>
      <c r="K852" s="1" t="s">
        <v>108</v>
      </c>
      <c r="L852" s="1" t="s">
        <v>36</v>
      </c>
      <c r="M852" s="1" t="s">
        <v>37</v>
      </c>
      <c r="N852" s="1" t="s">
        <v>2620</v>
      </c>
      <c r="O852" s="1" t="s">
        <v>58</v>
      </c>
      <c r="P852" s="1">
        <v>6</v>
      </c>
      <c r="Q852" s="1">
        <v>1211.01</v>
      </c>
      <c r="R852" s="1">
        <v>0</v>
      </c>
      <c r="S852" s="1">
        <v>7266.06</v>
      </c>
      <c r="T852" s="1">
        <f t="shared" si="68"/>
        <v>7266.0599999999995</v>
      </c>
      <c r="U852" s="1">
        <v>6216.89</v>
      </c>
      <c r="V852" s="3">
        <f>IF(T852=0,"",X852/T852)</f>
        <v>0.14439324750965438</v>
      </c>
      <c r="W852" s="1">
        <v>1049.17</v>
      </c>
      <c r="X852" s="1">
        <f>T852-U852</f>
        <v>1049.1699999999992</v>
      </c>
      <c r="Y852" s="1" t="s">
        <v>40</v>
      </c>
      <c r="Z852" s="1" t="s">
        <v>41</v>
      </c>
      <c r="AA852" s="4">
        <f t="shared" si="65"/>
        <v>-115</v>
      </c>
      <c r="AB852" s="2" t="str">
        <f t="shared" si="69"/>
        <v>Invalid</v>
      </c>
      <c r="AC852" s="2"/>
    </row>
    <row r="853" spans="1:29">
      <c r="A853" s="1" t="s">
        <v>2621</v>
      </c>
      <c r="B853" s="2">
        <v>45377</v>
      </c>
      <c r="C853" s="2" t="str">
        <f t="shared" si="66"/>
        <v>March</v>
      </c>
      <c r="D853" s="1">
        <f t="shared" si="67"/>
        <v>2024</v>
      </c>
      <c r="E853" s="2">
        <v>45295</v>
      </c>
      <c r="F853" s="1" t="s">
        <v>2622</v>
      </c>
      <c r="G853" s="1" t="s">
        <v>31</v>
      </c>
      <c r="H853" s="1" t="s">
        <v>45</v>
      </c>
      <c r="I853" s="1" t="s">
        <v>71</v>
      </c>
      <c r="J853" s="1" t="s">
        <v>188</v>
      </c>
      <c r="K853" s="1" t="s">
        <v>189</v>
      </c>
      <c r="L853" s="1" t="s">
        <v>82</v>
      </c>
      <c r="M853" s="1" t="s">
        <v>83</v>
      </c>
      <c r="N853" s="1" t="s">
        <v>2623</v>
      </c>
      <c r="O853" s="1" t="s">
        <v>58</v>
      </c>
      <c r="P853" s="1">
        <v>2</v>
      </c>
      <c r="Q853" s="1">
        <v>1161.3</v>
      </c>
      <c r="R853" s="1">
        <v>0.2</v>
      </c>
      <c r="S853" s="1">
        <v>1858.08</v>
      </c>
      <c r="T853" s="1">
        <f t="shared" si="68"/>
        <v>1858.08</v>
      </c>
      <c r="U853" s="1">
        <v>1590.75</v>
      </c>
      <c r="V853" s="3">
        <f>IF(T853=0,"",X853/T853)</f>
        <v>0.14387432188065097</v>
      </c>
      <c r="W853" s="1">
        <v>267.33</v>
      </c>
      <c r="X853" s="1">
        <f>T853-U853</f>
        <v>267.32999999999993</v>
      </c>
      <c r="Y853" s="1" t="s">
        <v>40</v>
      </c>
      <c r="Z853" s="1" t="s">
        <v>41</v>
      </c>
      <c r="AA853" s="4">
        <f t="shared" si="65"/>
        <v>-82</v>
      </c>
      <c r="AB853" s="2" t="str">
        <f t="shared" si="69"/>
        <v>Invalid</v>
      </c>
      <c r="AC853" s="2"/>
    </row>
    <row r="854" spans="1:29">
      <c r="A854" s="1" t="s">
        <v>2624</v>
      </c>
      <c r="B854" s="2">
        <v>45295</v>
      </c>
      <c r="C854" s="2" t="str">
        <f t="shared" si="66"/>
        <v>January</v>
      </c>
      <c r="D854" s="1">
        <f t="shared" si="67"/>
        <v>2024</v>
      </c>
      <c r="E854" s="2">
        <v>45508</v>
      </c>
      <c r="F854" s="1" t="s">
        <v>2625</v>
      </c>
      <c r="G854" s="1" t="s">
        <v>70</v>
      </c>
      <c r="H854" s="1" t="s">
        <v>32</v>
      </c>
      <c r="I854" s="1" t="s">
        <v>46</v>
      </c>
      <c r="J854" s="1" t="s">
        <v>174</v>
      </c>
      <c r="K854" s="1" t="s">
        <v>175</v>
      </c>
      <c r="L854" s="1" t="s">
        <v>49</v>
      </c>
      <c r="M854" s="1" t="s">
        <v>50</v>
      </c>
      <c r="N854" s="1" t="s">
        <v>2626</v>
      </c>
      <c r="O854" s="1" t="s">
        <v>39</v>
      </c>
      <c r="P854" s="1">
        <v>7</v>
      </c>
      <c r="Q854" s="1">
        <v>4205.3500000000004</v>
      </c>
      <c r="R854" s="1">
        <v>0.15</v>
      </c>
      <c r="S854" s="1">
        <v>25021.83</v>
      </c>
      <c r="T854" s="1">
        <f t="shared" si="68"/>
        <v>25021.832500000004</v>
      </c>
      <c r="U854" s="1">
        <v>15544.44</v>
      </c>
      <c r="V854" s="3">
        <f>IF(T854=0,"",X854/T854)</f>
        <v>0.37876492459135447</v>
      </c>
      <c r="W854" s="1">
        <v>9477.39</v>
      </c>
      <c r="X854" s="1">
        <f>T854-U854</f>
        <v>9477.3925000000036</v>
      </c>
      <c r="Y854" s="1" t="s">
        <v>119</v>
      </c>
      <c r="Z854" s="1" t="s">
        <v>76</v>
      </c>
      <c r="AA854" s="1">
        <f t="shared" si="65"/>
        <v>213</v>
      </c>
      <c r="AB854" s="2" t="str">
        <f t="shared" si="69"/>
        <v>Clean</v>
      </c>
      <c r="AC854" s="2"/>
    </row>
    <row r="855" spans="1:29">
      <c r="A855" s="1" t="s">
        <v>2627</v>
      </c>
      <c r="B855" s="2">
        <v>45793</v>
      </c>
      <c r="C855" s="2" t="str">
        <f t="shared" si="66"/>
        <v>May</v>
      </c>
      <c r="D855" s="1">
        <f t="shared" si="67"/>
        <v>2025</v>
      </c>
      <c r="E855" s="2">
        <v>45799</v>
      </c>
      <c r="F855" s="1" t="s">
        <v>2628</v>
      </c>
      <c r="G855" s="1" t="s">
        <v>61</v>
      </c>
      <c r="H855" s="1" t="s">
        <v>98</v>
      </c>
      <c r="I855" s="1" t="s">
        <v>62</v>
      </c>
      <c r="J855" s="1" t="s">
        <v>256</v>
      </c>
      <c r="K855" s="1" t="s">
        <v>257</v>
      </c>
      <c r="L855" s="1" t="s">
        <v>82</v>
      </c>
      <c r="M855" s="1" t="s">
        <v>83</v>
      </c>
      <c r="N855" s="1" t="s">
        <v>2629</v>
      </c>
      <c r="O855" s="1" t="s">
        <v>52</v>
      </c>
      <c r="P855" s="1">
        <v>8</v>
      </c>
      <c r="Q855" s="1">
        <v>579.79999999999995</v>
      </c>
      <c r="R855" s="1">
        <v>0.2</v>
      </c>
      <c r="S855" s="1">
        <v>3710.72</v>
      </c>
      <c r="T855" s="1">
        <f t="shared" si="68"/>
        <v>3710.72</v>
      </c>
      <c r="U855" s="1">
        <v>3115.29</v>
      </c>
      <c r="V855" s="3">
        <f>IF(T855=0,"",X855/T855)</f>
        <v>0.16046212055881334</v>
      </c>
      <c r="W855" s="1">
        <v>595.42999999999995</v>
      </c>
      <c r="X855" s="1">
        <f>T855-U855</f>
        <v>595.42999999999984</v>
      </c>
      <c r="Y855" s="1" t="s">
        <v>40</v>
      </c>
      <c r="Z855" s="1" t="s">
        <v>41</v>
      </c>
      <c r="AA855" s="1">
        <f t="shared" si="65"/>
        <v>6</v>
      </c>
      <c r="AB855" s="2" t="str">
        <f t="shared" si="69"/>
        <v>Clean</v>
      </c>
      <c r="AC855" s="2"/>
    </row>
    <row r="856" spans="1:29">
      <c r="A856" s="1" t="s">
        <v>2630</v>
      </c>
      <c r="B856" s="2">
        <v>45741</v>
      </c>
      <c r="C856" s="2" t="str">
        <f t="shared" si="66"/>
        <v>March</v>
      </c>
      <c r="D856" s="1">
        <f t="shared" si="67"/>
        <v>2025</v>
      </c>
      <c r="E856" s="2">
        <v>45749</v>
      </c>
      <c r="F856" s="1" t="s">
        <v>2631</v>
      </c>
      <c r="G856" s="1" t="s">
        <v>122</v>
      </c>
      <c r="H856" s="1" t="s">
        <v>32</v>
      </c>
      <c r="I856" s="1" t="s">
        <v>62</v>
      </c>
      <c r="J856" s="1" t="s">
        <v>183</v>
      </c>
      <c r="K856" s="1" t="s">
        <v>184</v>
      </c>
      <c r="L856" s="1" t="s">
        <v>49</v>
      </c>
      <c r="M856" s="1" t="s">
        <v>166</v>
      </c>
      <c r="N856" s="1" t="s">
        <v>2632</v>
      </c>
      <c r="O856" s="1" t="s">
        <v>39</v>
      </c>
      <c r="P856" s="1">
        <v>4</v>
      </c>
      <c r="Q856" s="1">
        <v>2233.64</v>
      </c>
      <c r="R856" s="1">
        <v>0.05</v>
      </c>
      <c r="S856" s="1">
        <v>8487.83</v>
      </c>
      <c r="T856" s="1">
        <f t="shared" si="68"/>
        <v>8487.8319999999985</v>
      </c>
      <c r="U856" s="1">
        <v>5245.72</v>
      </c>
      <c r="V856" s="3">
        <f>IF(T856=0,"",X856/T856)</f>
        <v>0.38197174496384928</v>
      </c>
      <c r="W856" s="1">
        <v>3242.11</v>
      </c>
      <c r="X856" s="1">
        <f>T856-U856</f>
        <v>3242.1119999999983</v>
      </c>
      <c r="Y856" s="1" t="s">
        <v>40</v>
      </c>
      <c r="Z856" s="1" t="s">
        <v>41</v>
      </c>
      <c r="AA856" s="1">
        <f t="shared" si="65"/>
        <v>8</v>
      </c>
      <c r="AB856" s="2" t="str">
        <f t="shared" si="69"/>
        <v>Clean</v>
      </c>
      <c r="AC856" s="2"/>
    </row>
    <row r="857" spans="1:29">
      <c r="A857" s="1" t="s">
        <v>2633</v>
      </c>
      <c r="B857" s="2">
        <v>45498</v>
      </c>
      <c r="C857" s="2" t="str">
        <f t="shared" si="66"/>
        <v>July</v>
      </c>
      <c r="D857" s="1">
        <f t="shared" si="67"/>
        <v>2024</v>
      </c>
      <c r="E857" s="2">
        <v>45330</v>
      </c>
      <c r="F857" s="1" t="s">
        <v>1121</v>
      </c>
      <c r="G857" s="1" t="s">
        <v>126</v>
      </c>
      <c r="H857" s="1" t="s">
        <v>32</v>
      </c>
      <c r="I857" s="1" t="s">
        <v>33</v>
      </c>
      <c r="J857" s="1" t="s">
        <v>34</v>
      </c>
      <c r="K857" s="1" t="s">
        <v>35</v>
      </c>
      <c r="L857" s="1" t="s">
        <v>36</v>
      </c>
      <c r="M857" s="1" t="s">
        <v>99</v>
      </c>
      <c r="N857" s="1" t="s">
        <v>2634</v>
      </c>
      <c r="O857" s="1" t="s">
        <v>39</v>
      </c>
      <c r="P857" s="1">
        <v>2</v>
      </c>
      <c r="Q857" s="1">
        <v>2073.5300000000002</v>
      </c>
      <c r="R857" s="1">
        <v>0.25</v>
      </c>
      <c r="S857" s="1">
        <v>3110.3</v>
      </c>
      <c r="T857" s="1">
        <f t="shared" si="68"/>
        <v>3110.2950000000001</v>
      </c>
      <c r="U857" s="1">
        <v>2101.0300000000002</v>
      </c>
      <c r="V857" s="3">
        <f>IF(T857=0,"",X857/T857)</f>
        <v>0.32449172827657824</v>
      </c>
      <c r="W857" s="1">
        <v>1009.27</v>
      </c>
      <c r="X857" s="1">
        <f>T857-U857</f>
        <v>1009.2649999999999</v>
      </c>
      <c r="Y857" s="1" t="s">
        <v>40</v>
      </c>
      <c r="Z857" s="1" t="s">
        <v>41</v>
      </c>
      <c r="AA857" s="4">
        <f t="shared" si="65"/>
        <v>-168</v>
      </c>
      <c r="AB857" s="2" t="str">
        <f t="shared" si="69"/>
        <v>Invalid</v>
      </c>
      <c r="AC857" s="2"/>
    </row>
    <row r="858" spans="1:29">
      <c r="A858" s="1" t="s">
        <v>2635</v>
      </c>
      <c r="B858" s="2">
        <v>45632</v>
      </c>
      <c r="C858" s="2" t="str">
        <f t="shared" si="66"/>
        <v>December</v>
      </c>
      <c r="D858" s="1">
        <f t="shared" si="67"/>
        <v>2024</v>
      </c>
      <c r="E858" s="2">
        <v>45462</v>
      </c>
      <c r="F858" s="1" t="s">
        <v>1296</v>
      </c>
      <c r="G858" s="1" t="s">
        <v>149</v>
      </c>
      <c r="H858" s="1" t="s">
        <v>103</v>
      </c>
      <c r="I858" s="1" t="s">
        <v>62</v>
      </c>
      <c r="J858" s="1" t="s">
        <v>256</v>
      </c>
      <c r="K858" s="1" t="s">
        <v>257</v>
      </c>
      <c r="L858" s="1" t="s">
        <v>36</v>
      </c>
      <c r="M858" s="1" t="s">
        <v>132</v>
      </c>
      <c r="N858" s="1" t="s">
        <v>2636</v>
      </c>
      <c r="O858" s="1" t="s">
        <v>67</v>
      </c>
      <c r="P858" s="1">
        <v>4</v>
      </c>
      <c r="Q858" s="1">
        <v>395.1</v>
      </c>
      <c r="R858" s="4">
        <v>-0.16</v>
      </c>
      <c r="S858" s="1">
        <v>1185.3</v>
      </c>
      <c r="T858" s="4">
        <f t="shared" si="68"/>
        <v>1833.2639999999999</v>
      </c>
      <c r="U858" s="1">
        <v>966.55</v>
      </c>
      <c r="V858" s="3"/>
      <c r="W858" s="1">
        <v>218.75</v>
      </c>
      <c r="X858" s="1"/>
      <c r="Y858" s="1" t="s">
        <v>163</v>
      </c>
      <c r="Z858" s="1" t="s">
        <v>76</v>
      </c>
      <c r="AA858" s="4">
        <f t="shared" si="65"/>
        <v>-170</v>
      </c>
      <c r="AB858" s="2" t="str">
        <f t="shared" si="69"/>
        <v>Invalid</v>
      </c>
      <c r="AC858" s="2"/>
    </row>
    <row r="859" spans="1:29">
      <c r="A859" s="1" t="s">
        <v>2637</v>
      </c>
      <c r="B859" s="2">
        <v>45388</v>
      </c>
      <c r="C859" s="2" t="str">
        <f t="shared" si="66"/>
        <v>April</v>
      </c>
      <c r="D859" s="1">
        <f t="shared" si="67"/>
        <v>2024</v>
      </c>
      <c r="E859" s="2">
        <v>45388</v>
      </c>
      <c r="F859" s="1" t="s">
        <v>2143</v>
      </c>
      <c r="G859" s="1" t="s">
        <v>140</v>
      </c>
      <c r="H859" s="1" t="s">
        <v>103</v>
      </c>
      <c r="I859" s="1" t="s">
        <v>62</v>
      </c>
      <c r="J859" s="1" t="s">
        <v>193</v>
      </c>
      <c r="K859" s="1" t="s">
        <v>194</v>
      </c>
      <c r="L859" s="1" t="s">
        <v>36</v>
      </c>
      <c r="M859" s="1" t="s">
        <v>132</v>
      </c>
      <c r="N859" s="1" t="s">
        <v>2638</v>
      </c>
      <c r="O859" s="1" t="s">
        <v>58</v>
      </c>
      <c r="P859" s="1">
        <v>6</v>
      </c>
      <c r="Q859" s="1">
        <v>2708.97</v>
      </c>
      <c r="R859" s="1">
        <v>0.25</v>
      </c>
      <c r="S859" s="1">
        <v>12190.36</v>
      </c>
      <c r="T859" s="1">
        <f t="shared" si="68"/>
        <v>12190.365</v>
      </c>
      <c r="U859" s="1">
        <v>10176.99</v>
      </c>
      <c r="V859" s="3">
        <f>IF(T859=0,"",X859/T859)</f>
        <v>0.16516117441930575</v>
      </c>
      <c r="W859" s="1">
        <v>2013.37</v>
      </c>
      <c r="X859" s="1">
        <f>T859-U859</f>
        <v>2013.375</v>
      </c>
      <c r="Y859" s="1" t="s">
        <v>40</v>
      </c>
      <c r="Z859" s="1" t="s">
        <v>41</v>
      </c>
      <c r="AA859" s="1">
        <f t="shared" si="65"/>
        <v>0</v>
      </c>
      <c r="AB859" s="2" t="str">
        <f t="shared" si="69"/>
        <v>Clean</v>
      </c>
      <c r="AC859" s="2"/>
    </row>
    <row r="860" spans="1:29">
      <c r="A860" s="1" t="s">
        <v>2639</v>
      </c>
      <c r="B860" s="2">
        <v>45414</v>
      </c>
      <c r="C860" s="2" t="str">
        <f t="shared" si="66"/>
        <v>May</v>
      </c>
      <c r="D860" s="1">
        <f t="shared" si="67"/>
        <v>2024</v>
      </c>
      <c r="E860" s="2">
        <v>45540</v>
      </c>
      <c r="F860" s="1" t="s">
        <v>2640</v>
      </c>
      <c r="G860" s="1" t="s">
        <v>61</v>
      </c>
      <c r="H860" s="1" t="s">
        <v>32</v>
      </c>
      <c r="I860" s="1" t="s">
        <v>46</v>
      </c>
      <c r="J860" s="1" t="s">
        <v>47</v>
      </c>
      <c r="K860" s="1" t="s">
        <v>48</v>
      </c>
      <c r="L860" s="1" t="s">
        <v>82</v>
      </c>
      <c r="M860" s="1" t="s">
        <v>83</v>
      </c>
      <c r="N860" s="1" t="s">
        <v>2641</v>
      </c>
      <c r="O860" s="1" t="s">
        <v>39</v>
      </c>
      <c r="P860" s="1">
        <v>4</v>
      </c>
      <c r="Q860" s="1">
        <v>2904.86</v>
      </c>
      <c r="R860" s="1">
        <v>0</v>
      </c>
      <c r="S860" s="1">
        <v>11619.44</v>
      </c>
      <c r="T860" s="1">
        <f t="shared" si="68"/>
        <v>11619.44</v>
      </c>
      <c r="U860" s="1">
        <v>7184.32</v>
      </c>
      <c r="V860" s="3">
        <f>IF(T860=0,"",X860/T860)</f>
        <v>0.3816982574031107</v>
      </c>
      <c r="W860" s="1">
        <v>4494.6400000000003</v>
      </c>
      <c r="X860" s="1">
        <f>T860-U860</f>
        <v>4435.1200000000008</v>
      </c>
      <c r="Y860" s="1" t="s">
        <v>40</v>
      </c>
      <c r="Z860" s="1" t="s">
        <v>41</v>
      </c>
      <c r="AA860" s="1">
        <f t="shared" si="65"/>
        <v>126</v>
      </c>
      <c r="AB860" s="2" t="str">
        <f t="shared" si="69"/>
        <v>Clean</v>
      </c>
      <c r="AC860" s="2"/>
    </row>
    <row r="861" spans="1:29">
      <c r="A861" s="1" t="s">
        <v>2642</v>
      </c>
      <c r="B861" s="2">
        <v>45592</v>
      </c>
      <c r="C861" s="2" t="str">
        <f t="shared" si="66"/>
        <v>October</v>
      </c>
      <c r="D861" s="1">
        <f t="shared" si="67"/>
        <v>2024</v>
      </c>
      <c r="E861" s="2">
        <v>45302</v>
      </c>
      <c r="F861" s="1" t="s">
        <v>2643</v>
      </c>
      <c r="G861" s="1" t="s">
        <v>97</v>
      </c>
      <c r="H861" s="1" t="s">
        <v>98</v>
      </c>
      <c r="I861" s="1" t="s">
        <v>62</v>
      </c>
      <c r="J861" s="1" t="s">
        <v>256</v>
      </c>
      <c r="K861" s="1" t="s">
        <v>257</v>
      </c>
      <c r="L861" s="1" t="s">
        <v>82</v>
      </c>
      <c r="M861" s="1" t="s">
        <v>179</v>
      </c>
      <c r="N861" s="1" t="s">
        <v>2644</v>
      </c>
      <c r="O861" s="1" t="s">
        <v>67</v>
      </c>
      <c r="P861" s="1">
        <v>6</v>
      </c>
      <c r="Q861" s="1">
        <v>4399.2</v>
      </c>
      <c r="R861" s="1">
        <v>0.05</v>
      </c>
      <c r="S861" s="1">
        <v>25075.439999999999</v>
      </c>
      <c r="T861" s="1">
        <f t="shared" si="68"/>
        <v>25075.439999999995</v>
      </c>
      <c r="U861" s="1">
        <v>16282.74</v>
      </c>
      <c r="V861" s="3">
        <f>IF(T861=0,"",X861/T861)</f>
        <v>0.35064987892535471</v>
      </c>
      <c r="W861" s="1">
        <v>8792.7000000000007</v>
      </c>
      <c r="X861" s="1">
        <f>T861-U861</f>
        <v>8792.6999999999953</v>
      </c>
      <c r="Y861" s="1" t="s">
        <v>40</v>
      </c>
      <c r="Z861" s="1" t="s">
        <v>41</v>
      </c>
      <c r="AA861" s="4">
        <f t="shared" si="65"/>
        <v>-290</v>
      </c>
      <c r="AB861" s="2" t="str">
        <f t="shared" si="69"/>
        <v>Invalid</v>
      </c>
      <c r="AC861" s="2"/>
    </row>
    <row r="862" spans="1:29">
      <c r="A862" s="1" t="s">
        <v>2645</v>
      </c>
      <c r="B862" s="2">
        <v>45324</v>
      </c>
      <c r="C862" s="2" t="str">
        <f t="shared" si="66"/>
        <v>February</v>
      </c>
      <c r="D862" s="1">
        <f t="shared" si="67"/>
        <v>2024</v>
      </c>
      <c r="E862" s="2">
        <v>45384</v>
      </c>
      <c r="F862" s="1" t="s">
        <v>2646</v>
      </c>
      <c r="G862" s="1" t="s">
        <v>79</v>
      </c>
      <c r="H862" s="1" t="s">
        <v>103</v>
      </c>
      <c r="I862" s="1" t="s">
        <v>33</v>
      </c>
      <c r="J862" s="1" t="s">
        <v>144</v>
      </c>
      <c r="K862" s="1" t="s">
        <v>145</v>
      </c>
      <c r="L862" s="1" t="s">
        <v>36</v>
      </c>
      <c r="M862" s="1" t="s">
        <v>132</v>
      </c>
      <c r="N862" s="1" t="s">
        <v>2647</v>
      </c>
      <c r="O862" s="1" t="s">
        <v>39</v>
      </c>
      <c r="P862" s="1">
        <v>1</v>
      </c>
      <c r="Q862" s="1">
        <v>4397.32</v>
      </c>
      <c r="R862" s="1">
        <v>0.05</v>
      </c>
      <c r="S862" s="1">
        <v>4177.45</v>
      </c>
      <c r="T862" s="1">
        <f t="shared" si="68"/>
        <v>4177.4539999999997</v>
      </c>
      <c r="U862" s="1">
        <v>2299.5</v>
      </c>
      <c r="V862" s="3">
        <f>IF(T862=0,"",X862/T862)</f>
        <v>0.44954510570313877</v>
      </c>
      <c r="W862" s="1">
        <v>1877.95</v>
      </c>
      <c r="X862" s="1">
        <f>T862-U862</f>
        <v>1877.9539999999997</v>
      </c>
      <c r="Y862" s="1" t="s">
        <v>40</v>
      </c>
      <c r="Z862" s="1" t="s">
        <v>41</v>
      </c>
      <c r="AA862" s="1">
        <f t="shared" si="65"/>
        <v>60</v>
      </c>
      <c r="AB862" s="2" t="str">
        <f t="shared" si="69"/>
        <v>Clean</v>
      </c>
      <c r="AC862" s="2"/>
    </row>
    <row r="863" spans="1:29">
      <c r="A863" s="1" t="s">
        <v>2648</v>
      </c>
      <c r="B863" s="2">
        <v>45872</v>
      </c>
      <c r="C863" s="2" t="str">
        <f t="shared" si="66"/>
        <v>August</v>
      </c>
      <c r="D863" s="1">
        <f t="shared" si="67"/>
        <v>2025</v>
      </c>
      <c r="E863" s="2">
        <v>45903</v>
      </c>
      <c r="F863" s="1" t="s">
        <v>2649</v>
      </c>
      <c r="G863" s="1" t="s">
        <v>122</v>
      </c>
      <c r="H863" s="1" t="s">
        <v>103</v>
      </c>
      <c r="I863" s="1" t="s">
        <v>33</v>
      </c>
      <c r="J863" s="1" t="s">
        <v>359</v>
      </c>
      <c r="K863" s="1" t="s">
        <v>360</v>
      </c>
      <c r="L863" s="1" t="s">
        <v>49</v>
      </c>
      <c r="M863" s="1" t="s">
        <v>65</v>
      </c>
      <c r="N863" s="1" t="s">
        <v>2650</v>
      </c>
      <c r="O863" s="1" t="s">
        <v>52</v>
      </c>
      <c r="P863" s="1">
        <v>4</v>
      </c>
      <c r="Q863" s="1">
        <v>3405.68</v>
      </c>
      <c r="R863" s="1">
        <v>0.2</v>
      </c>
      <c r="S863" s="1">
        <v>10898.18</v>
      </c>
      <c r="T863" s="1">
        <f t="shared" si="68"/>
        <v>10898.175999999999</v>
      </c>
      <c r="U863" s="1">
        <v>6231.41</v>
      </c>
      <c r="V863" s="3">
        <f>IF(T863=0,"",X863/T863)</f>
        <v>0.42821532704188298</v>
      </c>
      <c r="W863" s="1">
        <v>4666.7700000000004</v>
      </c>
      <c r="X863" s="1">
        <f>T863-U863</f>
        <v>4666.7659999999996</v>
      </c>
      <c r="Y863" s="1" t="s">
        <v>40</v>
      </c>
      <c r="Z863" s="1" t="s">
        <v>41</v>
      </c>
      <c r="AA863" s="1">
        <f t="shared" si="65"/>
        <v>31</v>
      </c>
      <c r="AB863" s="2" t="str">
        <f t="shared" si="69"/>
        <v>Clean</v>
      </c>
      <c r="AC863" s="2"/>
    </row>
    <row r="864" spans="1:29">
      <c r="A864" s="1" t="s">
        <v>2651</v>
      </c>
      <c r="B864" s="2">
        <v>45742</v>
      </c>
      <c r="C864" s="2" t="str">
        <f t="shared" si="66"/>
        <v>March</v>
      </c>
      <c r="D864" s="1">
        <f t="shared" si="67"/>
        <v>2025</v>
      </c>
      <c r="E864" s="2">
        <v>45747</v>
      </c>
      <c r="F864" s="1" t="s">
        <v>2652</v>
      </c>
      <c r="G864" s="1" t="s">
        <v>122</v>
      </c>
      <c r="H864" s="1" t="s">
        <v>45</v>
      </c>
      <c r="I864" s="1" t="s">
        <v>46</v>
      </c>
      <c r="J864" s="1" t="s">
        <v>237</v>
      </c>
      <c r="K864" s="1" t="s">
        <v>238</v>
      </c>
      <c r="L864" s="1" t="s">
        <v>36</v>
      </c>
      <c r="M864" s="1" t="s">
        <v>161</v>
      </c>
      <c r="N864" s="1" t="s">
        <v>2653</v>
      </c>
      <c r="O864" s="1" t="s">
        <v>58</v>
      </c>
      <c r="P864" s="1">
        <v>5</v>
      </c>
      <c r="Q864" s="1">
        <v>1395.14</v>
      </c>
      <c r="R864" s="1">
        <v>0</v>
      </c>
      <c r="S864" s="1">
        <v>6975.7</v>
      </c>
      <c r="T864" s="1">
        <f t="shared" si="68"/>
        <v>6975.7000000000007</v>
      </c>
      <c r="U864" s="1">
        <v>4797.88</v>
      </c>
      <c r="V864" s="3">
        <f>IF(T864=0,"",X864/T864)</f>
        <v>0.3122009260719355</v>
      </c>
      <c r="W864" s="1">
        <v>2177.8200000000002</v>
      </c>
      <c r="X864" s="1">
        <f>T864-U864</f>
        <v>2177.8200000000006</v>
      </c>
      <c r="Y864" s="1" t="s">
        <v>40</v>
      </c>
      <c r="Z864" s="1" t="s">
        <v>76</v>
      </c>
      <c r="AA864" s="1">
        <f t="shared" si="65"/>
        <v>5</v>
      </c>
      <c r="AB864" s="2" t="str">
        <f t="shared" si="69"/>
        <v>Clean</v>
      </c>
      <c r="AC864" s="2"/>
    </row>
    <row r="865" spans="1:29">
      <c r="A865" s="1" t="s">
        <v>2654</v>
      </c>
      <c r="B865" s="2">
        <v>45906</v>
      </c>
      <c r="C865" s="2" t="str">
        <f t="shared" si="66"/>
        <v>September</v>
      </c>
      <c r="D865" s="1">
        <f t="shared" si="67"/>
        <v>2025</v>
      </c>
      <c r="E865" s="2">
        <v>45908</v>
      </c>
      <c r="F865" s="1" t="s">
        <v>2655</v>
      </c>
      <c r="G865" s="1" t="s">
        <v>136</v>
      </c>
      <c r="H865" s="1" t="s">
        <v>103</v>
      </c>
      <c r="I865" s="1" t="s">
        <v>71</v>
      </c>
      <c r="J865" s="1" t="s">
        <v>80</v>
      </c>
      <c r="K865" s="1" t="s">
        <v>81</v>
      </c>
      <c r="L865" s="1" t="s">
        <v>49</v>
      </c>
      <c r="M865" s="1" t="s">
        <v>65</v>
      </c>
      <c r="N865" s="1" t="s">
        <v>2656</v>
      </c>
      <c r="O865" s="1" t="s">
        <v>52</v>
      </c>
      <c r="P865" s="1">
        <v>3</v>
      </c>
      <c r="Q865" s="1">
        <v>2937.23</v>
      </c>
      <c r="R865" s="1">
        <v>0</v>
      </c>
      <c r="S865" s="1">
        <v>8811.69</v>
      </c>
      <c r="T865" s="1">
        <f t="shared" si="68"/>
        <v>8811.69</v>
      </c>
      <c r="U865" s="1">
        <v>6765.91</v>
      </c>
      <c r="V865" s="3">
        <f>IF(T865=0,"",X865/T865)</f>
        <v>0.23216658779416893</v>
      </c>
      <c r="W865" s="1">
        <v>2045.78</v>
      </c>
      <c r="X865" s="1">
        <f>T865-U865</f>
        <v>2045.7800000000007</v>
      </c>
      <c r="Y865" s="1" t="s">
        <v>40</v>
      </c>
      <c r="Z865" s="1" t="s">
        <v>41</v>
      </c>
      <c r="AA865" s="1">
        <f t="shared" si="65"/>
        <v>2</v>
      </c>
      <c r="AB865" s="2" t="str">
        <f t="shared" si="69"/>
        <v>Clean</v>
      </c>
      <c r="AC865" s="2"/>
    </row>
    <row r="866" spans="1:29">
      <c r="A866" s="1" t="s">
        <v>2657</v>
      </c>
      <c r="B866" s="2">
        <v>45697</v>
      </c>
      <c r="C866" s="2" t="str">
        <f t="shared" si="66"/>
        <v>February</v>
      </c>
      <c r="D866" s="1">
        <f t="shared" si="67"/>
        <v>2025</v>
      </c>
      <c r="E866" s="2">
        <v>45786</v>
      </c>
      <c r="F866" s="1" t="s">
        <v>2658</v>
      </c>
      <c r="G866" s="1" t="s">
        <v>79</v>
      </c>
      <c r="H866" s="1" t="s">
        <v>32</v>
      </c>
      <c r="I866" s="1" t="s">
        <v>62</v>
      </c>
      <c r="J866" s="1" t="s">
        <v>256</v>
      </c>
      <c r="K866" s="1" t="s">
        <v>257</v>
      </c>
      <c r="L866" s="1" t="s">
        <v>82</v>
      </c>
      <c r="M866" s="1" t="s">
        <v>179</v>
      </c>
      <c r="N866" s="1" t="s">
        <v>2659</v>
      </c>
      <c r="O866" s="1" t="s">
        <v>58</v>
      </c>
      <c r="P866" s="1">
        <v>5</v>
      </c>
      <c r="Q866" s="1">
        <v>3406.87</v>
      </c>
      <c r="R866" s="1">
        <v>0</v>
      </c>
      <c r="S866" s="1">
        <v>17034.349999999999</v>
      </c>
      <c r="T866" s="1">
        <f t="shared" si="68"/>
        <v>17034.349999999999</v>
      </c>
      <c r="U866" s="1">
        <v>14631.36</v>
      </c>
      <c r="V866" s="3">
        <f>IF(T866=0,"",X866/T866)</f>
        <v>0.14106731398615141</v>
      </c>
      <c r="W866" s="1">
        <v>2402.9899999999998</v>
      </c>
      <c r="X866" s="1">
        <f>T866-U866</f>
        <v>2402.989999999998</v>
      </c>
      <c r="Y866" s="1" t="s">
        <v>40</v>
      </c>
      <c r="Z866" s="1" t="s">
        <v>41</v>
      </c>
      <c r="AA866" s="1">
        <f t="shared" si="65"/>
        <v>89</v>
      </c>
      <c r="AB866" s="2" t="str">
        <f t="shared" si="69"/>
        <v>Clean</v>
      </c>
      <c r="AC866" s="2"/>
    </row>
    <row r="867" spans="1:29">
      <c r="A867" s="1" t="s">
        <v>2660</v>
      </c>
      <c r="B867" s="2">
        <v>45810</v>
      </c>
      <c r="C867" s="2" t="str">
        <f t="shared" si="66"/>
        <v>June</v>
      </c>
      <c r="D867" s="1">
        <f t="shared" si="67"/>
        <v>2025</v>
      </c>
      <c r="E867" s="2">
        <v>45702</v>
      </c>
      <c r="F867" s="1" t="s">
        <v>2661</v>
      </c>
      <c r="G867" s="1" t="s">
        <v>273</v>
      </c>
      <c r="H867" s="1" t="s">
        <v>32</v>
      </c>
      <c r="I867" s="1" t="s">
        <v>71</v>
      </c>
      <c r="J867" s="1" t="s">
        <v>72</v>
      </c>
      <c r="K867" s="1" t="s">
        <v>73</v>
      </c>
      <c r="L867" s="1" t="s">
        <v>36</v>
      </c>
      <c r="M867" s="1" t="s">
        <v>99</v>
      </c>
      <c r="N867" s="1" t="s">
        <v>2662</v>
      </c>
      <c r="O867" s="1" t="s">
        <v>39</v>
      </c>
      <c r="P867" s="1">
        <v>2</v>
      </c>
      <c r="Q867" s="1">
        <v>3992.04</v>
      </c>
      <c r="R867" s="1">
        <v>0</v>
      </c>
      <c r="S867" s="1">
        <v>7984.08</v>
      </c>
      <c r="T867" s="1">
        <f t="shared" si="68"/>
        <v>7984.08</v>
      </c>
      <c r="U867" s="1">
        <v>5658.05</v>
      </c>
      <c r="V867" s="3">
        <f>IF(T867=0,"",X867/T867)</f>
        <v>0.29133350367230787</v>
      </c>
      <c r="W867" s="1">
        <v>2326.0300000000002</v>
      </c>
      <c r="X867" s="1">
        <f>T867-U867</f>
        <v>2326.0299999999997</v>
      </c>
      <c r="Y867" s="1" t="s">
        <v>40</v>
      </c>
      <c r="Z867" s="1" t="s">
        <v>41</v>
      </c>
      <c r="AA867" s="4">
        <f t="shared" si="65"/>
        <v>-108</v>
      </c>
      <c r="AB867" s="2" t="str">
        <f t="shared" si="69"/>
        <v>Invalid</v>
      </c>
      <c r="AC867" s="2"/>
    </row>
    <row r="868" spans="1:29">
      <c r="A868" s="1" t="s">
        <v>2663</v>
      </c>
      <c r="B868" s="2">
        <v>45714</v>
      </c>
      <c r="C868" s="2" t="str">
        <f t="shared" si="66"/>
        <v>February</v>
      </c>
      <c r="D868" s="1">
        <f t="shared" si="67"/>
        <v>2025</v>
      </c>
      <c r="E868" s="2">
        <v>45811</v>
      </c>
      <c r="F868" s="1" t="s">
        <v>2664</v>
      </c>
      <c r="G868" s="1" t="s">
        <v>122</v>
      </c>
      <c r="H868" s="1" t="s">
        <v>32</v>
      </c>
      <c r="I868" s="1" t="s">
        <v>46</v>
      </c>
      <c r="J868" s="1" t="s">
        <v>153</v>
      </c>
      <c r="K868" s="1" t="s">
        <v>154</v>
      </c>
      <c r="L868" s="1" t="s">
        <v>49</v>
      </c>
      <c r="M868" s="1" t="s">
        <v>166</v>
      </c>
      <c r="N868" s="1" t="s">
        <v>2665</v>
      </c>
      <c r="O868" s="1" t="s">
        <v>58</v>
      </c>
      <c r="P868" s="1">
        <v>9</v>
      </c>
      <c r="Q868" s="1">
        <v>3043.37</v>
      </c>
      <c r="R868" s="1">
        <v>0.2</v>
      </c>
      <c r="S868" s="1">
        <v>21912.26</v>
      </c>
      <c r="T868" s="1">
        <f t="shared" si="68"/>
        <v>21912.263999999999</v>
      </c>
      <c r="U868" s="1">
        <v>16367.78</v>
      </c>
      <c r="V868" s="3">
        <f>IF(T868=0,"",X868/T868)</f>
        <v>0.25303108797885965</v>
      </c>
      <c r="W868" s="1">
        <v>5544.48</v>
      </c>
      <c r="X868" s="1">
        <f>T868-U868</f>
        <v>5544.4839999999986</v>
      </c>
      <c r="Y868" s="1" t="s">
        <v>119</v>
      </c>
      <c r="Z868" s="1" t="s">
        <v>76</v>
      </c>
      <c r="AA868" s="1">
        <f t="shared" si="65"/>
        <v>97</v>
      </c>
      <c r="AB868" s="2" t="str">
        <f t="shared" si="69"/>
        <v>Clean</v>
      </c>
      <c r="AC868" s="2"/>
    </row>
    <row r="869" spans="1:29">
      <c r="A869" s="1" t="s">
        <v>2666</v>
      </c>
      <c r="B869" s="2">
        <v>45617</v>
      </c>
      <c r="C869" s="2" t="str">
        <f t="shared" si="66"/>
        <v>November</v>
      </c>
      <c r="D869" s="1">
        <f t="shared" si="67"/>
        <v>2024</v>
      </c>
      <c r="E869" s="2">
        <v>45618</v>
      </c>
      <c r="F869" s="1" t="s">
        <v>2667</v>
      </c>
      <c r="G869" s="1" t="s">
        <v>126</v>
      </c>
      <c r="H869" s="1" t="s">
        <v>103</v>
      </c>
      <c r="I869" s="1" t="s">
        <v>62</v>
      </c>
      <c r="J869" s="1" t="s">
        <v>92</v>
      </c>
      <c r="K869" s="1" t="s">
        <v>93</v>
      </c>
      <c r="L869" s="1" t="s">
        <v>82</v>
      </c>
      <c r="M869" s="1" t="s">
        <v>83</v>
      </c>
      <c r="N869" s="1" t="s">
        <v>2668</v>
      </c>
      <c r="O869" s="1" t="s">
        <v>52</v>
      </c>
      <c r="P869" s="1">
        <v>6</v>
      </c>
      <c r="Q869" s="1">
        <v>1043.49</v>
      </c>
      <c r="R869" s="1">
        <v>0.25</v>
      </c>
      <c r="S869" s="1">
        <v>4695.7</v>
      </c>
      <c r="T869" s="1">
        <f t="shared" si="68"/>
        <v>4695.7049999999999</v>
      </c>
      <c r="U869" s="1">
        <v>3871.69</v>
      </c>
      <c r="V869" s="3">
        <f>IF(T869=0,"",X869/T869)</f>
        <v>0.17548270174553127</v>
      </c>
      <c r="W869" s="1">
        <v>824.01</v>
      </c>
      <c r="X869" s="1">
        <f>T869-U869</f>
        <v>824.01499999999987</v>
      </c>
      <c r="Y869" s="1" t="s">
        <v>163</v>
      </c>
      <c r="Z869" s="1" t="s">
        <v>76</v>
      </c>
      <c r="AA869" s="1">
        <f t="shared" si="65"/>
        <v>1</v>
      </c>
      <c r="AB869" s="2" t="str">
        <f t="shared" si="69"/>
        <v>Clean</v>
      </c>
      <c r="AC869" s="2"/>
    </row>
    <row r="870" spans="1:29">
      <c r="A870" s="1" t="s">
        <v>2669</v>
      </c>
      <c r="B870" s="2">
        <v>45965</v>
      </c>
      <c r="C870" s="2" t="str">
        <f t="shared" si="66"/>
        <v>November</v>
      </c>
      <c r="D870" s="1">
        <f t="shared" si="67"/>
        <v>2025</v>
      </c>
      <c r="E870" s="2">
        <v>45762</v>
      </c>
      <c r="F870" s="1" t="s">
        <v>2670</v>
      </c>
      <c r="G870" s="1" t="s">
        <v>79</v>
      </c>
      <c r="H870" s="1" t="s">
        <v>103</v>
      </c>
      <c r="I870" s="1" t="s">
        <v>62</v>
      </c>
      <c r="J870" s="1" t="s">
        <v>183</v>
      </c>
      <c r="K870" s="1" t="s">
        <v>184</v>
      </c>
      <c r="L870" s="1" t="s">
        <v>36</v>
      </c>
      <c r="M870" s="1" t="s">
        <v>132</v>
      </c>
      <c r="N870" s="1" t="s">
        <v>2671</v>
      </c>
      <c r="O870" s="1" t="s">
        <v>52</v>
      </c>
      <c r="P870" s="1">
        <v>9</v>
      </c>
      <c r="Q870" s="1">
        <v>224.94</v>
      </c>
      <c r="R870" s="1">
        <v>0.05</v>
      </c>
      <c r="S870" s="1">
        <v>1923.24</v>
      </c>
      <c r="T870" s="1">
        <f t="shared" si="68"/>
        <v>1923.2369999999999</v>
      </c>
      <c r="U870" s="1">
        <v>1093.6600000000001</v>
      </c>
      <c r="V870" s="3">
        <f>IF(T870=0,"",X870/T870)</f>
        <v>0.43134413491420964</v>
      </c>
      <c r="W870" s="1">
        <v>829.58</v>
      </c>
      <c r="X870" s="1">
        <f>T870-U870</f>
        <v>829.57699999999977</v>
      </c>
      <c r="Y870" s="1" t="s">
        <v>40</v>
      </c>
      <c r="Z870" s="1" t="s">
        <v>41</v>
      </c>
      <c r="AA870" s="4">
        <f t="shared" si="65"/>
        <v>-203</v>
      </c>
      <c r="AB870" s="2" t="str">
        <f t="shared" si="69"/>
        <v>Invalid</v>
      </c>
      <c r="AC870" s="2"/>
    </row>
    <row r="871" spans="1:29">
      <c r="A871" s="1" t="s">
        <v>2672</v>
      </c>
      <c r="B871" s="2">
        <v>45722</v>
      </c>
      <c r="C871" s="2" t="str">
        <f t="shared" si="66"/>
        <v>March</v>
      </c>
      <c r="D871" s="1">
        <f t="shared" si="67"/>
        <v>2025</v>
      </c>
      <c r="E871" s="2">
        <v>45841</v>
      </c>
      <c r="F871" s="1" t="s">
        <v>2673</v>
      </c>
      <c r="G871" s="1" t="s">
        <v>149</v>
      </c>
      <c r="H871" s="1" t="s">
        <v>103</v>
      </c>
      <c r="I871" s="1" t="s">
        <v>213</v>
      </c>
      <c r="J871" s="1" t="s">
        <v>359</v>
      </c>
      <c r="K871" s="1" t="s">
        <v>360</v>
      </c>
      <c r="L871" s="1" t="s">
        <v>49</v>
      </c>
      <c r="M871" s="1" t="s">
        <v>74</v>
      </c>
      <c r="N871" s="1" t="s">
        <v>1146</v>
      </c>
      <c r="O871" s="1" t="s">
        <v>52</v>
      </c>
      <c r="P871" s="1">
        <v>6</v>
      </c>
      <c r="Q871" s="1">
        <v>796.65</v>
      </c>
      <c r="R871" s="1">
        <v>0.1</v>
      </c>
      <c r="S871" s="1">
        <v>4301.91</v>
      </c>
      <c r="T871" s="1">
        <f t="shared" si="68"/>
        <v>4301.91</v>
      </c>
      <c r="U871" s="1">
        <v>2374.4</v>
      </c>
      <c r="V871" s="3">
        <f>IF(T871=0,"",X871/T871)</f>
        <v>0.44805911792668834</v>
      </c>
      <c r="W871" s="1">
        <v>1927.51</v>
      </c>
      <c r="X871" s="1">
        <f>T871-U871</f>
        <v>1927.5099999999998</v>
      </c>
      <c r="Y871" s="1" t="s">
        <v>40</v>
      </c>
      <c r="Z871" s="1" t="s">
        <v>41</v>
      </c>
      <c r="AA871" s="1">
        <f t="shared" si="65"/>
        <v>119</v>
      </c>
      <c r="AB871" s="2" t="str">
        <f t="shared" si="69"/>
        <v>Warning</v>
      </c>
      <c r="AC871" s="2"/>
    </row>
    <row r="872" spans="1:29">
      <c r="A872" s="1" t="s">
        <v>2674</v>
      </c>
      <c r="B872" s="2">
        <v>45814</v>
      </c>
      <c r="C872" s="2" t="str">
        <f t="shared" si="66"/>
        <v>June</v>
      </c>
      <c r="D872" s="1">
        <f t="shared" si="67"/>
        <v>2025</v>
      </c>
      <c r="E872" s="2">
        <v>45844</v>
      </c>
      <c r="F872" s="1" t="s">
        <v>2675</v>
      </c>
      <c r="G872" s="1" t="s">
        <v>79</v>
      </c>
      <c r="H872" s="1" t="s">
        <v>98</v>
      </c>
      <c r="I872" s="1" t="s">
        <v>71</v>
      </c>
      <c r="J872" s="1" t="s">
        <v>198</v>
      </c>
      <c r="K872" s="1" t="s">
        <v>199</v>
      </c>
      <c r="L872" s="1" t="s">
        <v>49</v>
      </c>
      <c r="M872" s="1" t="s">
        <v>50</v>
      </c>
      <c r="N872" s="1" t="s">
        <v>2676</v>
      </c>
      <c r="O872" s="1" t="s">
        <v>67</v>
      </c>
      <c r="P872" s="1">
        <v>9</v>
      </c>
      <c r="Q872" s="1">
        <v>2932.92</v>
      </c>
      <c r="R872" s="1">
        <v>0.15</v>
      </c>
      <c r="S872" s="1">
        <v>22436.84</v>
      </c>
      <c r="T872" s="1">
        <f t="shared" si="68"/>
        <v>22436.838</v>
      </c>
      <c r="U872" s="1">
        <v>17454.669999999998</v>
      </c>
      <c r="V872" s="3">
        <f>IF(T872=0,"",X872/T872)</f>
        <v>0.22205303617203109</v>
      </c>
      <c r="W872" s="1">
        <v>4982.17</v>
      </c>
      <c r="X872" s="1">
        <f>T872-U872</f>
        <v>4982.1680000000015</v>
      </c>
      <c r="Y872" s="1" t="s">
        <v>40</v>
      </c>
      <c r="Z872" s="1" t="s">
        <v>76</v>
      </c>
      <c r="AA872" s="1">
        <f t="shared" si="65"/>
        <v>30</v>
      </c>
      <c r="AB872" s="2" t="str">
        <f t="shared" si="69"/>
        <v>Clean</v>
      </c>
      <c r="AC872" s="2"/>
    </row>
    <row r="873" spans="1:29">
      <c r="A873" s="1" t="s">
        <v>2677</v>
      </c>
      <c r="B873" s="2">
        <v>45342</v>
      </c>
      <c r="C873" s="2" t="str">
        <f t="shared" si="66"/>
        <v>February</v>
      </c>
      <c r="D873" s="1">
        <f t="shared" si="67"/>
        <v>2024</v>
      </c>
      <c r="E873" s="2">
        <v>45344</v>
      </c>
      <c r="F873" s="1" t="s">
        <v>2548</v>
      </c>
      <c r="G873" s="1" t="s">
        <v>87</v>
      </c>
      <c r="H873" s="1" t="s">
        <v>45</v>
      </c>
      <c r="I873" s="1" t="s">
        <v>62</v>
      </c>
      <c r="J873" s="1" t="s">
        <v>63</v>
      </c>
      <c r="K873" s="1" t="s">
        <v>64</v>
      </c>
      <c r="L873" s="1" t="s">
        <v>82</v>
      </c>
      <c r="M873" s="1" t="s">
        <v>83</v>
      </c>
      <c r="N873" s="1" t="s">
        <v>2678</v>
      </c>
      <c r="O873" s="1" t="s">
        <v>58</v>
      </c>
      <c r="P873" s="1">
        <v>9</v>
      </c>
      <c r="Q873" s="1">
        <v>2186.23</v>
      </c>
      <c r="R873" s="1">
        <v>0</v>
      </c>
      <c r="S873" s="1">
        <v>19676.07</v>
      </c>
      <c r="T873" s="1">
        <f t="shared" si="68"/>
        <v>19676.07</v>
      </c>
      <c r="U873" s="1">
        <v>12458.62</v>
      </c>
      <c r="V873" s="3">
        <f>IF(T873=0,"",X873/T873)</f>
        <v>0.36681359641432454</v>
      </c>
      <c r="W873" s="1">
        <v>7217.45</v>
      </c>
      <c r="X873" s="1">
        <f>T873-U873</f>
        <v>7217.4499999999989</v>
      </c>
      <c r="Y873" s="1" t="s">
        <v>110</v>
      </c>
      <c r="Z873" s="1" t="s">
        <v>76</v>
      </c>
      <c r="AA873" s="1">
        <f t="shared" si="65"/>
        <v>2</v>
      </c>
      <c r="AB873" s="2" t="str">
        <f t="shared" si="69"/>
        <v>Clean</v>
      </c>
      <c r="AC873" s="2"/>
    </row>
    <row r="874" spans="1:29">
      <c r="A874" s="1" t="s">
        <v>2679</v>
      </c>
      <c r="B874" s="2">
        <v>45597</v>
      </c>
      <c r="C874" s="2" t="str">
        <f t="shared" si="66"/>
        <v>November</v>
      </c>
      <c r="D874" s="1">
        <f t="shared" si="67"/>
        <v>2024</v>
      </c>
      <c r="E874" s="2">
        <v>45333</v>
      </c>
      <c r="F874" s="1" t="s">
        <v>1956</v>
      </c>
      <c r="G874" s="1" t="s">
        <v>31</v>
      </c>
      <c r="H874" s="1" t="s">
        <v>98</v>
      </c>
      <c r="I874" s="1" t="s">
        <v>46</v>
      </c>
      <c r="J874" s="1" t="s">
        <v>107</v>
      </c>
      <c r="K874" s="1" t="s">
        <v>108</v>
      </c>
      <c r="L874" s="1" t="s">
        <v>49</v>
      </c>
      <c r="M874" s="1" t="s">
        <v>65</v>
      </c>
      <c r="N874" s="1" t="s">
        <v>2680</v>
      </c>
      <c r="O874" s="1" t="s">
        <v>67</v>
      </c>
      <c r="P874" s="1">
        <v>5</v>
      </c>
      <c r="Q874" s="1">
        <v>2212.02</v>
      </c>
      <c r="R874" s="1">
        <v>0.2</v>
      </c>
      <c r="S874" s="1">
        <v>8848.08</v>
      </c>
      <c r="T874" s="1">
        <f t="shared" si="68"/>
        <v>8848.08</v>
      </c>
      <c r="U874" s="1">
        <v>5691.56</v>
      </c>
      <c r="V874" s="3">
        <f>IF(T874=0,"",X874/T874)</f>
        <v>0.35674632236598219</v>
      </c>
      <c r="W874" s="1">
        <v>3156.52</v>
      </c>
      <c r="X874" s="1">
        <f>T874-U874</f>
        <v>3156.5199999999995</v>
      </c>
      <c r="Y874" s="1" t="s">
        <v>40</v>
      </c>
      <c r="Z874" s="1" t="s">
        <v>41</v>
      </c>
      <c r="AA874" s="4">
        <f t="shared" si="65"/>
        <v>-264</v>
      </c>
      <c r="AB874" s="2" t="str">
        <f t="shared" si="69"/>
        <v>Invalid</v>
      </c>
      <c r="AC874" s="2"/>
    </row>
    <row r="875" spans="1:29">
      <c r="A875" s="1" t="s">
        <v>2681</v>
      </c>
      <c r="B875" s="2">
        <v>45659</v>
      </c>
      <c r="C875" s="2" t="str">
        <f t="shared" si="66"/>
        <v>January</v>
      </c>
      <c r="D875" s="1">
        <f t="shared" si="67"/>
        <v>2025</v>
      </c>
      <c r="E875" s="2">
        <v>45871</v>
      </c>
      <c r="F875" s="1" t="s">
        <v>2682</v>
      </c>
      <c r="G875" s="1" t="s">
        <v>97</v>
      </c>
      <c r="H875" s="1" t="s">
        <v>103</v>
      </c>
      <c r="I875" s="1" t="s">
        <v>71</v>
      </c>
      <c r="J875" s="1" t="s">
        <v>188</v>
      </c>
      <c r="K875" s="1" t="s">
        <v>189</v>
      </c>
      <c r="L875" s="1" t="s">
        <v>36</v>
      </c>
      <c r="M875" s="1" t="s">
        <v>132</v>
      </c>
      <c r="N875" s="1" t="s">
        <v>2683</v>
      </c>
      <c r="O875" s="1" t="s">
        <v>39</v>
      </c>
      <c r="P875" s="1">
        <v>8</v>
      </c>
      <c r="Q875" s="1">
        <v>623.30999999999995</v>
      </c>
      <c r="R875" s="1">
        <v>0.1</v>
      </c>
      <c r="S875" s="1">
        <v>4487.83</v>
      </c>
      <c r="T875" s="1">
        <f t="shared" si="68"/>
        <v>4487.8319999999994</v>
      </c>
      <c r="U875" s="1">
        <v>2633.78</v>
      </c>
      <c r="V875" s="3">
        <f>IF(T875=0,"",X875/T875)</f>
        <v>0.41312865543986482</v>
      </c>
      <c r="W875" s="1">
        <v>1854.05</v>
      </c>
      <c r="X875" s="1">
        <f>T875-U875</f>
        <v>1854.0519999999992</v>
      </c>
      <c r="Y875" s="1" t="s">
        <v>40</v>
      </c>
      <c r="Z875" s="1" t="s">
        <v>41</v>
      </c>
      <c r="AA875" s="1">
        <f t="shared" si="65"/>
        <v>212</v>
      </c>
      <c r="AB875" s="2" t="str">
        <f t="shared" si="69"/>
        <v>Clean</v>
      </c>
      <c r="AC875" s="2"/>
    </row>
    <row r="876" spans="1:29">
      <c r="A876" s="1" t="s">
        <v>2684</v>
      </c>
      <c r="B876" s="2">
        <v>45853</v>
      </c>
      <c r="C876" s="2" t="str">
        <f t="shared" si="66"/>
        <v>July</v>
      </c>
      <c r="D876" s="1">
        <f t="shared" si="67"/>
        <v>2025</v>
      </c>
      <c r="E876" s="2">
        <v>45854</v>
      </c>
      <c r="F876" s="1" t="s">
        <v>2685</v>
      </c>
      <c r="G876" s="1" t="s">
        <v>79</v>
      </c>
      <c r="H876" s="1" t="s">
        <v>45</v>
      </c>
      <c r="I876" s="1" t="s">
        <v>71</v>
      </c>
      <c r="J876" s="1" t="s">
        <v>72</v>
      </c>
      <c r="K876" s="1" t="s">
        <v>73</v>
      </c>
      <c r="L876" s="1" t="s">
        <v>36</v>
      </c>
      <c r="M876" s="1" t="s">
        <v>37</v>
      </c>
      <c r="N876" s="1" t="s">
        <v>2686</v>
      </c>
      <c r="O876" s="1" t="s">
        <v>67</v>
      </c>
      <c r="P876" s="1">
        <v>8</v>
      </c>
      <c r="Q876" s="1">
        <v>3924.88</v>
      </c>
      <c r="R876" s="1">
        <v>0.05</v>
      </c>
      <c r="S876" s="1">
        <v>29829.09</v>
      </c>
      <c r="T876" s="1">
        <f t="shared" si="68"/>
        <v>29829.088</v>
      </c>
      <c r="U876" s="1">
        <v>20710.18</v>
      </c>
      <c r="V876" s="3">
        <f>IF(T876=0,"",X876/T876)</f>
        <v>0.30570522303598419</v>
      </c>
      <c r="W876" s="1">
        <v>9118.91</v>
      </c>
      <c r="X876" s="1">
        <f>T876-U876</f>
        <v>9118.9079999999994</v>
      </c>
      <c r="Y876" s="1" t="s">
        <v>40</v>
      </c>
      <c r="Z876" s="1" t="s">
        <v>41</v>
      </c>
      <c r="AA876" s="1">
        <f t="shared" si="65"/>
        <v>1</v>
      </c>
      <c r="AB876" s="2" t="str">
        <f t="shared" si="69"/>
        <v>Clean</v>
      </c>
      <c r="AC876" s="2"/>
    </row>
    <row r="877" spans="1:29">
      <c r="A877" s="1" t="s">
        <v>2687</v>
      </c>
      <c r="B877" s="2">
        <v>45573</v>
      </c>
      <c r="C877" s="2" t="str">
        <f t="shared" si="66"/>
        <v>October</v>
      </c>
      <c r="D877" s="1">
        <f t="shared" si="67"/>
        <v>2024</v>
      </c>
      <c r="E877" s="2">
        <v>45515</v>
      </c>
      <c r="F877" s="1" t="s">
        <v>2688</v>
      </c>
      <c r="G877" s="1" t="s">
        <v>44</v>
      </c>
      <c r="H877" s="1" t="s">
        <v>98</v>
      </c>
      <c r="I877" s="1" t="s">
        <v>71</v>
      </c>
      <c r="J877" s="1" t="s">
        <v>72</v>
      </c>
      <c r="K877" s="1" t="s">
        <v>73</v>
      </c>
      <c r="L877" s="1" t="s">
        <v>82</v>
      </c>
      <c r="M877" s="1" t="s">
        <v>88</v>
      </c>
      <c r="N877" s="1" t="s">
        <v>2689</v>
      </c>
      <c r="O877" s="1" t="s">
        <v>58</v>
      </c>
      <c r="P877" s="1">
        <v>7</v>
      </c>
      <c r="Q877" s="1">
        <v>3852.62</v>
      </c>
      <c r="R877" s="1">
        <v>0.2</v>
      </c>
      <c r="S877" s="1">
        <v>21574.67</v>
      </c>
      <c r="T877" s="1">
        <f t="shared" si="68"/>
        <v>21574.672000000002</v>
      </c>
      <c r="U877" s="1">
        <v>14672.83</v>
      </c>
      <c r="V877" s="3">
        <f>IF(T877=0,"",X877/T877)</f>
        <v>0.31990484026825539</v>
      </c>
      <c r="W877" s="1">
        <v>6901.84</v>
      </c>
      <c r="X877" s="1">
        <f>T877-U877</f>
        <v>6901.8420000000024</v>
      </c>
      <c r="Y877" s="1" t="s">
        <v>40</v>
      </c>
      <c r="Z877" s="1" t="s">
        <v>41</v>
      </c>
      <c r="AA877" s="4">
        <f t="shared" si="65"/>
        <v>-58</v>
      </c>
      <c r="AB877" s="2" t="str">
        <f t="shared" si="69"/>
        <v>Invalid</v>
      </c>
      <c r="AC877" s="2"/>
    </row>
    <row r="878" spans="1:29">
      <c r="A878" s="1" t="s">
        <v>2690</v>
      </c>
      <c r="B878" s="2">
        <v>45614</v>
      </c>
      <c r="C878" s="2" t="str">
        <f t="shared" si="66"/>
        <v>November</v>
      </c>
      <c r="D878" s="1">
        <f t="shared" si="67"/>
        <v>2024</v>
      </c>
      <c r="E878" s="2">
        <v>45616</v>
      </c>
      <c r="F878" s="1" t="s">
        <v>2691</v>
      </c>
      <c r="G878" s="1" t="s">
        <v>122</v>
      </c>
      <c r="H878" s="1" t="s">
        <v>32</v>
      </c>
      <c r="I878" s="1" t="s">
        <v>71</v>
      </c>
      <c r="J878" s="1" t="s">
        <v>34</v>
      </c>
      <c r="K878" s="1" t="s">
        <v>117</v>
      </c>
      <c r="L878" s="1" t="s">
        <v>49</v>
      </c>
      <c r="M878" s="1" t="s">
        <v>74</v>
      </c>
      <c r="N878" s="1" t="s">
        <v>849</v>
      </c>
      <c r="O878" s="1" t="s">
        <v>58</v>
      </c>
      <c r="P878" s="1">
        <v>6</v>
      </c>
      <c r="Q878" s="1">
        <v>3790.22</v>
      </c>
      <c r="R878" s="1">
        <v>0</v>
      </c>
      <c r="S878" s="1">
        <v>22741.32</v>
      </c>
      <c r="T878" s="1">
        <f t="shared" si="68"/>
        <v>22741.32</v>
      </c>
      <c r="U878" s="1">
        <v>16388.57</v>
      </c>
      <c r="V878" s="3">
        <f>IF(T878=0,"",X878/T878)</f>
        <v>0.27934834037777928</v>
      </c>
      <c r="W878" s="1">
        <v>6352.75</v>
      </c>
      <c r="X878" s="1">
        <f>T878-U878</f>
        <v>6352.75</v>
      </c>
      <c r="Y878" s="1" t="s">
        <v>40</v>
      </c>
      <c r="Z878" s="1" t="s">
        <v>41</v>
      </c>
      <c r="AA878" s="1">
        <f t="shared" si="65"/>
        <v>2</v>
      </c>
      <c r="AB878" s="2" t="str">
        <f t="shared" si="69"/>
        <v>Clean</v>
      </c>
      <c r="AC878" s="2"/>
    </row>
    <row r="879" spans="1:29">
      <c r="A879" s="1" t="s">
        <v>2692</v>
      </c>
      <c r="B879" s="2">
        <v>45895</v>
      </c>
      <c r="C879" s="2" t="str">
        <f t="shared" si="66"/>
        <v>August</v>
      </c>
      <c r="D879" s="1">
        <f t="shared" si="67"/>
        <v>2025</v>
      </c>
      <c r="E879" s="2">
        <v>45725</v>
      </c>
      <c r="F879" s="1" t="s">
        <v>2693</v>
      </c>
      <c r="G879" s="1" t="s">
        <v>136</v>
      </c>
      <c r="H879" s="1" t="s">
        <v>32</v>
      </c>
      <c r="I879" s="1" t="s">
        <v>71</v>
      </c>
      <c r="J879" s="1" t="s">
        <v>34</v>
      </c>
      <c r="K879" s="1" t="s">
        <v>117</v>
      </c>
      <c r="L879" s="1" t="s">
        <v>36</v>
      </c>
      <c r="M879" s="1" t="s">
        <v>132</v>
      </c>
      <c r="N879" s="1" t="s">
        <v>2694</v>
      </c>
      <c r="O879" s="1" t="s">
        <v>39</v>
      </c>
      <c r="P879" s="1">
        <v>6</v>
      </c>
      <c r="Q879" s="1">
        <v>674.36</v>
      </c>
      <c r="R879" s="1">
        <v>0.1</v>
      </c>
      <c r="S879" s="1">
        <v>3641.54</v>
      </c>
      <c r="T879" s="1">
        <f t="shared" si="68"/>
        <v>3641.5439999999999</v>
      </c>
      <c r="U879" s="1">
        <v>2690.37</v>
      </c>
      <c r="V879" s="3">
        <f>IF(T879=0,"",X879/T879)</f>
        <v>0.26120074342092253</v>
      </c>
      <c r="W879" s="1">
        <v>951.17</v>
      </c>
      <c r="X879" s="1">
        <f>T879-U879</f>
        <v>951.17399999999998</v>
      </c>
      <c r="Y879" s="1" t="s">
        <v>40</v>
      </c>
      <c r="Z879" s="1" t="s">
        <v>41</v>
      </c>
      <c r="AA879" s="4">
        <f t="shared" si="65"/>
        <v>-170</v>
      </c>
      <c r="AB879" s="2" t="str">
        <f t="shared" si="69"/>
        <v>Invalid</v>
      </c>
      <c r="AC879" s="2"/>
    </row>
    <row r="880" spans="1:29">
      <c r="A880" s="1" t="s">
        <v>2695</v>
      </c>
      <c r="B880" s="2">
        <v>45313</v>
      </c>
      <c r="C880" s="2" t="str">
        <f t="shared" si="66"/>
        <v>January</v>
      </c>
      <c r="D880" s="1">
        <f t="shared" si="67"/>
        <v>2024</v>
      </c>
      <c r="E880" s="2">
        <v>45313</v>
      </c>
      <c r="F880" s="1" t="s">
        <v>2696</v>
      </c>
      <c r="G880" s="1" t="s">
        <v>31</v>
      </c>
      <c r="H880" s="1" t="s">
        <v>98</v>
      </c>
      <c r="I880" s="1" t="s">
        <v>46</v>
      </c>
      <c r="J880" s="1" t="s">
        <v>107</v>
      </c>
      <c r="K880" s="1" t="s">
        <v>108</v>
      </c>
      <c r="L880" s="1" t="s">
        <v>36</v>
      </c>
      <c r="M880" s="1" t="s">
        <v>37</v>
      </c>
      <c r="N880" s="1" t="s">
        <v>2697</v>
      </c>
      <c r="O880" s="1" t="s">
        <v>58</v>
      </c>
      <c r="P880" s="1">
        <v>8</v>
      </c>
      <c r="Q880" s="1">
        <v>1557.21</v>
      </c>
      <c r="R880" s="1">
        <v>0.05</v>
      </c>
      <c r="S880" s="1">
        <v>11834.8</v>
      </c>
      <c r="T880" s="1">
        <f t="shared" si="68"/>
        <v>11834.796</v>
      </c>
      <c r="U880" s="1">
        <v>9322.36</v>
      </c>
      <c r="V880" s="3">
        <f>IF(T880=0,"",X880/T880)</f>
        <v>0.21229229468763125</v>
      </c>
      <c r="W880" s="1">
        <v>2512.44</v>
      </c>
      <c r="X880" s="1">
        <f>T880-U880</f>
        <v>2512.4359999999997</v>
      </c>
      <c r="Y880" s="1" t="s">
        <v>40</v>
      </c>
      <c r="Z880" s="1" t="s">
        <v>41</v>
      </c>
      <c r="AA880" s="1">
        <f t="shared" si="65"/>
        <v>0</v>
      </c>
      <c r="AB880" s="2" t="str">
        <f t="shared" si="69"/>
        <v>Clean</v>
      </c>
      <c r="AC880" s="2"/>
    </row>
    <row r="881" spans="1:29">
      <c r="A881" s="1" t="s">
        <v>2698</v>
      </c>
      <c r="B881" s="2">
        <v>45896</v>
      </c>
      <c r="C881" s="2" t="str">
        <f t="shared" si="66"/>
        <v>August</v>
      </c>
      <c r="D881" s="1">
        <f t="shared" si="67"/>
        <v>2025</v>
      </c>
      <c r="E881" s="2">
        <v>45897</v>
      </c>
      <c r="F881" s="1" t="s">
        <v>2699</v>
      </c>
      <c r="G881" s="1" t="s">
        <v>70</v>
      </c>
      <c r="H881" s="1" t="s">
        <v>103</v>
      </c>
      <c r="I881" s="1" t="s">
        <v>33</v>
      </c>
      <c r="J881" s="1" t="s">
        <v>144</v>
      </c>
      <c r="K881" s="1" t="s">
        <v>145</v>
      </c>
      <c r="L881" s="1" t="s">
        <v>36</v>
      </c>
      <c r="M881" s="1" t="s">
        <v>56</v>
      </c>
      <c r="N881" s="1" t="s">
        <v>2700</v>
      </c>
      <c r="O881" s="1" t="s">
        <v>67</v>
      </c>
      <c r="P881" s="1">
        <v>6</v>
      </c>
      <c r="Q881" s="1">
        <v>1182.03</v>
      </c>
      <c r="R881" s="1">
        <v>0.15</v>
      </c>
      <c r="S881" s="1">
        <v>6028.35</v>
      </c>
      <c r="T881" s="1">
        <f t="shared" si="68"/>
        <v>6028.3530000000001</v>
      </c>
      <c r="U881" s="1">
        <v>4433.63</v>
      </c>
      <c r="V881" s="3">
        <f>IF(T881=0,"",X881/T881)</f>
        <v>0.26453709661660491</v>
      </c>
      <c r="W881" s="1">
        <v>1594.72</v>
      </c>
      <c r="X881" s="1">
        <f>T881-U881</f>
        <v>1594.723</v>
      </c>
      <c r="Y881" s="1" t="s">
        <v>40</v>
      </c>
      <c r="Z881" s="1" t="s">
        <v>41</v>
      </c>
      <c r="AA881" s="1">
        <f t="shared" si="65"/>
        <v>1</v>
      </c>
      <c r="AB881" s="2" t="str">
        <f t="shared" si="69"/>
        <v>Clean</v>
      </c>
      <c r="AC881" s="2"/>
    </row>
    <row r="882" spans="1:29">
      <c r="A882" s="1" t="s">
        <v>2701</v>
      </c>
      <c r="B882" s="2">
        <v>45507</v>
      </c>
      <c r="C882" s="2" t="str">
        <f t="shared" si="66"/>
        <v>August</v>
      </c>
      <c r="D882" s="1">
        <f t="shared" si="67"/>
        <v>2024</v>
      </c>
      <c r="E882" s="2">
        <v>45366</v>
      </c>
      <c r="F882" s="1" t="s">
        <v>2702</v>
      </c>
      <c r="G882" s="1" t="s">
        <v>136</v>
      </c>
      <c r="H882" s="1" t="s">
        <v>45</v>
      </c>
      <c r="I882" s="1" t="s">
        <v>213</v>
      </c>
      <c r="J882" s="1" t="s">
        <v>130</v>
      </c>
      <c r="K882" s="1" t="s">
        <v>131</v>
      </c>
      <c r="L882" s="1" t="s">
        <v>49</v>
      </c>
      <c r="M882" s="1" t="s">
        <v>74</v>
      </c>
      <c r="N882" s="1" t="s">
        <v>2703</v>
      </c>
      <c r="O882" s="1" t="s">
        <v>58</v>
      </c>
      <c r="P882" s="1">
        <v>5</v>
      </c>
      <c r="Q882" s="1">
        <v>3234.77</v>
      </c>
      <c r="R882" s="1">
        <v>0</v>
      </c>
      <c r="S882" s="1">
        <v>16173.85</v>
      </c>
      <c r="T882" s="1">
        <f t="shared" si="68"/>
        <v>16173.85</v>
      </c>
      <c r="U882" s="1">
        <v>13636.34</v>
      </c>
      <c r="V882" s="3">
        <f>IF(T882=0,"",X882/T882)</f>
        <v>0.15688967067210344</v>
      </c>
      <c r="W882" s="1">
        <v>2537.5100000000002</v>
      </c>
      <c r="X882" s="1">
        <f>T882-U882</f>
        <v>2537.5100000000002</v>
      </c>
      <c r="Y882" s="1" t="s">
        <v>40</v>
      </c>
      <c r="Z882" s="1" t="s">
        <v>41</v>
      </c>
      <c r="AA882" s="4">
        <f t="shared" si="65"/>
        <v>-141</v>
      </c>
      <c r="AB882" s="2" t="s">
        <v>459</v>
      </c>
      <c r="AC882" s="2"/>
    </row>
    <row r="883" spans="1:29">
      <c r="A883" s="1" t="s">
        <v>2704</v>
      </c>
      <c r="B883" s="2">
        <v>45303</v>
      </c>
      <c r="C883" s="2" t="str">
        <f t="shared" si="66"/>
        <v>January</v>
      </c>
      <c r="D883" s="1">
        <f t="shared" si="67"/>
        <v>2024</v>
      </c>
      <c r="E883" s="2">
        <v>45424</v>
      </c>
      <c r="F883" s="1" t="s">
        <v>2705</v>
      </c>
      <c r="G883" s="1" t="s">
        <v>70</v>
      </c>
      <c r="H883" s="1" t="s">
        <v>45</v>
      </c>
      <c r="I883" s="1" t="s">
        <v>62</v>
      </c>
      <c r="J883" s="1" t="s">
        <v>92</v>
      </c>
      <c r="K883" s="1" t="s">
        <v>93</v>
      </c>
      <c r="L883" s="1" t="s">
        <v>82</v>
      </c>
      <c r="M883" s="1" t="s">
        <v>88</v>
      </c>
      <c r="N883" s="1" t="s">
        <v>2706</v>
      </c>
      <c r="O883" s="1" t="s">
        <v>39</v>
      </c>
      <c r="P883" s="1">
        <v>9</v>
      </c>
      <c r="Q883" s="1">
        <v>3726.75</v>
      </c>
      <c r="R883" s="1">
        <v>0.25</v>
      </c>
      <c r="S883" s="1">
        <v>25155.56</v>
      </c>
      <c r="T883" s="1">
        <f t="shared" si="68"/>
        <v>25155.5625</v>
      </c>
      <c r="U883" s="1">
        <v>17592.689999999999</v>
      </c>
      <c r="V883" s="3">
        <f>IF(T883=0,"",X883/T883)</f>
        <v>0.30064414182747856</v>
      </c>
      <c r="W883" s="1">
        <v>7562.87</v>
      </c>
      <c r="X883" s="1">
        <f>T883-U883</f>
        <v>7562.8725000000013</v>
      </c>
      <c r="Y883" s="1" t="s">
        <v>40</v>
      </c>
      <c r="Z883" s="1" t="s">
        <v>41</v>
      </c>
      <c r="AA883" s="1">
        <f t="shared" si="65"/>
        <v>121</v>
      </c>
      <c r="AB883" s="2" t="str">
        <f t="shared" si="69"/>
        <v>Clean</v>
      </c>
      <c r="AC883" s="2"/>
    </row>
    <row r="884" spans="1:29">
      <c r="A884" s="1" t="s">
        <v>2707</v>
      </c>
      <c r="B884" s="2">
        <v>45690</v>
      </c>
      <c r="C884" s="2" t="str">
        <f t="shared" si="66"/>
        <v>February</v>
      </c>
      <c r="D884" s="1">
        <f t="shared" si="67"/>
        <v>2025</v>
      </c>
      <c r="E884" s="2">
        <v>45698</v>
      </c>
      <c r="F884" s="1" t="s">
        <v>2708</v>
      </c>
      <c r="G884" s="1" t="s">
        <v>140</v>
      </c>
      <c r="H884" s="1" t="s">
        <v>98</v>
      </c>
      <c r="I884" s="1" t="s">
        <v>46</v>
      </c>
      <c r="J884" s="1" t="s">
        <v>153</v>
      </c>
      <c r="K884" s="1" t="s">
        <v>154</v>
      </c>
      <c r="L884" s="1" t="s">
        <v>82</v>
      </c>
      <c r="M884" s="1" t="s">
        <v>83</v>
      </c>
      <c r="N884" s="1" t="s">
        <v>2709</v>
      </c>
      <c r="O884" s="1" t="s">
        <v>67</v>
      </c>
      <c r="P884" s="1">
        <v>4</v>
      </c>
      <c r="Q884" s="1">
        <v>1912.45</v>
      </c>
      <c r="R884" s="1">
        <v>0</v>
      </c>
      <c r="S884" s="1">
        <v>7649.8</v>
      </c>
      <c r="T884" s="1">
        <f t="shared" si="68"/>
        <v>7649.8</v>
      </c>
      <c r="U884" s="1">
        <v>4894.53</v>
      </c>
      <c r="V884" s="3">
        <f>IF(T884=0,"",X884/T884)</f>
        <v>0.36017542942299152</v>
      </c>
      <c r="W884" s="1">
        <v>2755.27</v>
      </c>
      <c r="X884" s="1">
        <f>T884-U884</f>
        <v>2755.2700000000004</v>
      </c>
      <c r="Y884" s="1" t="s">
        <v>119</v>
      </c>
      <c r="Z884" s="1" t="s">
        <v>111</v>
      </c>
      <c r="AA884" s="1">
        <f t="shared" si="65"/>
        <v>8</v>
      </c>
      <c r="AB884" s="2" t="str">
        <f t="shared" si="69"/>
        <v>Clean</v>
      </c>
      <c r="AC884" s="2"/>
    </row>
    <row r="885" spans="1:29">
      <c r="A885" s="1" t="s">
        <v>2710</v>
      </c>
      <c r="B885" s="2">
        <v>45775</v>
      </c>
      <c r="C885" s="2" t="str">
        <f t="shared" si="66"/>
        <v>April</v>
      </c>
      <c r="D885" s="1">
        <f t="shared" si="67"/>
        <v>2025</v>
      </c>
      <c r="E885" s="2">
        <v>45778</v>
      </c>
      <c r="F885" s="1" t="s">
        <v>2711</v>
      </c>
      <c r="G885" s="1" t="s">
        <v>136</v>
      </c>
      <c r="H885" s="1" t="s">
        <v>45</v>
      </c>
      <c r="I885" s="1" t="s">
        <v>71</v>
      </c>
      <c r="J885" s="1" t="s">
        <v>198</v>
      </c>
      <c r="K885" s="1" t="s">
        <v>199</v>
      </c>
      <c r="L885" s="1" t="s">
        <v>36</v>
      </c>
      <c r="M885" s="1" t="s">
        <v>132</v>
      </c>
      <c r="N885" s="1" t="s">
        <v>2712</v>
      </c>
      <c r="O885" s="1" t="s">
        <v>52</v>
      </c>
      <c r="P885" s="1">
        <v>1</v>
      </c>
      <c r="Q885" s="1">
        <v>1620.87</v>
      </c>
      <c r="R885" s="1">
        <v>0</v>
      </c>
      <c r="S885" s="1">
        <v>1620.87</v>
      </c>
      <c r="T885" s="1">
        <f t="shared" si="68"/>
        <v>1620.87</v>
      </c>
      <c r="U885" s="1">
        <v>1103.6099999999999</v>
      </c>
      <c r="V885" s="3">
        <f>IF(T885=0,"",X885/T885)</f>
        <v>0.31912491439782342</v>
      </c>
      <c r="W885" s="1">
        <v>517.26</v>
      </c>
      <c r="X885" s="1">
        <f>T885-U885</f>
        <v>517.26</v>
      </c>
      <c r="Y885" s="1" t="s">
        <v>40</v>
      </c>
      <c r="Z885" s="1" t="s">
        <v>41</v>
      </c>
      <c r="AA885" s="1">
        <f t="shared" si="65"/>
        <v>3</v>
      </c>
      <c r="AB885" s="2" t="str">
        <f t="shared" si="69"/>
        <v>Clean</v>
      </c>
      <c r="AC885" s="2"/>
    </row>
    <row r="886" spans="1:29">
      <c r="A886" s="1" t="s">
        <v>2713</v>
      </c>
      <c r="B886" s="2">
        <v>45675</v>
      </c>
      <c r="C886" s="2" t="str">
        <f t="shared" si="66"/>
        <v>January</v>
      </c>
      <c r="D886" s="1">
        <f t="shared" si="67"/>
        <v>2025</v>
      </c>
      <c r="E886" s="2">
        <v>45682</v>
      </c>
      <c r="F886" s="1" t="s">
        <v>2714</v>
      </c>
      <c r="G886" s="1" t="s">
        <v>87</v>
      </c>
      <c r="H886" s="1" t="s">
        <v>103</v>
      </c>
      <c r="I886" s="1" t="s">
        <v>62</v>
      </c>
      <c r="J886" s="1" t="s">
        <v>183</v>
      </c>
      <c r="K886" s="1" t="s">
        <v>184</v>
      </c>
      <c r="L886" s="1" t="s">
        <v>36</v>
      </c>
      <c r="M886" s="1" t="s">
        <v>132</v>
      </c>
      <c r="N886" s="1" t="s">
        <v>2715</v>
      </c>
      <c r="O886" s="1" t="s">
        <v>52</v>
      </c>
      <c r="P886" s="1">
        <v>2</v>
      </c>
      <c r="Q886" s="1">
        <v>2098.54</v>
      </c>
      <c r="R886" s="1">
        <v>0.15</v>
      </c>
      <c r="S886" s="1">
        <v>3567.52</v>
      </c>
      <c r="T886" s="1">
        <f t="shared" si="68"/>
        <v>3567.518</v>
      </c>
      <c r="U886" s="1">
        <v>2411.8000000000002</v>
      </c>
      <c r="V886" s="3">
        <f>IF(T886=0,"",X886/T886)</f>
        <v>0.32395575859743381</v>
      </c>
      <c r="W886" s="1">
        <v>1155.72</v>
      </c>
      <c r="X886" s="1">
        <f>T886-U886</f>
        <v>1155.7179999999998</v>
      </c>
      <c r="Y886" s="1" t="s">
        <v>40</v>
      </c>
      <c r="Z886" s="1" t="s">
        <v>41</v>
      </c>
      <c r="AA886" s="1">
        <f t="shared" si="65"/>
        <v>7</v>
      </c>
      <c r="AB886" s="2" t="str">
        <f t="shared" si="69"/>
        <v>Clean</v>
      </c>
      <c r="AC886" s="2"/>
    </row>
    <row r="887" spans="1:29">
      <c r="A887" s="1" t="s">
        <v>2716</v>
      </c>
      <c r="B887" s="2">
        <v>45413</v>
      </c>
      <c r="C887" s="2" t="str">
        <f t="shared" si="66"/>
        <v>May</v>
      </c>
      <c r="D887" s="1">
        <f t="shared" si="67"/>
        <v>2024</v>
      </c>
      <c r="E887" s="2">
        <v>45413</v>
      </c>
      <c r="F887" s="1" t="s">
        <v>2717</v>
      </c>
      <c r="G887" s="1" t="s">
        <v>170</v>
      </c>
      <c r="H887" s="1" t="s">
        <v>32</v>
      </c>
      <c r="I887" s="1" t="s">
        <v>33</v>
      </c>
      <c r="J887" s="1" t="s">
        <v>34</v>
      </c>
      <c r="K887" s="1" t="s">
        <v>35</v>
      </c>
      <c r="L887" s="1" t="s">
        <v>49</v>
      </c>
      <c r="M887" s="1" t="s">
        <v>50</v>
      </c>
      <c r="N887" s="1" t="s">
        <v>2718</v>
      </c>
      <c r="O887" s="1" t="s">
        <v>67</v>
      </c>
      <c r="P887" s="1">
        <v>1</v>
      </c>
      <c r="Q887" s="1">
        <v>2167.08</v>
      </c>
      <c r="R887" s="1">
        <v>0.25</v>
      </c>
      <c r="S887" s="1">
        <v>1625.31</v>
      </c>
      <c r="T887" s="1">
        <f t="shared" si="68"/>
        <v>1625.31</v>
      </c>
      <c r="U887" s="1">
        <v>1157.8900000000001</v>
      </c>
      <c r="V887" s="3">
        <f>IF(T887=0,"",X887/T887)</f>
        <v>0.28758821394072509</v>
      </c>
      <c r="W887" s="1">
        <v>467.42</v>
      </c>
      <c r="X887" s="1">
        <f>T887-U887</f>
        <v>467.41999999999985</v>
      </c>
      <c r="Y887" s="1" t="s">
        <v>40</v>
      </c>
      <c r="Z887" s="1" t="s">
        <v>41</v>
      </c>
      <c r="AA887" s="1">
        <f t="shared" si="65"/>
        <v>0</v>
      </c>
      <c r="AB887" s="2" t="str">
        <f t="shared" si="69"/>
        <v>Clean</v>
      </c>
      <c r="AC887" s="2"/>
    </row>
    <row r="888" spans="1:29">
      <c r="A888" s="1" t="s">
        <v>2719</v>
      </c>
      <c r="B888" s="2">
        <v>45773</v>
      </c>
      <c r="C888" s="2" t="str">
        <f t="shared" si="66"/>
        <v>April</v>
      </c>
      <c r="D888" s="1">
        <f t="shared" si="67"/>
        <v>2025</v>
      </c>
      <c r="E888" s="2">
        <v>45721</v>
      </c>
      <c r="F888" s="1" t="s">
        <v>2720</v>
      </c>
      <c r="G888" s="1" t="s">
        <v>61</v>
      </c>
      <c r="H888" s="1" t="s">
        <v>103</v>
      </c>
      <c r="I888" s="1" t="s">
        <v>62</v>
      </c>
      <c r="J888" s="1" t="s">
        <v>256</v>
      </c>
      <c r="K888" s="1" t="s">
        <v>257</v>
      </c>
      <c r="L888" s="1" t="s">
        <v>82</v>
      </c>
      <c r="M888" s="1" t="s">
        <v>83</v>
      </c>
      <c r="N888" s="1" t="s">
        <v>2721</v>
      </c>
      <c r="O888" s="1" t="s">
        <v>58</v>
      </c>
      <c r="P888" s="1">
        <v>7</v>
      </c>
      <c r="Q888" s="1">
        <v>3989.9</v>
      </c>
      <c r="R888" s="1">
        <v>0.15</v>
      </c>
      <c r="S888" s="1">
        <v>23739.9</v>
      </c>
      <c r="T888" s="1">
        <f t="shared" si="68"/>
        <v>23739.904999999999</v>
      </c>
      <c r="U888" s="1">
        <v>17716.52</v>
      </c>
      <c r="V888" s="3">
        <f>IF(T888=0,"",X888/T888)</f>
        <v>0.25372405660427028</v>
      </c>
      <c r="W888" s="1">
        <v>6023.38</v>
      </c>
      <c r="X888" s="1">
        <f>T888-U888</f>
        <v>6023.3849999999984</v>
      </c>
      <c r="Y888" s="1" t="s">
        <v>40</v>
      </c>
      <c r="Z888" s="1" t="s">
        <v>76</v>
      </c>
      <c r="AA888" s="4">
        <f t="shared" si="65"/>
        <v>-52</v>
      </c>
      <c r="AB888" s="2" t="str">
        <f t="shared" si="69"/>
        <v>Invalid</v>
      </c>
      <c r="AC888" s="2"/>
    </row>
    <row r="889" spans="1:29">
      <c r="A889" s="1" t="s">
        <v>2722</v>
      </c>
      <c r="B889" s="2">
        <v>45632</v>
      </c>
      <c r="C889" s="2" t="str">
        <f t="shared" si="66"/>
        <v>December</v>
      </c>
      <c r="D889" s="1">
        <f t="shared" si="67"/>
        <v>2024</v>
      </c>
      <c r="E889" s="2">
        <v>45461</v>
      </c>
      <c r="F889" s="1" t="s">
        <v>2723</v>
      </c>
      <c r="G889" s="1" t="s">
        <v>136</v>
      </c>
      <c r="H889" s="1" t="s">
        <v>45</v>
      </c>
      <c r="I889" s="1" t="s">
        <v>62</v>
      </c>
      <c r="J889" s="1" t="s">
        <v>92</v>
      </c>
      <c r="K889" s="1" t="s">
        <v>93</v>
      </c>
      <c r="L889" s="1" t="s">
        <v>36</v>
      </c>
      <c r="M889" s="1" t="s">
        <v>56</v>
      </c>
      <c r="N889" s="1" t="s">
        <v>2724</v>
      </c>
      <c r="O889" s="1" t="s">
        <v>67</v>
      </c>
      <c r="P889" s="1">
        <v>4</v>
      </c>
      <c r="Q889" s="1">
        <v>4176.13</v>
      </c>
      <c r="R889" s="1">
        <v>0</v>
      </c>
      <c r="S889" s="1">
        <v>16704.52</v>
      </c>
      <c r="T889" s="1">
        <f t="shared" si="68"/>
        <v>16704.52</v>
      </c>
      <c r="U889" s="1">
        <v>10158.280000000001</v>
      </c>
      <c r="V889" s="3">
        <f>IF(T889=0,"",X889/T889)</f>
        <v>0.39188435225914897</v>
      </c>
      <c r="W889" s="1">
        <v>6546.24</v>
      </c>
      <c r="X889" s="1">
        <f>T889-U889</f>
        <v>6546.24</v>
      </c>
      <c r="Y889" s="1" t="s">
        <v>40</v>
      </c>
      <c r="Z889" s="1" t="s">
        <v>41</v>
      </c>
      <c r="AA889" s="4">
        <f t="shared" si="65"/>
        <v>-171</v>
      </c>
      <c r="AB889" s="2" t="str">
        <f t="shared" si="69"/>
        <v>Invalid</v>
      </c>
      <c r="AC889" s="2"/>
    </row>
    <row r="890" spans="1:29">
      <c r="A890" s="1" t="s">
        <v>2725</v>
      </c>
      <c r="B890" s="2">
        <v>45816</v>
      </c>
      <c r="C890" s="2" t="str">
        <f t="shared" si="66"/>
        <v>June</v>
      </c>
      <c r="D890" s="1">
        <f t="shared" si="67"/>
        <v>2025</v>
      </c>
      <c r="E890" s="2">
        <v>45846</v>
      </c>
      <c r="F890" s="1" t="s">
        <v>2726</v>
      </c>
      <c r="G890" s="1" t="s">
        <v>126</v>
      </c>
      <c r="H890" s="1" t="s">
        <v>45</v>
      </c>
      <c r="I890" s="1" t="s">
        <v>71</v>
      </c>
      <c r="J890" s="1" t="s">
        <v>72</v>
      </c>
      <c r="K890" s="1" t="s">
        <v>73</v>
      </c>
      <c r="L890" s="1" t="s">
        <v>36</v>
      </c>
      <c r="M890" s="1" t="s">
        <v>56</v>
      </c>
      <c r="N890" s="1" t="s">
        <v>2727</v>
      </c>
      <c r="O890" s="1" t="s">
        <v>67</v>
      </c>
      <c r="P890" s="1">
        <v>4</v>
      </c>
      <c r="Q890" s="1">
        <v>3523.64</v>
      </c>
      <c r="R890" s="1">
        <v>0.1</v>
      </c>
      <c r="S890" s="1">
        <v>12685.1</v>
      </c>
      <c r="T890" s="1">
        <f t="shared" si="68"/>
        <v>12685.103999999999</v>
      </c>
      <c r="U890" s="1">
        <v>10779.56</v>
      </c>
      <c r="V890" s="3">
        <f>IF(T890=0,"",X890/T890)</f>
        <v>0.15021902855506741</v>
      </c>
      <c r="W890" s="1">
        <v>1905.54</v>
      </c>
      <c r="X890" s="1">
        <f>T890-U890</f>
        <v>1905.5439999999999</v>
      </c>
      <c r="Y890" s="1" t="s">
        <v>110</v>
      </c>
      <c r="Z890" s="1" t="s">
        <v>76</v>
      </c>
      <c r="AA890" s="1">
        <f t="shared" si="65"/>
        <v>30</v>
      </c>
      <c r="AB890" s="2" t="str">
        <f t="shared" si="69"/>
        <v>Clean</v>
      </c>
      <c r="AC890" s="2"/>
    </row>
    <row r="891" spans="1:29">
      <c r="A891" s="1" t="s">
        <v>2728</v>
      </c>
      <c r="B891" s="2">
        <v>45933</v>
      </c>
      <c r="C891" s="2" t="str">
        <f t="shared" si="66"/>
        <v>October</v>
      </c>
      <c r="D891" s="1">
        <f t="shared" si="67"/>
        <v>2025</v>
      </c>
      <c r="E891" s="2">
        <v>45727</v>
      </c>
      <c r="F891" s="1" t="s">
        <v>887</v>
      </c>
      <c r="G891" s="1" t="s">
        <v>97</v>
      </c>
      <c r="H891" s="1" t="s">
        <v>103</v>
      </c>
      <c r="I891" s="1" t="s">
        <v>71</v>
      </c>
      <c r="J891" s="1" t="s">
        <v>80</v>
      </c>
      <c r="K891" s="1" t="s">
        <v>81</v>
      </c>
      <c r="L891" s="1" t="s">
        <v>36</v>
      </c>
      <c r="M891" s="1" t="s">
        <v>132</v>
      </c>
      <c r="N891" s="1" t="s">
        <v>2729</v>
      </c>
      <c r="O891" s="1" t="s">
        <v>58</v>
      </c>
      <c r="P891" s="1">
        <v>2</v>
      </c>
      <c r="Q891" s="1">
        <v>3922.08</v>
      </c>
      <c r="R891" s="1">
        <v>0.25</v>
      </c>
      <c r="S891" s="1">
        <v>5883.12</v>
      </c>
      <c r="T891" s="1">
        <f t="shared" si="68"/>
        <v>5883.12</v>
      </c>
      <c r="U891" s="1">
        <v>4647.91</v>
      </c>
      <c r="V891" s="3">
        <f>IF(T891=0,"",X891/T891)</f>
        <v>0.20995832143488491</v>
      </c>
      <c r="W891" s="1">
        <v>1235.21</v>
      </c>
      <c r="X891" s="1">
        <f>T891-U891</f>
        <v>1235.21</v>
      </c>
      <c r="Y891" s="1" t="s">
        <v>40</v>
      </c>
      <c r="Z891" s="1" t="s">
        <v>111</v>
      </c>
      <c r="AA891" s="4">
        <f t="shared" si="65"/>
        <v>-206</v>
      </c>
      <c r="AB891" s="2" t="str">
        <f t="shared" si="69"/>
        <v>Invalid</v>
      </c>
      <c r="AC891" s="2"/>
    </row>
    <row r="892" spans="1:29">
      <c r="A892" s="1" t="s">
        <v>2730</v>
      </c>
      <c r="B892" s="2">
        <v>45427</v>
      </c>
      <c r="C892" s="2" t="str">
        <f t="shared" si="66"/>
        <v>May</v>
      </c>
      <c r="D892" s="1">
        <f t="shared" si="67"/>
        <v>2024</v>
      </c>
      <c r="E892" s="2">
        <v>45433</v>
      </c>
      <c r="F892" s="1" t="s">
        <v>2731</v>
      </c>
      <c r="G892" s="1" t="s">
        <v>31</v>
      </c>
      <c r="H892" s="1" t="s">
        <v>32</v>
      </c>
      <c r="I892" s="1" t="s">
        <v>71</v>
      </c>
      <c r="J892" s="1" t="s">
        <v>198</v>
      </c>
      <c r="K892" s="1" t="s">
        <v>199</v>
      </c>
      <c r="L892" s="1" t="s">
        <v>36</v>
      </c>
      <c r="M892" s="1" t="s">
        <v>132</v>
      </c>
      <c r="N892" s="1" t="s">
        <v>2732</v>
      </c>
      <c r="O892" s="1" t="s">
        <v>67</v>
      </c>
      <c r="P892" s="1">
        <v>6</v>
      </c>
      <c r="Q892" s="1">
        <v>2909.56</v>
      </c>
      <c r="R892" s="1">
        <v>0.2</v>
      </c>
      <c r="S892" s="1">
        <v>13965.89</v>
      </c>
      <c r="T892" s="1">
        <f t="shared" si="68"/>
        <v>13965.888000000001</v>
      </c>
      <c r="U892" s="1">
        <v>11646.12</v>
      </c>
      <c r="V892" s="3">
        <f>IF(T892=0,"",X892/T892)</f>
        <v>0.16610243473239938</v>
      </c>
      <c r="W892" s="1">
        <v>2319.77</v>
      </c>
      <c r="X892" s="1">
        <f>T892-U892</f>
        <v>2319.768</v>
      </c>
      <c r="Y892" s="1" t="s">
        <v>40</v>
      </c>
      <c r="Z892" s="1" t="s">
        <v>41</v>
      </c>
      <c r="AA892" s="1">
        <f t="shared" si="65"/>
        <v>6</v>
      </c>
      <c r="AB892" s="2" t="str">
        <f t="shared" si="69"/>
        <v>Clean</v>
      </c>
      <c r="AC892" s="2"/>
    </row>
    <row r="893" spans="1:29">
      <c r="A893" s="1" t="s">
        <v>2733</v>
      </c>
      <c r="B893" s="2">
        <v>45514</v>
      </c>
      <c r="C893" s="2" t="str">
        <f t="shared" si="66"/>
        <v>August</v>
      </c>
      <c r="D893" s="1">
        <f t="shared" si="67"/>
        <v>2024</v>
      </c>
      <c r="E893" s="2">
        <v>45545</v>
      </c>
      <c r="F893" s="1" t="s">
        <v>2734</v>
      </c>
      <c r="G893" s="1" t="s">
        <v>273</v>
      </c>
      <c r="H893" s="1" t="s">
        <v>98</v>
      </c>
      <c r="I893" s="1" t="s">
        <v>62</v>
      </c>
      <c r="J893" s="1" t="s">
        <v>256</v>
      </c>
      <c r="K893" s="1" t="s">
        <v>257</v>
      </c>
      <c r="L893" s="1" t="s">
        <v>82</v>
      </c>
      <c r="M893" s="1" t="s">
        <v>283</v>
      </c>
      <c r="N893" s="1" t="s">
        <v>2735</v>
      </c>
      <c r="O893" s="1" t="s">
        <v>52</v>
      </c>
      <c r="P893" s="1">
        <v>5</v>
      </c>
      <c r="Q893" s="1">
        <v>2407.9699999999998</v>
      </c>
      <c r="R893" s="1">
        <v>0.1</v>
      </c>
      <c r="S893" s="1">
        <v>10835.86</v>
      </c>
      <c r="T893" s="1">
        <f t="shared" si="68"/>
        <v>10835.865</v>
      </c>
      <c r="U893" s="1">
        <v>6419.92</v>
      </c>
      <c r="V893" s="3">
        <f>IF(T893=0,"",X893/T893)</f>
        <v>0.40753045557507406</v>
      </c>
      <c r="W893" s="1">
        <v>4415.9399999999996</v>
      </c>
      <c r="X893" s="1">
        <f>T893-U893</f>
        <v>4415.9449999999997</v>
      </c>
      <c r="Y893" s="1" t="s">
        <v>163</v>
      </c>
      <c r="Z893" s="1" t="s">
        <v>76</v>
      </c>
      <c r="AA893" s="1">
        <f t="shared" si="65"/>
        <v>31</v>
      </c>
      <c r="AB893" s="2" t="str">
        <f t="shared" si="69"/>
        <v>Clean</v>
      </c>
      <c r="AC893" s="2"/>
    </row>
    <row r="894" spans="1:29">
      <c r="A894" s="1" t="s">
        <v>2736</v>
      </c>
      <c r="B894" s="2">
        <v>45759</v>
      </c>
      <c r="C894" s="2" t="str">
        <f t="shared" si="66"/>
        <v>April</v>
      </c>
      <c r="D894" s="1">
        <f t="shared" si="67"/>
        <v>2025</v>
      </c>
      <c r="E894" s="2">
        <v>45765</v>
      </c>
      <c r="F894" s="1" t="s">
        <v>2737</v>
      </c>
      <c r="G894" s="1" t="s">
        <v>55</v>
      </c>
      <c r="H894" s="1" t="s">
        <v>45</v>
      </c>
      <c r="I894" s="1" t="s">
        <v>46</v>
      </c>
      <c r="J894" s="1" t="s">
        <v>237</v>
      </c>
      <c r="K894" s="1" t="s">
        <v>238</v>
      </c>
      <c r="L894" s="1" t="s">
        <v>82</v>
      </c>
      <c r="M894" s="1" t="s">
        <v>88</v>
      </c>
      <c r="N894" s="1" t="s">
        <v>2738</v>
      </c>
      <c r="O894" s="1" t="s">
        <v>52</v>
      </c>
      <c r="P894" s="1">
        <v>1</v>
      </c>
      <c r="Q894" s="1">
        <v>726.89</v>
      </c>
      <c r="R894" s="1">
        <v>0.2</v>
      </c>
      <c r="S894" s="1">
        <v>581.51</v>
      </c>
      <c r="T894" s="1">
        <f t="shared" si="68"/>
        <v>581.51200000000006</v>
      </c>
      <c r="U894" s="1">
        <v>423.86</v>
      </c>
      <c r="V894" s="3">
        <f>IF(T894=0,"",X894/T894)</f>
        <v>0.27110704508247468</v>
      </c>
      <c r="W894" s="1">
        <v>157.65</v>
      </c>
      <c r="X894" s="1">
        <f>T894-U894</f>
        <v>157.65200000000004</v>
      </c>
      <c r="Y894" s="1" t="s">
        <v>40</v>
      </c>
      <c r="Z894" s="1" t="s">
        <v>41</v>
      </c>
      <c r="AA894" s="1">
        <f t="shared" si="65"/>
        <v>6</v>
      </c>
      <c r="AB894" s="2" t="str">
        <f t="shared" si="69"/>
        <v>Clean</v>
      </c>
      <c r="AC894" s="2"/>
    </row>
    <row r="895" spans="1:29">
      <c r="A895" s="1" t="s">
        <v>2739</v>
      </c>
      <c r="B895" s="2">
        <v>45449</v>
      </c>
      <c r="C895" s="2" t="str">
        <f t="shared" si="66"/>
        <v>June</v>
      </c>
      <c r="D895" s="1">
        <f t="shared" si="67"/>
        <v>2024</v>
      </c>
      <c r="E895" s="2">
        <v>45510</v>
      </c>
      <c r="F895" s="1" t="s">
        <v>2740</v>
      </c>
      <c r="G895" s="1" t="s">
        <v>136</v>
      </c>
      <c r="H895" s="1" t="s">
        <v>98</v>
      </c>
      <c r="I895" s="1" t="s">
        <v>62</v>
      </c>
      <c r="J895" s="1" t="s">
        <v>183</v>
      </c>
      <c r="K895" s="1" t="s">
        <v>184</v>
      </c>
      <c r="L895" s="1" t="s">
        <v>49</v>
      </c>
      <c r="M895" s="1" t="s">
        <v>50</v>
      </c>
      <c r="N895" s="1" t="s">
        <v>2741</v>
      </c>
      <c r="O895" s="1" t="s">
        <v>39</v>
      </c>
      <c r="P895" s="1">
        <v>3</v>
      </c>
      <c r="Q895" s="1">
        <v>395.49</v>
      </c>
      <c r="R895" s="1">
        <v>0.05</v>
      </c>
      <c r="S895" s="1">
        <v>1127.1500000000001</v>
      </c>
      <c r="T895" s="1">
        <f t="shared" si="68"/>
        <v>1127.1465000000001</v>
      </c>
      <c r="U895" s="1">
        <v>845.62</v>
      </c>
      <c r="V895" s="3">
        <f>IF(T895=0,"",X895/T895)</f>
        <v>0.24976921810962466</v>
      </c>
      <c r="W895" s="1">
        <v>281.52999999999997</v>
      </c>
      <c r="X895" s="1">
        <f>T895-U895</f>
        <v>281.52650000000006</v>
      </c>
      <c r="Y895" s="1" t="s">
        <v>40</v>
      </c>
      <c r="Z895" s="1" t="s">
        <v>111</v>
      </c>
      <c r="AA895" s="1">
        <f t="shared" si="65"/>
        <v>61</v>
      </c>
      <c r="AB895" s="2" t="str">
        <f t="shared" si="69"/>
        <v>Clean</v>
      </c>
      <c r="AC895" s="2"/>
    </row>
    <row r="896" spans="1:29">
      <c r="A896" s="1" t="s">
        <v>2742</v>
      </c>
      <c r="B896" s="2">
        <v>45344</v>
      </c>
      <c r="C896" s="2" t="str">
        <f t="shared" si="66"/>
        <v>February</v>
      </c>
      <c r="D896" s="1">
        <f t="shared" si="67"/>
        <v>2024</v>
      </c>
      <c r="E896" s="2">
        <v>45351</v>
      </c>
      <c r="F896" s="1" t="s">
        <v>2743</v>
      </c>
      <c r="G896" s="1" t="s">
        <v>55</v>
      </c>
      <c r="H896" s="1" t="s">
        <v>103</v>
      </c>
      <c r="I896" s="1" t="s">
        <v>62</v>
      </c>
      <c r="J896" s="1" t="s">
        <v>63</v>
      </c>
      <c r="K896" s="1" t="s">
        <v>64</v>
      </c>
      <c r="L896" s="1" t="s">
        <v>49</v>
      </c>
      <c r="M896" s="1" t="s">
        <v>50</v>
      </c>
      <c r="N896" s="1" t="s">
        <v>2744</v>
      </c>
      <c r="O896" s="1" t="s">
        <v>58</v>
      </c>
      <c r="P896" s="1">
        <v>6</v>
      </c>
      <c r="Q896" s="1">
        <v>4254.05</v>
      </c>
      <c r="R896" s="1">
        <v>0</v>
      </c>
      <c r="S896" s="1">
        <v>25524.3</v>
      </c>
      <c r="T896" s="1">
        <f t="shared" si="68"/>
        <v>25524.300000000003</v>
      </c>
      <c r="U896" s="1">
        <v>16711.93</v>
      </c>
      <c r="V896" s="3">
        <f>IF(T896=0,"",X896/T896)</f>
        <v>0.34525413037771857</v>
      </c>
      <c r="W896" s="1">
        <v>8812.3700000000008</v>
      </c>
      <c r="X896" s="1">
        <f>T896-U896</f>
        <v>8812.3700000000026</v>
      </c>
      <c r="Y896" s="1" t="s">
        <v>40</v>
      </c>
      <c r="Z896" s="1" t="s">
        <v>41</v>
      </c>
      <c r="AA896" s="1">
        <f t="shared" si="65"/>
        <v>7</v>
      </c>
      <c r="AB896" s="2" t="str">
        <f t="shared" si="69"/>
        <v>Clean</v>
      </c>
      <c r="AC896" s="2"/>
    </row>
    <row r="897" spans="1:29">
      <c r="A897" s="1" t="s">
        <v>2745</v>
      </c>
      <c r="B897" s="2">
        <v>45423</v>
      </c>
      <c r="C897" s="2" t="str">
        <f t="shared" si="66"/>
        <v>May</v>
      </c>
      <c r="D897" s="1">
        <f t="shared" si="67"/>
        <v>2024</v>
      </c>
      <c r="E897" s="2">
        <v>45606</v>
      </c>
      <c r="F897" s="1" t="s">
        <v>2746</v>
      </c>
      <c r="G897" s="1" t="s">
        <v>61</v>
      </c>
      <c r="H897" s="1" t="s">
        <v>32</v>
      </c>
      <c r="I897" s="1" t="s">
        <v>62</v>
      </c>
      <c r="J897" s="1" t="s">
        <v>193</v>
      </c>
      <c r="K897" s="1" t="s">
        <v>194</v>
      </c>
      <c r="L897" s="1" t="s">
        <v>49</v>
      </c>
      <c r="M897" s="1" t="s">
        <v>74</v>
      </c>
      <c r="N897" s="1" t="s">
        <v>2747</v>
      </c>
      <c r="O897" s="1" t="s">
        <v>52</v>
      </c>
      <c r="P897" s="1">
        <v>4</v>
      </c>
      <c r="Q897" s="1">
        <v>711.18</v>
      </c>
      <c r="R897" s="1">
        <v>0.15</v>
      </c>
      <c r="S897" s="1">
        <v>2418.0100000000002</v>
      </c>
      <c r="T897" s="1">
        <f t="shared" si="68"/>
        <v>2418.0119999999997</v>
      </c>
      <c r="U897" s="1">
        <v>1441.89</v>
      </c>
      <c r="V897" s="3">
        <f>IF(T897=0,"",X897/T897)</f>
        <v>0.40368782288921634</v>
      </c>
      <c r="W897" s="1">
        <v>976.12</v>
      </c>
      <c r="X897" s="1">
        <f>T897-U897</f>
        <v>976.12199999999962</v>
      </c>
      <c r="Y897" s="1" t="s">
        <v>119</v>
      </c>
      <c r="Z897" s="1" t="s">
        <v>111</v>
      </c>
      <c r="AA897" s="1">
        <f t="shared" si="65"/>
        <v>183</v>
      </c>
      <c r="AB897" s="2" t="str">
        <f t="shared" si="69"/>
        <v>Clean</v>
      </c>
      <c r="AC897" s="2"/>
    </row>
    <row r="898" spans="1:29">
      <c r="A898" s="1" t="s">
        <v>2748</v>
      </c>
      <c r="B898" s="2">
        <v>45650</v>
      </c>
      <c r="C898" s="2" t="str">
        <f t="shared" si="66"/>
        <v>December</v>
      </c>
      <c r="D898" s="1">
        <f t="shared" si="67"/>
        <v>2024</v>
      </c>
      <c r="E898" s="2">
        <v>45651</v>
      </c>
      <c r="F898" s="1" t="s">
        <v>2749</v>
      </c>
      <c r="G898" s="1" t="s">
        <v>70</v>
      </c>
      <c r="H898" s="1" t="s">
        <v>45</v>
      </c>
      <c r="I898" s="1" t="s">
        <v>62</v>
      </c>
      <c r="J898" s="1" t="s">
        <v>256</v>
      </c>
      <c r="K898" s="1" t="s">
        <v>257</v>
      </c>
      <c r="L898" s="1" t="s">
        <v>82</v>
      </c>
      <c r="M898" s="1" t="s">
        <v>88</v>
      </c>
      <c r="N898" s="1" t="s">
        <v>2750</v>
      </c>
      <c r="O898" s="1" t="s">
        <v>39</v>
      </c>
      <c r="P898" s="1">
        <v>1</v>
      </c>
      <c r="Q898" s="1">
        <v>3693.03</v>
      </c>
      <c r="R898" s="1">
        <v>0.05</v>
      </c>
      <c r="S898" s="1">
        <v>3508.38</v>
      </c>
      <c r="T898" s="1">
        <f t="shared" si="68"/>
        <v>3508.3784999999998</v>
      </c>
      <c r="U898" s="1">
        <v>2828.06</v>
      </c>
      <c r="V898" s="3">
        <f>IF(T898=0,"",X898/T898)</f>
        <v>0.19391251542557336</v>
      </c>
      <c r="W898" s="1">
        <v>680.32</v>
      </c>
      <c r="X898" s="1">
        <f>T898-U898</f>
        <v>680.31849999999986</v>
      </c>
      <c r="Y898" s="1" t="s">
        <v>163</v>
      </c>
      <c r="Z898" s="1" t="s">
        <v>111</v>
      </c>
      <c r="AA898" s="1">
        <f t="shared" ref="AA898:AA913" si="70">E898-B898</f>
        <v>1</v>
      </c>
      <c r="AB898" s="2" t="str">
        <f t="shared" si="69"/>
        <v>Clean</v>
      </c>
      <c r="AC898" s="2"/>
    </row>
    <row r="899" spans="1:29">
      <c r="A899" s="1" t="s">
        <v>2751</v>
      </c>
      <c r="B899" s="2">
        <v>45776</v>
      </c>
      <c r="C899" s="2" t="str">
        <f t="shared" ref="C899:C913" si="71">TEXT(B899,"mmmm")</f>
        <v>April</v>
      </c>
      <c r="D899" s="1">
        <f t="shared" ref="D899:D913" si="72">YEAR(B899)</f>
        <v>2025</v>
      </c>
      <c r="E899" s="2">
        <v>45721</v>
      </c>
      <c r="F899" s="1" t="s">
        <v>2117</v>
      </c>
      <c r="G899" s="1" t="s">
        <v>149</v>
      </c>
      <c r="H899" s="1" t="s">
        <v>98</v>
      </c>
      <c r="I899" s="1" t="s">
        <v>33</v>
      </c>
      <c r="J899" s="1" t="s">
        <v>245</v>
      </c>
      <c r="K899" s="1" t="s">
        <v>246</v>
      </c>
      <c r="L899" s="1" t="s">
        <v>36</v>
      </c>
      <c r="M899" s="1" t="s">
        <v>37</v>
      </c>
      <c r="N899" s="1" t="s">
        <v>2752</v>
      </c>
      <c r="O899" s="1" t="s">
        <v>58</v>
      </c>
      <c r="P899" s="1">
        <v>4</v>
      </c>
      <c r="Q899" s="1">
        <v>1786.65</v>
      </c>
      <c r="R899" s="1">
        <v>0.05</v>
      </c>
      <c r="S899" s="1">
        <v>6789.27</v>
      </c>
      <c r="T899" s="1">
        <f t="shared" ref="T899:T913" si="73">P899*Q899*(1-R899)</f>
        <v>6789.27</v>
      </c>
      <c r="U899" s="1">
        <v>5626.43</v>
      </c>
      <c r="V899" s="3">
        <f>IF(T899=0,"",X899/T899)</f>
        <v>0.17127614603631908</v>
      </c>
      <c r="W899" s="1">
        <v>1162.8399999999999</v>
      </c>
      <c r="X899" s="1">
        <f>T899-U899</f>
        <v>1162.8400000000001</v>
      </c>
      <c r="Y899" s="1" t="s">
        <v>40</v>
      </c>
      <c r="Z899" s="1" t="s">
        <v>41</v>
      </c>
      <c r="AA899" s="4">
        <f t="shared" si="70"/>
        <v>-55</v>
      </c>
      <c r="AB899" s="2" t="str">
        <f t="shared" ref="AB899:AB911" si="74">IF(OR(AA899&lt;0,R899&lt;0),"Invalid",IF(OR(I899="Unknown",O899="Unknown"),"Warning","Clean"))</f>
        <v>Invalid</v>
      </c>
      <c r="AC899" s="2"/>
    </row>
    <row r="900" spans="1:29">
      <c r="A900" s="1" t="s">
        <v>2753</v>
      </c>
      <c r="B900" s="2">
        <v>45328</v>
      </c>
      <c r="C900" s="2" t="str">
        <f t="shared" si="71"/>
        <v>February</v>
      </c>
      <c r="D900" s="1">
        <f t="shared" si="72"/>
        <v>2024</v>
      </c>
      <c r="E900" s="2">
        <v>45451</v>
      </c>
      <c r="F900" s="1" t="s">
        <v>2754</v>
      </c>
      <c r="G900" s="1" t="s">
        <v>79</v>
      </c>
      <c r="H900" s="1" t="s">
        <v>32</v>
      </c>
      <c r="I900" s="1" t="s">
        <v>33</v>
      </c>
      <c r="J900" s="1" t="s">
        <v>359</v>
      </c>
      <c r="K900" s="1" t="s">
        <v>360</v>
      </c>
      <c r="L900" s="1" t="s">
        <v>49</v>
      </c>
      <c r="M900" s="1" t="s">
        <v>50</v>
      </c>
      <c r="N900" s="1" t="s">
        <v>2755</v>
      </c>
      <c r="O900" s="1" t="s">
        <v>58</v>
      </c>
      <c r="P900" s="1">
        <v>4</v>
      </c>
      <c r="Q900" s="1">
        <v>1536.7</v>
      </c>
      <c r="R900" s="1">
        <v>0.2</v>
      </c>
      <c r="S900" s="1">
        <v>4917.4399999999996</v>
      </c>
      <c r="T900" s="1">
        <f t="shared" si="73"/>
        <v>4917.4400000000005</v>
      </c>
      <c r="U900" s="1">
        <v>3846.77</v>
      </c>
      <c r="V900" s="3">
        <f>IF(T900=0,"",X900/T900)</f>
        <v>0.21772914361944434</v>
      </c>
      <c r="W900" s="1">
        <v>1070.67</v>
      </c>
      <c r="X900" s="1">
        <f>T900-U900</f>
        <v>1070.6700000000005</v>
      </c>
      <c r="Y900" s="1" t="s">
        <v>40</v>
      </c>
      <c r="Z900" s="1" t="s">
        <v>41</v>
      </c>
      <c r="AA900" s="1">
        <f t="shared" si="70"/>
        <v>123</v>
      </c>
      <c r="AB900" s="2" t="str">
        <f t="shared" si="74"/>
        <v>Clean</v>
      </c>
      <c r="AC900" s="2"/>
    </row>
    <row r="901" spans="1:29">
      <c r="A901" s="1" t="s">
        <v>2756</v>
      </c>
      <c r="B901" s="2">
        <v>45804</v>
      </c>
      <c r="C901" s="2" t="str">
        <f t="shared" si="71"/>
        <v>May</v>
      </c>
      <c r="D901" s="1">
        <f t="shared" si="72"/>
        <v>2025</v>
      </c>
      <c r="E901" s="2">
        <v>45811</v>
      </c>
      <c r="F901" s="1" t="s">
        <v>2757</v>
      </c>
      <c r="G901" s="1" t="s">
        <v>31</v>
      </c>
      <c r="H901" s="1" t="s">
        <v>32</v>
      </c>
      <c r="I901" s="1" t="s">
        <v>33</v>
      </c>
      <c r="J901" s="1" t="s">
        <v>130</v>
      </c>
      <c r="K901" s="1" t="s">
        <v>131</v>
      </c>
      <c r="L901" s="1" t="s">
        <v>49</v>
      </c>
      <c r="M901" s="1" t="s">
        <v>74</v>
      </c>
      <c r="N901" s="1" t="s">
        <v>2758</v>
      </c>
      <c r="O901" s="1" t="s">
        <v>58</v>
      </c>
      <c r="P901" s="1">
        <v>5</v>
      </c>
      <c r="Q901" s="1">
        <v>881.08</v>
      </c>
      <c r="R901" s="1">
        <v>0.25</v>
      </c>
      <c r="S901" s="1">
        <v>3304.05</v>
      </c>
      <c r="T901" s="1">
        <f t="shared" si="73"/>
        <v>3304.05</v>
      </c>
      <c r="U901" s="1">
        <v>2279.41</v>
      </c>
      <c r="V901" s="3">
        <f>IF(T901=0,"",X901/T901)</f>
        <v>0.31011637233092726</v>
      </c>
      <c r="W901" s="1">
        <v>1024.6400000000001</v>
      </c>
      <c r="X901" s="1">
        <f>T901-U901</f>
        <v>1024.6400000000003</v>
      </c>
      <c r="Y901" s="1" t="s">
        <v>163</v>
      </c>
      <c r="Z901" s="1" t="s">
        <v>76</v>
      </c>
      <c r="AA901" s="1">
        <f t="shared" si="70"/>
        <v>7</v>
      </c>
      <c r="AB901" s="2" t="str">
        <f t="shared" si="74"/>
        <v>Clean</v>
      </c>
      <c r="AC901" s="2"/>
    </row>
    <row r="902" spans="1:29">
      <c r="A902" s="1" t="s">
        <v>2759</v>
      </c>
      <c r="B902" s="2">
        <v>45847</v>
      </c>
      <c r="C902" s="2" t="str">
        <f t="shared" si="71"/>
        <v>July</v>
      </c>
      <c r="D902" s="1">
        <f t="shared" si="72"/>
        <v>2025</v>
      </c>
      <c r="E902" s="2">
        <v>45915</v>
      </c>
      <c r="F902" s="1" t="s">
        <v>2760</v>
      </c>
      <c r="G902" s="1" t="s">
        <v>149</v>
      </c>
      <c r="H902" s="1" t="s">
        <v>98</v>
      </c>
      <c r="I902" s="1" t="s">
        <v>46</v>
      </c>
      <c r="J902" s="1" t="s">
        <v>153</v>
      </c>
      <c r="K902" s="1" t="s">
        <v>154</v>
      </c>
      <c r="L902" s="1" t="s">
        <v>82</v>
      </c>
      <c r="M902" s="1" t="s">
        <v>88</v>
      </c>
      <c r="N902" s="1" t="s">
        <v>2761</v>
      </c>
      <c r="O902" s="1" t="s">
        <v>67</v>
      </c>
      <c r="P902" s="1">
        <v>3</v>
      </c>
      <c r="Q902" s="1">
        <v>1711.32</v>
      </c>
      <c r="R902" s="1">
        <v>0</v>
      </c>
      <c r="S902" s="1">
        <v>5133.96</v>
      </c>
      <c r="T902" s="1">
        <f t="shared" si="73"/>
        <v>5133.96</v>
      </c>
      <c r="U902" s="1">
        <v>3930</v>
      </c>
      <c r="V902" s="3">
        <f>IF(T902=0,"",X902/T902)</f>
        <v>0.23450903396208775</v>
      </c>
      <c r="W902" s="1">
        <v>1203.96</v>
      </c>
      <c r="X902" s="1">
        <f>T902-U902</f>
        <v>1203.96</v>
      </c>
      <c r="Y902" s="1" t="s">
        <v>40</v>
      </c>
      <c r="Z902" s="1" t="s">
        <v>41</v>
      </c>
      <c r="AA902" s="1">
        <f t="shared" si="70"/>
        <v>68</v>
      </c>
      <c r="AB902" s="2" t="str">
        <f t="shared" si="74"/>
        <v>Clean</v>
      </c>
      <c r="AC902" s="2" t="s">
        <v>392</v>
      </c>
    </row>
    <row r="903" spans="1:29">
      <c r="A903" s="1" t="s">
        <v>2759</v>
      </c>
      <c r="B903" s="2">
        <v>45847</v>
      </c>
      <c r="C903" s="2" t="str">
        <f t="shared" si="71"/>
        <v>July</v>
      </c>
      <c r="D903" s="1">
        <f t="shared" si="72"/>
        <v>2025</v>
      </c>
      <c r="E903" s="2">
        <v>45915</v>
      </c>
      <c r="F903" s="1" t="s">
        <v>2760</v>
      </c>
      <c r="G903" s="1" t="s">
        <v>149</v>
      </c>
      <c r="H903" s="1" t="s">
        <v>98</v>
      </c>
      <c r="I903" s="1" t="s">
        <v>46</v>
      </c>
      <c r="J903" s="1" t="s">
        <v>153</v>
      </c>
      <c r="K903" s="1" t="s">
        <v>154</v>
      </c>
      <c r="L903" s="1" t="s">
        <v>82</v>
      </c>
      <c r="M903" s="1" t="s">
        <v>88</v>
      </c>
      <c r="N903" s="1" t="s">
        <v>2761</v>
      </c>
      <c r="O903" s="1" t="s">
        <v>67</v>
      </c>
      <c r="P903" s="1">
        <v>3</v>
      </c>
      <c r="Q903" s="1">
        <v>1711.32</v>
      </c>
      <c r="R903" s="1">
        <v>0</v>
      </c>
      <c r="S903" s="1">
        <v>5206.53</v>
      </c>
      <c r="T903" s="1">
        <f t="shared" si="73"/>
        <v>5133.96</v>
      </c>
      <c r="U903" s="1">
        <v>3930</v>
      </c>
      <c r="V903" s="3">
        <f>IF(T903=0,"",X903/T903)</f>
        <v>0.23450903396208775</v>
      </c>
      <c r="W903" s="1">
        <v>1203.96</v>
      </c>
      <c r="X903" s="1">
        <f>T903-U903</f>
        <v>1203.96</v>
      </c>
      <c r="Y903" s="1" t="s">
        <v>40</v>
      </c>
      <c r="Z903" s="1" t="s">
        <v>111</v>
      </c>
      <c r="AA903" s="1">
        <f t="shared" si="70"/>
        <v>68</v>
      </c>
      <c r="AB903" s="2" t="str">
        <f t="shared" si="74"/>
        <v>Clean</v>
      </c>
      <c r="AC903" s="2" t="s">
        <v>392</v>
      </c>
    </row>
    <row r="904" spans="1:29">
      <c r="A904" s="1" t="s">
        <v>2762</v>
      </c>
      <c r="B904" s="2">
        <v>45932</v>
      </c>
      <c r="C904" s="2" t="str">
        <f t="shared" si="71"/>
        <v>October</v>
      </c>
      <c r="D904" s="1">
        <f t="shared" si="72"/>
        <v>2025</v>
      </c>
      <c r="E904" s="2">
        <v>45879</v>
      </c>
      <c r="F904" s="1" t="s">
        <v>2763</v>
      </c>
      <c r="G904" s="1" t="s">
        <v>55</v>
      </c>
      <c r="H904" s="1" t="s">
        <v>45</v>
      </c>
      <c r="I904" s="1" t="s">
        <v>33</v>
      </c>
      <c r="J904" s="1" t="s">
        <v>130</v>
      </c>
      <c r="K904" s="1" t="s">
        <v>131</v>
      </c>
      <c r="L904" s="1" t="s">
        <v>49</v>
      </c>
      <c r="M904" s="1" t="s">
        <v>65</v>
      </c>
      <c r="N904" s="1" t="s">
        <v>2764</v>
      </c>
      <c r="O904" s="1" t="s">
        <v>67</v>
      </c>
      <c r="P904" s="1">
        <v>4</v>
      </c>
      <c r="Q904" s="1">
        <v>3944.64</v>
      </c>
      <c r="R904" s="1">
        <v>0.25</v>
      </c>
      <c r="S904" s="1">
        <v>11833.92</v>
      </c>
      <c r="T904" s="1">
        <f t="shared" si="73"/>
        <v>11833.92</v>
      </c>
      <c r="U904" s="1">
        <v>6682.92</v>
      </c>
      <c r="V904" s="3">
        <f>IF(T904=0,"",X904/T904)</f>
        <v>0.43527419485681834</v>
      </c>
      <c r="W904" s="1">
        <v>5151</v>
      </c>
      <c r="X904" s="1">
        <f>T904-U904</f>
        <v>5151</v>
      </c>
      <c r="Y904" s="1" t="s">
        <v>40</v>
      </c>
      <c r="Z904" s="1" t="s">
        <v>76</v>
      </c>
      <c r="AA904" s="4">
        <f t="shared" si="70"/>
        <v>-53</v>
      </c>
      <c r="AB904" s="2" t="str">
        <f t="shared" si="74"/>
        <v>Invalid</v>
      </c>
      <c r="AC904" s="2" t="s">
        <v>392</v>
      </c>
    </row>
    <row r="905" spans="1:29">
      <c r="A905" s="1" t="s">
        <v>2762</v>
      </c>
      <c r="B905" s="2">
        <v>45932</v>
      </c>
      <c r="C905" s="2" t="str">
        <f t="shared" si="71"/>
        <v>October</v>
      </c>
      <c r="D905" s="1">
        <f t="shared" si="72"/>
        <v>2025</v>
      </c>
      <c r="E905" s="2">
        <v>45879</v>
      </c>
      <c r="F905" s="1" t="s">
        <v>2763</v>
      </c>
      <c r="G905" s="1" t="s">
        <v>55</v>
      </c>
      <c r="H905" s="1" t="s">
        <v>45</v>
      </c>
      <c r="I905" s="1" t="s">
        <v>33</v>
      </c>
      <c r="J905" s="1" t="s">
        <v>130</v>
      </c>
      <c r="K905" s="1" t="s">
        <v>131</v>
      </c>
      <c r="L905" s="1" t="s">
        <v>49</v>
      </c>
      <c r="M905" s="1" t="s">
        <v>65</v>
      </c>
      <c r="N905" s="1" t="s">
        <v>2764</v>
      </c>
      <c r="O905" s="1" t="s">
        <v>67</v>
      </c>
      <c r="P905" s="1">
        <v>4</v>
      </c>
      <c r="Q905" s="1">
        <v>3944.64</v>
      </c>
      <c r="R905" s="1">
        <v>0.25</v>
      </c>
      <c r="S905" s="1">
        <v>12116.89</v>
      </c>
      <c r="T905" s="1">
        <f t="shared" si="73"/>
        <v>11833.92</v>
      </c>
      <c r="U905" s="1">
        <v>6682.92</v>
      </c>
      <c r="V905" s="3">
        <f>IF(T905=0,"",X905/T905)</f>
        <v>0.43527419485681834</v>
      </c>
      <c r="W905" s="1">
        <v>5151</v>
      </c>
      <c r="X905" s="1">
        <f>T905-U905</f>
        <v>5151</v>
      </c>
      <c r="Y905" s="1" t="s">
        <v>40</v>
      </c>
      <c r="Z905" s="1" t="s">
        <v>111</v>
      </c>
      <c r="AA905" s="4">
        <f t="shared" si="70"/>
        <v>-53</v>
      </c>
      <c r="AB905" s="2" t="str">
        <f t="shared" si="74"/>
        <v>Invalid</v>
      </c>
      <c r="AC905" s="2" t="s">
        <v>392</v>
      </c>
    </row>
    <row r="906" spans="1:29">
      <c r="A906" s="1" t="s">
        <v>2765</v>
      </c>
      <c r="B906" s="2">
        <v>45795</v>
      </c>
      <c r="C906" s="2" t="str">
        <f t="shared" si="71"/>
        <v>May</v>
      </c>
      <c r="D906" s="1">
        <f t="shared" si="72"/>
        <v>2025</v>
      </c>
      <c r="E906" s="2">
        <v>45797</v>
      </c>
      <c r="F906" s="1" t="s">
        <v>2766</v>
      </c>
      <c r="G906" s="1" t="s">
        <v>55</v>
      </c>
      <c r="H906" s="1" t="s">
        <v>98</v>
      </c>
      <c r="I906" s="1" t="s">
        <v>71</v>
      </c>
      <c r="J906" s="1" t="s">
        <v>80</v>
      </c>
      <c r="K906" s="1" t="s">
        <v>81</v>
      </c>
      <c r="L906" s="1" t="s">
        <v>36</v>
      </c>
      <c r="M906" s="1" t="s">
        <v>99</v>
      </c>
      <c r="N906" s="1" t="s">
        <v>2767</v>
      </c>
      <c r="O906" s="1" t="s">
        <v>67</v>
      </c>
      <c r="P906" s="1">
        <v>9</v>
      </c>
      <c r="Q906" s="1">
        <v>847.76</v>
      </c>
      <c r="R906" s="1">
        <v>0.15</v>
      </c>
      <c r="S906" s="1">
        <v>6485.36</v>
      </c>
      <c r="T906" s="1">
        <f t="shared" si="73"/>
        <v>6485.3639999999996</v>
      </c>
      <c r="U906" s="1">
        <v>5376.17</v>
      </c>
      <c r="V906" s="3">
        <f>IF(T906=0,"",X906/T906)</f>
        <v>0.17103033846673826</v>
      </c>
      <c r="W906" s="1">
        <v>1109.19</v>
      </c>
      <c r="X906" s="1">
        <f>T906-U906</f>
        <v>1109.1939999999995</v>
      </c>
      <c r="Y906" s="1" t="s">
        <v>163</v>
      </c>
      <c r="Z906" s="1" t="s">
        <v>111</v>
      </c>
      <c r="AA906" s="1">
        <f t="shared" si="70"/>
        <v>2</v>
      </c>
      <c r="AB906" s="2" t="str">
        <f t="shared" si="74"/>
        <v>Clean</v>
      </c>
      <c r="AC906" s="2" t="s">
        <v>392</v>
      </c>
    </row>
    <row r="907" spans="1:29">
      <c r="A907" s="1" t="s">
        <v>2765</v>
      </c>
      <c r="B907" s="2">
        <v>45795</v>
      </c>
      <c r="C907" s="2" t="str">
        <f t="shared" si="71"/>
        <v>May</v>
      </c>
      <c r="D907" s="1">
        <f t="shared" si="72"/>
        <v>2025</v>
      </c>
      <c r="E907" s="2">
        <v>45797</v>
      </c>
      <c r="F907" s="1" t="s">
        <v>2766</v>
      </c>
      <c r="G907" s="1" t="s">
        <v>55</v>
      </c>
      <c r="H907" s="1" t="s">
        <v>98</v>
      </c>
      <c r="I907" s="1" t="s">
        <v>71</v>
      </c>
      <c r="J907" s="1" t="s">
        <v>80</v>
      </c>
      <c r="K907" s="1" t="s">
        <v>81</v>
      </c>
      <c r="L907" s="1" t="s">
        <v>36</v>
      </c>
      <c r="M907" s="1" t="s">
        <v>99</v>
      </c>
      <c r="N907" s="1" t="s">
        <v>2767</v>
      </c>
      <c r="O907" s="1" t="s">
        <v>67</v>
      </c>
      <c r="P907" s="1">
        <v>9</v>
      </c>
      <c r="Q907" s="1">
        <v>847.76</v>
      </c>
      <c r="R907" s="1">
        <v>0.15</v>
      </c>
      <c r="S907" s="1">
        <v>6589.37</v>
      </c>
      <c r="T907" s="1">
        <f t="shared" si="73"/>
        <v>6485.3639999999996</v>
      </c>
      <c r="U907" s="1">
        <v>5376.17</v>
      </c>
      <c r="V907" s="3">
        <f>IF(T907=0,"",X907/T907)</f>
        <v>0.17103033846673826</v>
      </c>
      <c r="W907" s="1">
        <v>1109.19</v>
      </c>
      <c r="X907" s="1">
        <f>T907-U907</f>
        <v>1109.1939999999995</v>
      </c>
      <c r="Y907" s="1" t="s">
        <v>163</v>
      </c>
      <c r="Z907" s="1" t="s">
        <v>41</v>
      </c>
      <c r="AA907" s="1">
        <f t="shared" si="70"/>
        <v>2</v>
      </c>
      <c r="AB907" s="2" t="str">
        <f t="shared" si="74"/>
        <v>Clean</v>
      </c>
      <c r="AC907" s="2" t="s">
        <v>392</v>
      </c>
    </row>
    <row r="908" spans="1:29">
      <c r="A908" s="1" t="s">
        <v>2768</v>
      </c>
      <c r="B908" s="2">
        <v>45824</v>
      </c>
      <c r="C908" s="2" t="str">
        <f t="shared" si="71"/>
        <v>June</v>
      </c>
      <c r="D908" s="1">
        <f t="shared" si="72"/>
        <v>2025</v>
      </c>
      <c r="E908" s="2">
        <v>45826</v>
      </c>
      <c r="F908" s="1" t="s">
        <v>2769</v>
      </c>
      <c r="G908" s="1" t="s">
        <v>126</v>
      </c>
      <c r="H908" s="1" t="s">
        <v>103</v>
      </c>
      <c r="I908" s="1" t="s">
        <v>71</v>
      </c>
      <c r="J908" s="1" t="s">
        <v>80</v>
      </c>
      <c r="K908" s="1" t="s">
        <v>81</v>
      </c>
      <c r="L908" s="1" t="s">
        <v>36</v>
      </c>
      <c r="M908" s="1" t="s">
        <v>37</v>
      </c>
      <c r="N908" s="1" t="s">
        <v>2770</v>
      </c>
      <c r="O908" s="1" t="s">
        <v>58</v>
      </c>
      <c r="P908" s="1">
        <v>3</v>
      </c>
      <c r="Q908" s="1">
        <v>4289.37</v>
      </c>
      <c r="R908" s="1">
        <v>0.1</v>
      </c>
      <c r="S908" s="1">
        <v>11581.3</v>
      </c>
      <c r="T908" s="1">
        <f t="shared" si="73"/>
        <v>11581.299000000001</v>
      </c>
      <c r="U908" s="1">
        <v>6829.43</v>
      </c>
      <c r="V908" s="3">
        <f>IF(T908=0,"",X908/T908)</f>
        <v>0.41030535521101735</v>
      </c>
      <c r="W908" s="1">
        <v>4751.87</v>
      </c>
      <c r="X908" s="1">
        <f>T908-U908</f>
        <v>4751.8690000000006</v>
      </c>
      <c r="Y908" s="1" t="s">
        <v>40</v>
      </c>
      <c r="Z908" s="1" t="s">
        <v>41</v>
      </c>
      <c r="AA908" s="1">
        <f t="shared" si="70"/>
        <v>2</v>
      </c>
      <c r="AB908" s="2" t="str">
        <f t="shared" si="74"/>
        <v>Clean</v>
      </c>
      <c r="AC908" s="2" t="s">
        <v>392</v>
      </c>
    </row>
    <row r="909" spans="1:29">
      <c r="A909" s="1" t="s">
        <v>2768</v>
      </c>
      <c r="B909" s="2">
        <v>45824</v>
      </c>
      <c r="C909" s="2" t="str">
        <f t="shared" si="71"/>
        <v>June</v>
      </c>
      <c r="D909" s="1">
        <f t="shared" si="72"/>
        <v>2025</v>
      </c>
      <c r="E909" s="2">
        <v>45826</v>
      </c>
      <c r="F909" s="1" t="s">
        <v>2769</v>
      </c>
      <c r="G909" s="1" t="s">
        <v>126</v>
      </c>
      <c r="H909" s="1" t="s">
        <v>103</v>
      </c>
      <c r="I909" s="1" t="s">
        <v>71</v>
      </c>
      <c r="J909" s="1" t="s">
        <v>80</v>
      </c>
      <c r="K909" s="1" t="s">
        <v>81</v>
      </c>
      <c r="L909" s="1" t="s">
        <v>36</v>
      </c>
      <c r="M909" s="1" t="s">
        <v>37</v>
      </c>
      <c r="N909" s="1" t="s">
        <v>2770</v>
      </c>
      <c r="O909" s="1" t="s">
        <v>58</v>
      </c>
      <c r="P909" s="1">
        <v>3</v>
      </c>
      <c r="Q909" s="1">
        <v>4289.37</v>
      </c>
      <c r="R909" s="1">
        <v>0.1</v>
      </c>
      <c r="S909" s="1">
        <v>11778.71</v>
      </c>
      <c r="T909" s="1">
        <f t="shared" si="73"/>
        <v>11581.299000000001</v>
      </c>
      <c r="U909" s="1">
        <v>6829.43</v>
      </c>
      <c r="V909" s="3">
        <f>IF(T909=0,"",X909/T909)</f>
        <v>0.41030535521101735</v>
      </c>
      <c r="W909" s="1">
        <v>4751.87</v>
      </c>
      <c r="X909" s="1">
        <f>T909-U909</f>
        <v>4751.8690000000006</v>
      </c>
      <c r="Y909" s="1" t="s">
        <v>40</v>
      </c>
      <c r="Z909" s="1" t="s">
        <v>111</v>
      </c>
      <c r="AA909" s="1">
        <f t="shared" si="70"/>
        <v>2</v>
      </c>
      <c r="AB909" s="2" t="str">
        <f t="shared" si="74"/>
        <v>Clean</v>
      </c>
      <c r="AC909" s="2" t="s">
        <v>392</v>
      </c>
    </row>
    <row r="910" spans="1:29">
      <c r="A910" s="1" t="s">
        <v>2771</v>
      </c>
      <c r="B910" s="2">
        <v>45760</v>
      </c>
      <c r="C910" s="2" t="str">
        <f t="shared" si="71"/>
        <v>April</v>
      </c>
      <c r="D910" s="1">
        <f t="shared" si="72"/>
        <v>2025</v>
      </c>
      <c r="E910" s="2">
        <v>45760</v>
      </c>
      <c r="F910" s="1" t="s">
        <v>2772</v>
      </c>
      <c r="G910" s="1" t="s">
        <v>140</v>
      </c>
      <c r="H910" s="1" t="s">
        <v>45</v>
      </c>
      <c r="I910" s="1" t="s">
        <v>33</v>
      </c>
      <c r="J910" s="1" t="s">
        <v>144</v>
      </c>
      <c r="K910" s="1" t="s">
        <v>145</v>
      </c>
      <c r="L910" s="1" t="s">
        <v>36</v>
      </c>
      <c r="M910" s="1" t="s">
        <v>132</v>
      </c>
      <c r="N910" s="1" t="s">
        <v>2773</v>
      </c>
      <c r="O910" s="1" t="s">
        <v>39</v>
      </c>
      <c r="P910" s="1">
        <v>9</v>
      </c>
      <c r="Q910" s="1">
        <v>1118.68</v>
      </c>
      <c r="R910" s="1">
        <v>0</v>
      </c>
      <c r="S910" s="1">
        <v>10068.120000000001</v>
      </c>
      <c r="T910" s="1">
        <f t="shared" si="73"/>
        <v>10068.120000000001</v>
      </c>
      <c r="U910" s="1">
        <v>8595.3700000000008</v>
      </c>
      <c r="V910" s="3">
        <f>IF(T910=0,"",X910/T910)</f>
        <v>0.14627855051389932</v>
      </c>
      <c r="W910" s="1">
        <v>1472.75</v>
      </c>
      <c r="X910" s="1">
        <f>T910-U910</f>
        <v>1472.75</v>
      </c>
      <c r="Y910" s="1" t="s">
        <v>40</v>
      </c>
      <c r="Z910" s="1" t="s">
        <v>41</v>
      </c>
      <c r="AA910" s="1">
        <f t="shared" si="70"/>
        <v>0</v>
      </c>
      <c r="AB910" s="2" t="str">
        <f t="shared" si="74"/>
        <v>Clean</v>
      </c>
      <c r="AC910" s="2" t="s">
        <v>392</v>
      </c>
    </row>
    <row r="911" spans="1:29">
      <c r="A911" s="1" t="s">
        <v>2771</v>
      </c>
      <c r="B911" s="2">
        <v>45760</v>
      </c>
      <c r="C911" s="2" t="str">
        <f t="shared" si="71"/>
        <v>April</v>
      </c>
      <c r="D911" s="1">
        <f t="shared" si="72"/>
        <v>2025</v>
      </c>
      <c r="E911" s="2">
        <v>45760</v>
      </c>
      <c r="F911" s="1" t="s">
        <v>2772</v>
      </c>
      <c r="G911" s="1" t="s">
        <v>140</v>
      </c>
      <c r="H911" s="1" t="s">
        <v>45</v>
      </c>
      <c r="I911" s="1" t="s">
        <v>33</v>
      </c>
      <c r="J911" s="1" t="s">
        <v>144</v>
      </c>
      <c r="K911" s="1" t="s">
        <v>145</v>
      </c>
      <c r="L911" s="1" t="s">
        <v>36</v>
      </c>
      <c r="M911" s="1" t="s">
        <v>132</v>
      </c>
      <c r="N911" s="1" t="s">
        <v>2773</v>
      </c>
      <c r="O911" s="1" t="s">
        <v>39</v>
      </c>
      <c r="P911" s="1">
        <v>9</v>
      </c>
      <c r="Q911" s="1">
        <v>1118.68</v>
      </c>
      <c r="R911" s="1">
        <v>0</v>
      </c>
      <c r="S911" s="1">
        <v>10348.43</v>
      </c>
      <c r="T911" s="1">
        <f t="shared" si="73"/>
        <v>10068.120000000001</v>
      </c>
      <c r="U911" s="1">
        <v>8595.3700000000008</v>
      </c>
      <c r="V911" s="3">
        <f>IF(T911=0,"",X911/T911)</f>
        <v>0.14627855051389932</v>
      </c>
      <c r="W911" s="1">
        <v>1472.75</v>
      </c>
      <c r="X911" s="1">
        <f>T911-U911</f>
        <v>1472.75</v>
      </c>
      <c r="Y911" s="1" t="s">
        <v>40</v>
      </c>
      <c r="Z911" s="1" t="s">
        <v>111</v>
      </c>
      <c r="AA911" s="1">
        <f t="shared" si="70"/>
        <v>0</v>
      </c>
      <c r="AB911" s="2" t="str">
        <f t="shared" si="74"/>
        <v>Clean</v>
      </c>
      <c r="AC911" s="2" t="s">
        <v>392</v>
      </c>
    </row>
    <row r="912" spans="1:29">
      <c r="A912" s="1" t="s">
        <v>2774</v>
      </c>
      <c r="B912" s="2">
        <v>45932</v>
      </c>
      <c r="C912" s="2" t="str">
        <f t="shared" si="71"/>
        <v>October</v>
      </c>
      <c r="D912" s="1">
        <f t="shared" si="72"/>
        <v>2025</v>
      </c>
      <c r="E912" s="2">
        <v>45702</v>
      </c>
      <c r="F912" s="1" t="s">
        <v>2775</v>
      </c>
      <c r="G912" s="1" t="s">
        <v>122</v>
      </c>
      <c r="H912" s="1" t="s">
        <v>45</v>
      </c>
      <c r="I912" s="1" t="s">
        <v>33</v>
      </c>
      <c r="J912" s="1" t="s">
        <v>144</v>
      </c>
      <c r="K912" s="1" t="s">
        <v>145</v>
      </c>
      <c r="L912" s="1" t="s">
        <v>82</v>
      </c>
      <c r="M912" s="1" t="s">
        <v>179</v>
      </c>
      <c r="N912" s="1" t="s">
        <v>2776</v>
      </c>
      <c r="O912" s="1" t="s">
        <v>213</v>
      </c>
      <c r="P912" s="1">
        <v>5</v>
      </c>
      <c r="Q912" s="1">
        <v>4276.29</v>
      </c>
      <c r="R912" s="1">
        <v>0</v>
      </c>
      <c r="S912" s="1">
        <v>21381.45</v>
      </c>
      <c r="T912" s="1">
        <f t="shared" si="73"/>
        <v>21381.45</v>
      </c>
      <c r="U912" s="1">
        <v>13240.21</v>
      </c>
      <c r="V912" s="3">
        <f>IF(T912=0,"",X912/T912)</f>
        <v>0.38076182859441249</v>
      </c>
      <c r="W912" s="1">
        <v>8141.24</v>
      </c>
      <c r="X912" s="1">
        <f>T912-U912</f>
        <v>8141.2400000000016</v>
      </c>
      <c r="Y912" s="1" t="s">
        <v>163</v>
      </c>
      <c r="Z912" s="1" t="s">
        <v>111</v>
      </c>
      <c r="AA912" s="4">
        <f t="shared" si="70"/>
        <v>-230</v>
      </c>
      <c r="AB912" s="2" t="s">
        <v>459</v>
      </c>
      <c r="AC912" s="2" t="s">
        <v>392</v>
      </c>
    </row>
    <row r="913" spans="1:29">
      <c r="A913" s="1" t="s">
        <v>2774</v>
      </c>
      <c r="B913" s="2">
        <v>45932</v>
      </c>
      <c r="C913" s="2" t="str">
        <f t="shared" si="71"/>
        <v>October</v>
      </c>
      <c r="D913" s="1">
        <f t="shared" si="72"/>
        <v>2025</v>
      </c>
      <c r="E913" s="2">
        <v>45702</v>
      </c>
      <c r="F913" s="1" t="s">
        <v>2775</v>
      </c>
      <c r="G913" s="1" t="s">
        <v>122</v>
      </c>
      <c r="H913" s="1" t="s">
        <v>45</v>
      </c>
      <c r="I913" s="1" t="s">
        <v>33</v>
      </c>
      <c r="J913" s="1" t="s">
        <v>144</v>
      </c>
      <c r="K913" s="1" t="s">
        <v>145</v>
      </c>
      <c r="L913" s="1" t="s">
        <v>82</v>
      </c>
      <c r="M913" s="1" t="s">
        <v>179</v>
      </c>
      <c r="N913" s="1" t="s">
        <v>2776</v>
      </c>
      <c r="O913" s="1" t="s">
        <v>213</v>
      </c>
      <c r="P913" s="1">
        <v>5</v>
      </c>
      <c r="Q913" s="1">
        <v>4276.29</v>
      </c>
      <c r="R913" s="1">
        <v>0</v>
      </c>
      <c r="S913" s="1">
        <v>21443.63</v>
      </c>
      <c r="T913" s="1">
        <f t="shared" si="73"/>
        <v>21381.45</v>
      </c>
      <c r="U913" s="1">
        <v>13240.21</v>
      </c>
      <c r="V913" s="3">
        <f>IF(T913=0,"",X913/T913)</f>
        <v>0.38076182859441249</v>
      </c>
      <c r="W913" s="1">
        <v>8141.24</v>
      </c>
      <c r="X913" s="1">
        <f>T913-U913</f>
        <v>8141.2400000000016</v>
      </c>
      <c r="Y913" s="1" t="s">
        <v>163</v>
      </c>
      <c r="Z913" s="1" t="s">
        <v>41</v>
      </c>
      <c r="AA913" s="4">
        <f t="shared" si="70"/>
        <v>-230</v>
      </c>
      <c r="AB913" s="2" t="s">
        <v>459</v>
      </c>
      <c r="AC913" s="2" t="s">
        <v>392</v>
      </c>
    </row>
  </sheetData>
  <conditionalFormatting sqref="A1:A913">
    <cfRule type="duplicateValues" dxfId="1" priority="2"/>
  </conditionalFormatting>
  <conditionalFormatting sqref="A1:A913">
    <cfRule type="duplicateValues" dxfId="0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481E7-2BA9-414E-BC6C-973BDB900885}">
  <dimension ref="A1:C7"/>
  <sheetViews>
    <sheetView tabSelected="1" zoomScale="85" zoomScaleNormal="85" workbookViewId="0">
      <selection activeCell="F8" sqref="F8"/>
    </sheetView>
  </sheetViews>
  <sheetFormatPr defaultRowHeight="14.5"/>
  <cols>
    <col min="1" max="1" width="40.81640625" bestFit="1" customWidth="1"/>
    <col min="2" max="2" width="23.7265625" bestFit="1" customWidth="1"/>
    <col min="3" max="3" width="41.90625" bestFit="1" customWidth="1"/>
  </cols>
  <sheetData>
    <row r="1" spans="1:3">
      <c r="A1" s="18" t="s">
        <v>2797</v>
      </c>
      <c r="B1" s="18" t="s">
        <v>2798</v>
      </c>
      <c r="C1" s="18" t="s">
        <v>2799</v>
      </c>
    </row>
    <row r="2" spans="1:3">
      <c r="A2" s="19" t="s">
        <v>2800</v>
      </c>
      <c r="B2" s="20" t="s">
        <v>2801</v>
      </c>
      <c r="C2" s="19" t="s">
        <v>2802</v>
      </c>
    </row>
    <row r="3" spans="1:3">
      <c r="A3" s="19" t="s">
        <v>2803</v>
      </c>
      <c r="B3" s="20" t="s">
        <v>2804</v>
      </c>
      <c r="C3" s="19" t="s">
        <v>2802</v>
      </c>
    </row>
    <row r="4" spans="1:3">
      <c r="A4" s="19" t="s">
        <v>2805</v>
      </c>
      <c r="B4" s="20" t="s">
        <v>2806</v>
      </c>
      <c r="C4" s="19" t="s">
        <v>2807</v>
      </c>
    </row>
    <row r="5" spans="1:3">
      <c r="A5" s="19" t="s">
        <v>2808</v>
      </c>
      <c r="B5" s="20" t="s">
        <v>2809</v>
      </c>
      <c r="C5" s="19" t="s">
        <v>2810</v>
      </c>
    </row>
    <row r="6" spans="1:3">
      <c r="A6" s="19" t="s">
        <v>2811</v>
      </c>
      <c r="B6" s="20" t="s">
        <v>2801</v>
      </c>
      <c r="C6" s="19" t="s">
        <v>2807</v>
      </c>
    </row>
    <row r="7" spans="1:3">
      <c r="A7" s="19" t="s">
        <v>2812</v>
      </c>
      <c r="B7" s="20" t="s">
        <v>2813</v>
      </c>
      <c r="C7" s="19" t="s">
        <v>2814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Sales_by_Region</vt:lpstr>
      <vt:lpstr>Category_Summary</vt:lpstr>
      <vt:lpstr>Ship_Mode_Summary</vt:lpstr>
      <vt:lpstr>Segment_Profit_Margin</vt:lpstr>
      <vt:lpstr>Status_Summary</vt:lpstr>
      <vt:lpstr>Monthly_Sales_Trend</vt:lpstr>
      <vt:lpstr>Data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Aayushi</dc:creator>
  <cp:lastModifiedBy>Aayushi Gautam</cp:lastModifiedBy>
  <dcterms:created xsi:type="dcterms:W3CDTF">2015-06-05T18:17:20Z</dcterms:created>
  <dcterms:modified xsi:type="dcterms:W3CDTF">2026-06-26T18:57:46Z</dcterms:modified>
</cp:coreProperties>
</file>